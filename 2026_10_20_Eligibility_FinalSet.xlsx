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nesaacid-my.sharepoint.com/personal/putracendra_unesa_ac_id/Documents/NCKU_Backup/Writing Research/2022_Dialogue System/1_Literature Review/"/>
    </mc:Choice>
  </mc:AlternateContent>
  <xr:revisionPtr revIDLastSave="0" documentId="11_CE8471AA55810E9CDB25FA8C4284C7E64F42FEDE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ISMA" sheetId="1" r:id="rId1"/>
    <sheet name="Eligibility_core" sheetId="2" r:id="rId2"/>
    <sheet name="Final_set_extraction" sheetId="3" r:id="rId3"/>
    <sheet name="Level1_map" sheetId="4" r:id="rId4"/>
    <sheet name="Trends_RQ1" sheetId="5" r:id="rId5"/>
    <sheet name="Map_summary" sheetId="6" r:id="rId6"/>
    <sheet name="Codes" sheetId="7" r:id="rId7"/>
  </sheets>
  <definedNames>
    <definedName name="_xlnm._FilterDatabase" localSheetId="1" hidden="1">Eligibility_core!$A$1:$O$1643</definedName>
    <definedName name="_xlnm._FilterDatabase" localSheetId="2" hidden="1">Final_set_extraction!$A$1:$W$116</definedName>
    <definedName name="_xlnm._FilterDatabase" localSheetId="3" hidden="1">Level1_map!$A$1:$M$336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6" l="1"/>
  <c r="C62" i="6"/>
  <c r="C61" i="6"/>
  <c r="C60" i="6"/>
  <c r="E57" i="6"/>
  <c r="F57" i="6" s="1"/>
  <c r="D57" i="6"/>
  <c r="C57" i="6"/>
  <c r="E56" i="6"/>
  <c r="F56" i="6" s="1"/>
  <c r="C56" i="6"/>
  <c r="D56" i="6" s="1"/>
  <c r="E55" i="6"/>
  <c r="F55" i="6" s="1"/>
  <c r="D55" i="6"/>
  <c r="C55" i="6"/>
  <c r="E54" i="6"/>
  <c r="F54" i="6" s="1"/>
  <c r="C54" i="6"/>
  <c r="D54" i="6" s="1"/>
  <c r="E53" i="6"/>
  <c r="F53" i="6" s="1"/>
  <c r="C53" i="6"/>
  <c r="D53" i="6" s="1"/>
  <c r="E52" i="6"/>
  <c r="F52" i="6" s="1"/>
  <c r="C52" i="6"/>
  <c r="D52" i="6" s="1"/>
  <c r="E51" i="6"/>
  <c r="F51" i="6" s="1"/>
  <c r="C51" i="6"/>
  <c r="D51" i="6" s="1"/>
  <c r="E50" i="6"/>
  <c r="F50" i="6" s="1"/>
  <c r="C50" i="6"/>
  <c r="D50" i="6" s="1"/>
  <c r="E49" i="6"/>
  <c r="F49" i="6" s="1"/>
  <c r="C49" i="6"/>
  <c r="D49" i="6" s="1"/>
  <c r="E48" i="6"/>
  <c r="F48" i="6" s="1"/>
  <c r="C48" i="6"/>
  <c r="D48" i="6" s="1"/>
  <c r="E47" i="6"/>
  <c r="F47" i="6" s="1"/>
  <c r="C47" i="6"/>
  <c r="D47" i="6" s="1"/>
  <c r="E46" i="6"/>
  <c r="F46" i="6" s="1"/>
  <c r="C46" i="6"/>
  <c r="D46" i="6" s="1"/>
  <c r="E45" i="6"/>
  <c r="F45" i="6" s="1"/>
  <c r="C45" i="6"/>
  <c r="D45" i="6" s="1"/>
  <c r="E44" i="6"/>
  <c r="F44" i="6" s="1"/>
  <c r="C44" i="6"/>
  <c r="D44" i="6" s="1"/>
  <c r="E43" i="6"/>
  <c r="F43" i="6" s="1"/>
  <c r="C43" i="6"/>
  <c r="D43" i="6" s="1"/>
  <c r="E42" i="6"/>
  <c r="F42" i="6" s="1"/>
  <c r="C42" i="6"/>
  <c r="D42" i="6" s="1"/>
  <c r="E41" i="6"/>
  <c r="F41" i="6" s="1"/>
  <c r="C41" i="6"/>
  <c r="D41" i="6" s="1"/>
  <c r="E40" i="6"/>
  <c r="F40" i="6" s="1"/>
  <c r="C40" i="6"/>
  <c r="D40" i="6" s="1"/>
  <c r="E39" i="6"/>
  <c r="F39" i="6" s="1"/>
  <c r="C39" i="6"/>
  <c r="D39" i="6" s="1"/>
  <c r="E38" i="6"/>
  <c r="F38" i="6" s="1"/>
  <c r="C38" i="6"/>
  <c r="D38" i="6" s="1"/>
  <c r="E37" i="6"/>
  <c r="F37" i="6" s="1"/>
  <c r="C37" i="6"/>
  <c r="D37" i="6" s="1"/>
  <c r="E36" i="6"/>
  <c r="F36" i="6" s="1"/>
  <c r="C36" i="6"/>
  <c r="D36" i="6" s="1"/>
  <c r="E35" i="6"/>
  <c r="F35" i="6" s="1"/>
  <c r="C35" i="6"/>
  <c r="D35" i="6" s="1"/>
  <c r="E34" i="6"/>
  <c r="F34" i="6" s="1"/>
  <c r="C34" i="6"/>
  <c r="D34" i="6" s="1"/>
  <c r="E33" i="6"/>
  <c r="F33" i="6" s="1"/>
  <c r="C33" i="6"/>
  <c r="D33" i="6" s="1"/>
  <c r="E32" i="6"/>
  <c r="F32" i="6" s="1"/>
  <c r="C32" i="6"/>
  <c r="D32" i="6" s="1"/>
  <c r="E31" i="6"/>
  <c r="F31" i="6" s="1"/>
  <c r="C31" i="6"/>
  <c r="D31" i="6" s="1"/>
  <c r="E30" i="6"/>
  <c r="F30" i="6" s="1"/>
  <c r="C30" i="6"/>
  <c r="D30" i="6" s="1"/>
  <c r="E29" i="6"/>
  <c r="F29" i="6" s="1"/>
  <c r="C29" i="6"/>
  <c r="D29" i="6" s="1"/>
  <c r="E28" i="6"/>
  <c r="F28" i="6" s="1"/>
  <c r="C28" i="6"/>
  <c r="D28" i="6" s="1"/>
  <c r="E27" i="6"/>
  <c r="F27" i="6" s="1"/>
  <c r="C27" i="6"/>
  <c r="D27" i="6" s="1"/>
  <c r="E26" i="6"/>
  <c r="F26" i="6" s="1"/>
  <c r="C26" i="6"/>
  <c r="D26" i="6" s="1"/>
  <c r="E25" i="6"/>
  <c r="F25" i="6" s="1"/>
  <c r="C25" i="6"/>
  <c r="D25" i="6" s="1"/>
  <c r="E24" i="6"/>
  <c r="F24" i="6" s="1"/>
  <c r="C24" i="6"/>
  <c r="D24" i="6" s="1"/>
  <c r="E23" i="6"/>
  <c r="F23" i="6" s="1"/>
  <c r="C23" i="6"/>
  <c r="D23" i="6" s="1"/>
  <c r="E22" i="6"/>
  <c r="F22" i="6" s="1"/>
  <c r="C22" i="6"/>
  <c r="D22" i="6" s="1"/>
  <c r="E21" i="6"/>
  <c r="F21" i="6" s="1"/>
  <c r="C21" i="6"/>
  <c r="D21" i="6" s="1"/>
  <c r="E20" i="6"/>
  <c r="F20" i="6" s="1"/>
  <c r="C20" i="6"/>
  <c r="D20" i="6" s="1"/>
  <c r="E19" i="6"/>
  <c r="F19" i="6" s="1"/>
  <c r="C19" i="6"/>
  <c r="D19" i="6" s="1"/>
  <c r="E18" i="6"/>
  <c r="F18" i="6" s="1"/>
  <c r="C18" i="6"/>
  <c r="D18" i="6" s="1"/>
  <c r="E17" i="6"/>
  <c r="F17" i="6" s="1"/>
  <c r="C17" i="6"/>
  <c r="D17" i="6" s="1"/>
  <c r="E16" i="6"/>
  <c r="F16" i="6" s="1"/>
  <c r="C16" i="6"/>
  <c r="D16" i="6" s="1"/>
  <c r="E15" i="6"/>
  <c r="F15" i="6" s="1"/>
  <c r="C15" i="6"/>
  <c r="D15" i="6" s="1"/>
  <c r="E14" i="6"/>
  <c r="F14" i="6" s="1"/>
  <c r="C14" i="6"/>
  <c r="D14" i="6" s="1"/>
  <c r="E13" i="6"/>
  <c r="F13" i="6" s="1"/>
  <c r="C13" i="6"/>
  <c r="D13" i="6" s="1"/>
  <c r="E12" i="6"/>
  <c r="F12" i="6" s="1"/>
  <c r="C12" i="6"/>
  <c r="D12" i="6" s="1"/>
  <c r="E11" i="6"/>
  <c r="F11" i="6" s="1"/>
  <c r="C11" i="6"/>
  <c r="D11" i="6" s="1"/>
  <c r="E10" i="6"/>
  <c r="F10" i="6" s="1"/>
  <c r="C10" i="6"/>
  <c r="D10" i="6" s="1"/>
  <c r="E9" i="6"/>
  <c r="F9" i="6" s="1"/>
  <c r="C9" i="6"/>
  <c r="D9" i="6" s="1"/>
  <c r="E8" i="6"/>
  <c r="F8" i="6" s="1"/>
  <c r="C8" i="6"/>
  <c r="D8" i="6" s="1"/>
  <c r="E7" i="6"/>
  <c r="F7" i="6" s="1"/>
  <c r="C7" i="6"/>
  <c r="D7" i="6" s="1"/>
  <c r="E6" i="6"/>
  <c r="F6" i="6" s="1"/>
  <c r="C6" i="6"/>
  <c r="D6" i="6" s="1"/>
  <c r="E5" i="6"/>
  <c r="F5" i="6" s="1"/>
  <c r="C5" i="6"/>
  <c r="D5" i="6" s="1"/>
  <c r="E4" i="6"/>
  <c r="F4" i="6" s="1"/>
  <c r="C4" i="6"/>
  <c r="D4" i="6" s="1"/>
  <c r="E3" i="6"/>
  <c r="F3" i="6" s="1"/>
  <c r="C3" i="6"/>
  <c r="D3" i="6" s="1"/>
  <c r="E2" i="6"/>
  <c r="F2" i="6" s="1"/>
  <c r="C2" i="6"/>
  <c r="D2" i="6" s="1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D3" i="5"/>
  <c r="C3" i="5"/>
  <c r="B3" i="5"/>
  <c r="D2" i="5"/>
  <c r="C2" i="5"/>
  <c r="C18" i="5" s="1"/>
  <c r="B2" i="5"/>
  <c r="O1643" i="2"/>
  <c r="O1642" i="2"/>
  <c r="O1641" i="2"/>
  <c r="O1640" i="2"/>
  <c r="O1639" i="2"/>
  <c r="O1638" i="2"/>
  <c r="O1637" i="2"/>
  <c r="O1636" i="2"/>
  <c r="O1635" i="2"/>
  <c r="O1634" i="2"/>
  <c r="O1633" i="2"/>
  <c r="O1632" i="2"/>
  <c r="O1631" i="2"/>
  <c r="O1630" i="2"/>
  <c r="O1629" i="2"/>
  <c r="O1628" i="2"/>
  <c r="O1627" i="2"/>
  <c r="O1626" i="2"/>
  <c r="O1625" i="2"/>
  <c r="O1624" i="2"/>
  <c r="O1623" i="2"/>
  <c r="O1622" i="2"/>
  <c r="O1621" i="2"/>
  <c r="O1620" i="2"/>
  <c r="O1619" i="2"/>
  <c r="O1618" i="2"/>
  <c r="O1617" i="2"/>
  <c r="O1616" i="2"/>
  <c r="O1615" i="2"/>
  <c r="O1614" i="2"/>
  <c r="O1613" i="2"/>
  <c r="O1612" i="2"/>
  <c r="O1611" i="2"/>
  <c r="O1610" i="2"/>
  <c r="O1609" i="2"/>
  <c r="O1608" i="2"/>
  <c r="O1607" i="2"/>
  <c r="O1606" i="2"/>
  <c r="O1605" i="2"/>
  <c r="O1604" i="2"/>
  <c r="O1603" i="2"/>
  <c r="O1602" i="2"/>
  <c r="O1601" i="2"/>
  <c r="O1600" i="2"/>
  <c r="O1599" i="2"/>
  <c r="O1598" i="2"/>
  <c r="O1597" i="2"/>
  <c r="O1596" i="2"/>
  <c r="O1595" i="2"/>
  <c r="O1594" i="2"/>
  <c r="O1593" i="2"/>
  <c r="O1592" i="2"/>
  <c r="O1591" i="2"/>
  <c r="O1590" i="2"/>
  <c r="O1589" i="2"/>
  <c r="O1588" i="2"/>
  <c r="O1587" i="2"/>
  <c r="O1586" i="2"/>
  <c r="O1585" i="2"/>
  <c r="O1584" i="2"/>
  <c r="O1583" i="2"/>
  <c r="O1582" i="2"/>
  <c r="O1581" i="2"/>
  <c r="O1580" i="2"/>
  <c r="O1579" i="2"/>
  <c r="O1578" i="2"/>
  <c r="O1577" i="2"/>
  <c r="O1576" i="2"/>
  <c r="O1575" i="2"/>
  <c r="O1574" i="2"/>
  <c r="O1573" i="2"/>
  <c r="O1572" i="2"/>
  <c r="O1571" i="2"/>
  <c r="O1570" i="2"/>
  <c r="O1569" i="2"/>
  <c r="O1568" i="2"/>
  <c r="O1567" i="2"/>
  <c r="O1566" i="2"/>
  <c r="O1565" i="2"/>
  <c r="O1564" i="2"/>
  <c r="O1563" i="2"/>
  <c r="O1562" i="2"/>
  <c r="O1561" i="2"/>
  <c r="O1560" i="2"/>
  <c r="O1559" i="2"/>
  <c r="O1558" i="2"/>
  <c r="O1557" i="2"/>
  <c r="O1556" i="2"/>
  <c r="O1555" i="2"/>
  <c r="O1554" i="2"/>
  <c r="O1553" i="2"/>
  <c r="O1552" i="2"/>
  <c r="O1551" i="2"/>
  <c r="O1550" i="2"/>
  <c r="O1549" i="2"/>
  <c r="O1548" i="2"/>
  <c r="O1547" i="2"/>
  <c r="O1546" i="2"/>
  <c r="O1545" i="2"/>
  <c r="O1544" i="2"/>
  <c r="O1543" i="2"/>
  <c r="O1542" i="2"/>
  <c r="O1541" i="2"/>
  <c r="O1540" i="2"/>
  <c r="O1539" i="2"/>
  <c r="O1538" i="2"/>
  <c r="O1537" i="2"/>
  <c r="O1536" i="2"/>
  <c r="O1535" i="2"/>
  <c r="O1534" i="2"/>
  <c r="O1533" i="2"/>
  <c r="O1532" i="2"/>
  <c r="O1531" i="2"/>
  <c r="O1530" i="2"/>
  <c r="O1529" i="2"/>
  <c r="O1528" i="2"/>
  <c r="O1527" i="2"/>
  <c r="O1526" i="2"/>
  <c r="O1525" i="2"/>
  <c r="O1524" i="2"/>
  <c r="O1523" i="2"/>
  <c r="O1522" i="2"/>
  <c r="O1521" i="2"/>
  <c r="O1520" i="2"/>
  <c r="O1519" i="2"/>
  <c r="O1518" i="2"/>
  <c r="O1517" i="2"/>
  <c r="O1516" i="2"/>
  <c r="O1515" i="2"/>
  <c r="O1514" i="2"/>
  <c r="O1513" i="2"/>
  <c r="O1512" i="2"/>
  <c r="O1511" i="2"/>
  <c r="O1510" i="2"/>
  <c r="O1509" i="2"/>
  <c r="O1508" i="2"/>
  <c r="O1507" i="2"/>
  <c r="O1506" i="2"/>
  <c r="O1505" i="2"/>
  <c r="O1504" i="2"/>
  <c r="O1503" i="2"/>
  <c r="O1502" i="2"/>
  <c r="O1501" i="2"/>
  <c r="O1500" i="2"/>
  <c r="O1499" i="2"/>
  <c r="O1498" i="2"/>
  <c r="O1497" i="2"/>
  <c r="O1496" i="2"/>
  <c r="O1495" i="2"/>
  <c r="O1494" i="2"/>
  <c r="O1493" i="2"/>
  <c r="O1492" i="2"/>
  <c r="O1491" i="2"/>
  <c r="O1490" i="2"/>
  <c r="O1489" i="2"/>
  <c r="O1488" i="2"/>
  <c r="O1487" i="2"/>
  <c r="O1486" i="2"/>
  <c r="O1485" i="2"/>
  <c r="O1484" i="2"/>
  <c r="O1483" i="2"/>
  <c r="O1482" i="2"/>
  <c r="O1481" i="2"/>
  <c r="O1480" i="2"/>
  <c r="O1479" i="2"/>
  <c r="O1478" i="2"/>
  <c r="O1477" i="2"/>
  <c r="O1476" i="2"/>
  <c r="O1475" i="2"/>
  <c r="O1474" i="2"/>
  <c r="O1473" i="2"/>
  <c r="O1472" i="2"/>
  <c r="O1471" i="2"/>
  <c r="O1470" i="2"/>
  <c r="O1469" i="2"/>
  <c r="O1468" i="2"/>
  <c r="O1467" i="2"/>
  <c r="O1466" i="2"/>
  <c r="O1465" i="2"/>
  <c r="O1464" i="2"/>
  <c r="O1463" i="2"/>
  <c r="O1462" i="2"/>
  <c r="O1461" i="2"/>
  <c r="O1460" i="2"/>
  <c r="O1459" i="2"/>
  <c r="O1458" i="2"/>
  <c r="O1457" i="2"/>
  <c r="O1456" i="2"/>
  <c r="O1455" i="2"/>
  <c r="O1454" i="2"/>
  <c r="O1453" i="2"/>
  <c r="O1452" i="2"/>
  <c r="O1451" i="2"/>
  <c r="O1450" i="2"/>
  <c r="O1449" i="2"/>
  <c r="O1448" i="2"/>
  <c r="O1447" i="2"/>
  <c r="O1446" i="2"/>
  <c r="O1445" i="2"/>
  <c r="O1444" i="2"/>
  <c r="O1443" i="2"/>
  <c r="O1442" i="2"/>
  <c r="O1441" i="2"/>
  <c r="O1440" i="2"/>
  <c r="O1439" i="2"/>
  <c r="O1438" i="2"/>
  <c r="O1437" i="2"/>
  <c r="O1436" i="2"/>
  <c r="O1435" i="2"/>
  <c r="O1434" i="2"/>
  <c r="O1433" i="2"/>
  <c r="O1432" i="2"/>
  <c r="O1431" i="2"/>
  <c r="O1430" i="2"/>
  <c r="O1429" i="2"/>
  <c r="O1428" i="2"/>
  <c r="O1427" i="2"/>
  <c r="O1426" i="2"/>
  <c r="O1425" i="2"/>
  <c r="O1424" i="2"/>
  <c r="O1423" i="2"/>
  <c r="O1422" i="2"/>
  <c r="O1421" i="2"/>
  <c r="O1420" i="2"/>
  <c r="O1419" i="2"/>
  <c r="O1418" i="2"/>
  <c r="O1417" i="2"/>
  <c r="O1416" i="2"/>
  <c r="O1415" i="2"/>
  <c r="O1414" i="2"/>
  <c r="O1413" i="2"/>
  <c r="O1412" i="2"/>
  <c r="O1411" i="2"/>
  <c r="O1410" i="2"/>
  <c r="O1409" i="2"/>
  <c r="O1408" i="2"/>
  <c r="O1407" i="2"/>
  <c r="O1406" i="2"/>
  <c r="O1405" i="2"/>
  <c r="O1404" i="2"/>
  <c r="O1403" i="2"/>
  <c r="O1402" i="2"/>
  <c r="O1401" i="2"/>
  <c r="O1400" i="2"/>
  <c r="O1399" i="2"/>
  <c r="O1398" i="2"/>
  <c r="O1397" i="2"/>
  <c r="O1396" i="2"/>
  <c r="O1395" i="2"/>
  <c r="O1394" i="2"/>
  <c r="O1393" i="2"/>
  <c r="O1392" i="2"/>
  <c r="O1391" i="2"/>
  <c r="O1390" i="2"/>
  <c r="O1389" i="2"/>
  <c r="O1388" i="2"/>
  <c r="O1387" i="2"/>
  <c r="O1386" i="2"/>
  <c r="O1385" i="2"/>
  <c r="O1384" i="2"/>
  <c r="O1383" i="2"/>
  <c r="O1382" i="2"/>
  <c r="O1381" i="2"/>
  <c r="O1380" i="2"/>
  <c r="O1379" i="2"/>
  <c r="O1378" i="2"/>
  <c r="O1377" i="2"/>
  <c r="O1376" i="2"/>
  <c r="O1375" i="2"/>
  <c r="O1374" i="2"/>
  <c r="O1373" i="2"/>
  <c r="O1372" i="2"/>
  <c r="O1371" i="2"/>
  <c r="O1370" i="2"/>
  <c r="O1369" i="2"/>
  <c r="O1368" i="2"/>
  <c r="O1367" i="2"/>
  <c r="O1366" i="2"/>
  <c r="O1365" i="2"/>
  <c r="O1364" i="2"/>
  <c r="O1363" i="2"/>
  <c r="O1362" i="2"/>
  <c r="O1361" i="2"/>
  <c r="O1360" i="2"/>
  <c r="O1359" i="2"/>
  <c r="O1358" i="2"/>
  <c r="O1357" i="2"/>
  <c r="O1356" i="2"/>
  <c r="O1355" i="2"/>
  <c r="O1354" i="2"/>
  <c r="O1353" i="2"/>
  <c r="O1352" i="2"/>
  <c r="O1351" i="2"/>
  <c r="O1350" i="2"/>
  <c r="O1349" i="2"/>
  <c r="O1348" i="2"/>
  <c r="O1347" i="2"/>
  <c r="O1346" i="2"/>
  <c r="O1345" i="2"/>
  <c r="O1344" i="2"/>
  <c r="O1343" i="2"/>
  <c r="O1342" i="2"/>
  <c r="O1341" i="2"/>
  <c r="O1340" i="2"/>
  <c r="O1339" i="2"/>
  <c r="O1338" i="2"/>
  <c r="O1337" i="2"/>
  <c r="O1336" i="2"/>
  <c r="O1335" i="2"/>
  <c r="O1334" i="2"/>
  <c r="O1333" i="2"/>
  <c r="O1332" i="2"/>
  <c r="O1331" i="2"/>
  <c r="O1330" i="2"/>
  <c r="O1329" i="2"/>
  <c r="O1328" i="2"/>
  <c r="O1327" i="2"/>
  <c r="O1326" i="2"/>
  <c r="O1325" i="2"/>
  <c r="O1324" i="2"/>
  <c r="O1323" i="2"/>
  <c r="O1322" i="2"/>
  <c r="O1321" i="2"/>
  <c r="O1320" i="2"/>
  <c r="O1319" i="2"/>
  <c r="O1318" i="2"/>
  <c r="O1317" i="2"/>
  <c r="O1316" i="2"/>
  <c r="O1315" i="2"/>
  <c r="O1314" i="2"/>
  <c r="O1313" i="2"/>
  <c r="O1312" i="2"/>
  <c r="O1311" i="2"/>
  <c r="O1310" i="2"/>
  <c r="O1309" i="2"/>
  <c r="O1308" i="2"/>
  <c r="O1307" i="2"/>
  <c r="O1306" i="2"/>
  <c r="O1305" i="2"/>
  <c r="O1304" i="2"/>
  <c r="O1303" i="2"/>
  <c r="O1302" i="2"/>
  <c r="O1301" i="2"/>
  <c r="O1300" i="2"/>
  <c r="O1299" i="2"/>
  <c r="O1298" i="2"/>
  <c r="O1297" i="2"/>
  <c r="O1296" i="2"/>
  <c r="O1295" i="2"/>
  <c r="O1294" i="2"/>
  <c r="O1293" i="2"/>
  <c r="O1292" i="2"/>
  <c r="O1291" i="2"/>
  <c r="O1290" i="2"/>
  <c r="O1289" i="2"/>
  <c r="O1288" i="2"/>
  <c r="O1287" i="2"/>
  <c r="O1286" i="2"/>
  <c r="O1285" i="2"/>
  <c r="O1284" i="2"/>
  <c r="O1283" i="2"/>
  <c r="O1282" i="2"/>
  <c r="O1281" i="2"/>
  <c r="O1280" i="2"/>
  <c r="O1279" i="2"/>
  <c r="O1278" i="2"/>
  <c r="O1277" i="2"/>
  <c r="O1276" i="2"/>
  <c r="O1275" i="2"/>
  <c r="O1274" i="2"/>
  <c r="O1273" i="2"/>
  <c r="O1272" i="2"/>
  <c r="O1271" i="2"/>
  <c r="O1270" i="2"/>
  <c r="O1269" i="2"/>
  <c r="O1268" i="2"/>
  <c r="O1267" i="2"/>
  <c r="O1266" i="2"/>
  <c r="O1265" i="2"/>
  <c r="O1264" i="2"/>
  <c r="O1263" i="2"/>
  <c r="O1262" i="2"/>
  <c r="O1261" i="2"/>
  <c r="O1260" i="2"/>
  <c r="O1259" i="2"/>
  <c r="O1258" i="2"/>
  <c r="O1257" i="2"/>
  <c r="O1256" i="2"/>
  <c r="O1255" i="2"/>
  <c r="O1254" i="2"/>
  <c r="O1253" i="2"/>
  <c r="O1252" i="2"/>
  <c r="O1251" i="2"/>
  <c r="O1250" i="2"/>
  <c r="O1249" i="2"/>
  <c r="O1248" i="2"/>
  <c r="O1247" i="2"/>
  <c r="O1246" i="2"/>
  <c r="O1245" i="2"/>
  <c r="O1244" i="2"/>
  <c r="O1243" i="2"/>
  <c r="O1242" i="2"/>
  <c r="O1241" i="2"/>
  <c r="O1240" i="2"/>
  <c r="O1239" i="2"/>
  <c r="O1238" i="2"/>
  <c r="O1237" i="2"/>
  <c r="O1236" i="2"/>
  <c r="O1235" i="2"/>
  <c r="O1234" i="2"/>
  <c r="O1233" i="2"/>
  <c r="O1232" i="2"/>
  <c r="O1231" i="2"/>
  <c r="O1230" i="2"/>
  <c r="O1229" i="2"/>
  <c r="O1228" i="2"/>
  <c r="O1227" i="2"/>
  <c r="O1226" i="2"/>
  <c r="O1225" i="2"/>
  <c r="O1224" i="2"/>
  <c r="O1223" i="2"/>
  <c r="O1222" i="2"/>
  <c r="O1221" i="2"/>
  <c r="O1220" i="2"/>
  <c r="O1219" i="2"/>
  <c r="O1218" i="2"/>
  <c r="O1217" i="2"/>
  <c r="O1216" i="2"/>
  <c r="O1215" i="2"/>
  <c r="O1214" i="2"/>
  <c r="O1213" i="2"/>
  <c r="O1212" i="2"/>
  <c r="O1211" i="2"/>
  <c r="O1210" i="2"/>
  <c r="O1209" i="2"/>
  <c r="O1208" i="2"/>
  <c r="O1207" i="2"/>
  <c r="O1206" i="2"/>
  <c r="O1205" i="2"/>
  <c r="O1204" i="2"/>
  <c r="O1203" i="2"/>
  <c r="O1202" i="2"/>
  <c r="O1201" i="2"/>
  <c r="O1200" i="2"/>
  <c r="O1199" i="2"/>
  <c r="O1198" i="2"/>
  <c r="O1197" i="2"/>
  <c r="O1196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B25" i="1"/>
  <c r="B24" i="1"/>
  <c r="B22" i="1"/>
  <c r="B21" i="1"/>
  <c r="B20" i="1"/>
  <c r="B19" i="1"/>
  <c r="B18" i="1"/>
  <c r="B17" i="1"/>
  <c r="B16" i="1"/>
  <c r="B15" i="1"/>
  <c r="B14" i="1"/>
  <c r="B18" i="5" l="1"/>
  <c r="D18" i="5"/>
</calcChain>
</file>

<file path=xl/sharedStrings.xml><?xml version="1.0" encoding="utf-8"?>
<sst xmlns="http://schemas.openxmlformats.org/spreadsheetml/2006/main" count="26168" uniqueCount="9438">
  <si>
    <t>PRISMA 2020 flow with protocol amendment (eligibility criteria IC5-IC10 added 19-20 October 2026)</t>
  </si>
  <si>
    <t>Counts below are formulas over Eligibility_core; identification and screening counts come from 2026_10_19_Screening_FullText_Retrieval.xlsx (Summary).</t>
  </si>
  <si>
    <t>IDENTIFICATION</t>
  </si>
  <si>
    <t>Records identified from 7 databases (Scopus, WoS, PubMed, IEEE Xplore, ACM DL, ERIC, ACL Anthology)</t>
  </si>
  <si>
    <t>Duplicate records removed (title + first author)</t>
  </si>
  <si>
    <t>SCREENING</t>
  </si>
  <si>
    <t>Records screened (title/abstract)</t>
  </si>
  <si>
    <t>Records excluded</t>
  </si>
  <si>
    <t>rules 1,980; reading 7,738</t>
  </si>
  <si>
    <t>Reports sought for retrieval</t>
  </si>
  <si>
    <t>core 1,832; adjacent 1,054</t>
  </si>
  <si>
    <t>Reports not retrieved</t>
  </si>
  <si>
    <t>Reports assessed for eligibility (full text)</t>
  </si>
  <si>
    <t>ELIGIBILITY (amended criteria)</t>
  </si>
  <si>
    <t>Excluded IC5: adjacent, not a core counselling dialogue system</t>
  </si>
  <si>
    <t>adjacent tier retained for context only</t>
  </si>
  <si>
    <t>Core CDS reports</t>
  </si>
  <si>
    <t>Excluded IC6: no own or purpose-built system</t>
  </si>
  <si>
    <t>Excluded IC7: not evaluated with human end users</t>
  </si>
  <si>
    <t>Excluded IC8: no explicit counselling/helping approach</t>
  </si>
  <si>
    <t>Excluded: duplicate records</t>
  </si>
  <si>
    <t>Eligible CDS evaluations = Level-1 mapping set (reports)</t>
  </si>
  <si>
    <t>used for RQ1 trends and evaluation-approach mapping</t>
  </si>
  <si>
    <t>Excluded IC9: no intervention-outcome evaluation</t>
  </si>
  <si>
    <t>kept in Level-1 map</t>
  </si>
  <si>
    <t>Excluded IC10: outcome evaluation without comparator/control</t>
  </si>
  <si>
    <t>INCLUDED</t>
  </si>
  <si>
    <t>Studies included in Level-2 synthesis</t>
  </si>
  <si>
    <t>RQ2-RQ4</t>
  </si>
  <si>
    <t>Reports of included studies (incl. linked secondary reports)</t>
  </si>
  <si>
    <t>Protocol amendment: eligibility criteria</t>
  </si>
  <si>
    <t>IC5  Core CDS: a dialogue system whose primary purpose is to help a user explore a personal problem, regulate emotions, understand options or decide on a course of action, informed by counselling or helping practice.</t>
  </si>
  <si>
    <t>IC6  The study builds, adapts or evaluates a specific, purpose-built CDS (excludes probing off-the-shelf general chatbots, surveys, app-review or social-media analyses, frameworks without a system).</t>
  </si>
  <si>
    <t>IC7  The system was used by real human end users (excludes offline metrics, simulated users and expert rating of transcripts only).</t>
  </si>
  <si>
    <t>IC8  The dialogue design explicitly draws on a named counselling or helping approach (e.g., CBT, MI, ACT, DBT, PST, BA, SFBT, person-centred/helping skills, positive psychology, mindfulness, self-compassion, coaching, PFA, supportive-communication theory); generic "empathy" alone does not qualify.</t>
  </si>
  <si>
    <t>IC9  Intervention-outcome evaluation: participants used the CDS as an intervention and psychological, behavioural or well-being outcomes were measured.</t>
  </si>
  <si>
    <t>IC10 The outcome evaluation includes a comparator or control (randomised or non-randomised; between- or within-subjects).</t>
  </si>
  <si>
    <t>Rationale: the 2,567 retrieved reports were too many for in-depth synthesis; IC5-IC8 define the Level-1 mapping set and IC9-IC10 the Level-2 synthesis set. Single screener (AI-assisted); a second screener should code a random 20% in Eligibility_core column N to compute agreement/kappa.</t>
  </si>
  <si>
    <t>Unique ID</t>
  </si>
  <si>
    <t>Title</t>
  </si>
  <si>
    <t>First author</t>
  </si>
  <si>
    <t>Year</t>
  </si>
  <si>
    <t>Period</t>
  </si>
  <si>
    <t>Document type</t>
  </si>
  <si>
    <t>Source</t>
  </si>
  <si>
    <t>DOI</t>
  </si>
  <si>
    <t>PDF file</t>
  </si>
  <si>
    <t>Eligibility code</t>
  </si>
  <si>
    <t>Eligibility decision</t>
  </si>
  <si>
    <t>Level-1 map (IC5-IC8 eligible)</t>
  </si>
  <si>
    <t>Level-2 synthesis</t>
  </si>
  <si>
    <t>Second-screener code (to fill)</t>
  </si>
  <si>
    <t>Agreement</t>
  </si>
  <si>
    <t>U00006</t>
  </si>
  <si>
    <t>Effects of AI-based chatbot coaching on goal attainment, self-efficacy, and stress: A longitudinal randomized experiment</t>
  </si>
  <si>
    <t>Ohlms</t>
  </si>
  <si>
    <t>2023-2026</t>
  </si>
  <si>
    <t>Journal article</t>
  </si>
  <si>
    <t>COMPUTERS IN HUMAN BEHAVIOR</t>
  </si>
  <si>
    <t>10.1016/j.chb.2026.109184</t>
  </si>
  <si>
    <t>U00006_Ohlms_2027.pdf</t>
  </si>
  <si>
    <t>I</t>
  </si>
  <si>
    <t>Included (Level-2 synthesis)</t>
  </si>
  <si>
    <t>Yes</t>
  </si>
  <si>
    <t>U00025</t>
  </si>
  <si>
    <t>"I Will Be Right Here Whenever You Need Me": Designing AI-Mediated Collaborative Support for Adolescent Mental Health in Border Regions</t>
  </si>
  <si>
    <t>Wei Gong</t>
  </si>
  <si>
    <t>Conference paper</t>
  </si>
  <si>
    <t>Proceedings of the 2026 Companion of the Computer-Supported Cooperative Work and Social Computing</t>
  </si>
  <si>
    <t>10.1145/3785651.3836636</t>
  </si>
  <si>
    <t>U00025_Gong_2026.pdf</t>
  </si>
  <si>
    <t>N7</t>
  </si>
  <si>
    <t>No</t>
  </si>
  <si>
    <t>U00027</t>
  </si>
  <si>
    <t>"Is This Really a Human Peer Supporter?": Misalignments Between Peer Supporters and Experts in LLM-Supported Interactions</t>
  </si>
  <si>
    <t>Sim</t>
  </si>
  <si>
    <t>Proceedings of the ACM on Human-Computer Interaction</t>
  </si>
  <si>
    <t>10.1145/3816956</t>
  </si>
  <si>
    <t>U00027_Sim_2026.pdf</t>
  </si>
  <si>
    <t>N6</t>
  </si>
  <si>
    <t>Excluded IC6: no own or purpose-built dialogue system</t>
  </si>
  <si>
    <t>U00028</t>
  </si>
  <si>
    <t>"Like Having Family Nearby": An LLM-Powered Family-Resembling Avatar for offering Psychological Support and Training Guidance during Stroke Rehabilitation</t>
  </si>
  <si>
    <t>Xiong</t>
  </si>
  <si>
    <t>Conference on Human Factors in Computing Systems - Proceedings</t>
  </si>
  <si>
    <t>10.1145/3772363.3798321</t>
  </si>
  <si>
    <t>U00028_Xiong_2026.pdf</t>
  </si>
  <si>
    <t>N8</t>
  </si>
  <si>
    <t>U00030</t>
  </si>
  <si>
    <t>"This Isn&amp;#x2019;t Living the Dream; I Want Out": Probing Generative AI for Aviation Mental Health Support Through an Exploratory Design Experiment</t>
  </si>
  <si>
    <t>Ranjitha Naruganahalli Rangaswamy</t>
  </si>
  <si>
    <t>10.1145/3785651.3831532</t>
  </si>
  <si>
    <t>U00030_Rangaswamy_2026.pdf</t>
  </si>
  <si>
    <t>U00032</t>
  </si>
  <si>
    <t>"What Can I Control?": Designing an Attribution Reframing Chatbot for Early-Career Employees' Workplace Stress Management</t>
  </si>
  <si>
    <t>Lee</t>
  </si>
  <si>
    <t>10.1145/3772363.3798873</t>
  </si>
  <si>
    <t>U00032_Lee_2026.pdf</t>
  </si>
  <si>
    <t>N9</t>
  </si>
  <si>
    <t>Excluded IC9: no intervention-outcome evaluation (Level-1 map only)</t>
  </si>
  <si>
    <t>U00035</t>
  </si>
  <si>
    <t>"words are not enough": Examining Emotional Support by Conversational AI for Caregivers</t>
  </si>
  <si>
    <t>Vafafar</t>
  </si>
  <si>
    <t>10.1145/3772318.3790647</t>
  </si>
  <si>
    <t>U00035_Vafafar_2026.pdf</t>
  </si>
  <si>
    <t>U00037</t>
  </si>
  <si>
    <t>''It Hasn&amp;#x2019;t Lived in Our Society&amp;#x201d;: Investigating Cultural Sensitivity in LLM Chatbots for Emotional Support</t>
  </si>
  <si>
    <t>Sarah Aldaweesh</t>
  </si>
  <si>
    <t>Proceedings of the 2026 CHI Conference on Human Factors in Computing Systems</t>
  </si>
  <si>
    <t>10.1145/3772318.3791060</t>
  </si>
  <si>
    <t>U00037_Aldaweesh_2026.pdf</t>
  </si>
  <si>
    <t>U00038</t>
  </si>
  <si>
    <t>''It Hasn't Lived in Our Society": Investigating Cultural Sensitivity in LLM Chatbots for Emotional Support</t>
  </si>
  <si>
    <t>Aldaweesh</t>
  </si>
  <si>
    <t>U00038_Aldaweesh_2026.pdf</t>
  </si>
  <si>
    <t>U00056</t>
  </si>
  <si>
    <t>A C-SSRS-Based Risk-Aware Evaluation Framework for Self-Harm Safety in LLMs</t>
  </si>
  <si>
    <t>Zhang</t>
  </si>
  <si>
    <t>Proceedings - 2026 IEEE International Conference on Artificial Intelligence Testing, AITest 2026</t>
  </si>
  <si>
    <t>10.1109/aitest70988.2026.00035</t>
  </si>
  <si>
    <t>U00056_Zhang_2026.pdf</t>
  </si>
  <si>
    <t>U00061</t>
  </si>
  <si>
    <t>A Chatbot for the Management of Bipolar Disorder: Using Retrieval-Augmented Generation With an Open-Weight Large Language Model to Answer Clinical Questions Based on the CANMAT and ISBD 2018 Guidelines for Bipolar Disorder</t>
  </si>
  <si>
    <t>Mali</t>
  </si>
  <si>
    <t>CANADIAN JOURNAL OF PSYCHIATRY-REVUE CANADIENNE DE PSYCHIATRIE</t>
  </si>
  <si>
    <t>10.1177/07067437261457232</t>
  </si>
  <si>
    <t>U00061_Mali_2026.pdf</t>
  </si>
  <si>
    <t>U00062</t>
  </si>
  <si>
    <t>A Chatbot for the Management of Bipolar Disorder: Using Retrieval-Augmented Generation With an Open-Weight Large Language Model to Answer Clinical Questions Based on the CANMAT and ISBD 2018 Guidelines for Bipolar Disorder: Un dialogueur pour la prise en charge du trouble bipolaire : utiliser la génération augmentée par récupération avec un grand modèle de langage (GML) à poids ouverts pour répondre aux questions cliniques fondées sur les lignes directrices de 2018 de CANMAT et de l'ISBD relatives au trouble bipolaire</t>
  </si>
  <si>
    <t>Canadian Journal of Psychiatry</t>
  </si>
  <si>
    <t>U00062_Mali_2026.pdf</t>
  </si>
  <si>
    <t>U00068</t>
  </si>
  <si>
    <t>A clinically validated framework for auditing AI chatbot behavior in mental health interactions</t>
  </si>
  <si>
    <t>Weilnhammer</t>
  </si>
  <si>
    <t>Nature Medicine</t>
  </si>
  <si>
    <t>10.1038/s41591-026-04577-2</t>
  </si>
  <si>
    <t>U00068_Weilnhammer_2026.pdf</t>
  </si>
  <si>
    <t>U00070</t>
  </si>
  <si>
    <t>A cognitive layer architecture to support large-language model performance in psychotherapy interactions</t>
  </si>
  <si>
    <t>Rollwage</t>
  </si>
  <si>
    <t>10.1038/s41591-026-04278-w</t>
  </si>
  <si>
    <t>U00070_Rollwage_2026.pdf</t>
  </si>
  <si>
    <t>U00075</t>
  </si>
  <si>
    <t>A Comparative Evaluation of Human and LLM-Based Counselors: Trust, User Experience, and Design Implications</t>
  </si>
  <si>
    <t>Park</t>
  </si>
  <si>
    <t>IEEE Access</t>
  </si>
  <si>
    <t>10.1109/access.2026.3724790</t>
  </si>
  <si>
    <t>U00075_Park_2026.pdf</t>
  </si>
  <si>
    <t>U00082</t>
  </si>
  <si>
    <t>A Comprehensive AI Engineered Platform for Customized Mental Health Support</t>
  </si>
  <si>
    <t>Banik</t>
  </si>
  <si>
    <t>Lecture Notes in Networks and Systems</t>
  </si>
  <si>
    <t>10.1007/978-3-032-26908-9_29</t>
  </si>
  <si>
    <t>U00082_Banik_2026.pdf</t>
  </si>
  <si>
    <t>U00086</t>
  </si>
  <si>
    <t>A Conditional Companion: Lived Experiences of People with Mental Health Disorders Using LLMs</t>
  </si>
  <si>
    <t>Purohit</t>
  </si>
  <si>
    <t>10.1145/3772318.3791763</t>
  </si>
  <si>
    <t>U00086_Purohit_2026.pdf</t>
  </si>
  <si>
    <t>U00091</t>
  </si>
  <si>
    <t>A conversational agent as a virtual therapist for patients diagnosed with schizophrenia: A preliminary study</t>
  </si>
  <si>
    <t>Stefaniak</t>
  </si>
  <si>
    <t>PLOS ONE</t>
  </si>
  <si>
    <t>10.1371/journal.pone.0343519</t>
  </si>
  <si>
    <t>U00091_Stefaniak_2026.pdf</t>
  </si>
  <si>
    <t>N10</t>
  </si>
  <si>
    <t>Excluded IC10: no comparator/control condition (Level-1 map only)</t>
  </si>
  <si>
    <t>U00092</t>
  </si>
  <si>
    <t>A Conversational Agent for Motivational Interviewing with Summary Prediction</t>
  </si>
  <si>
    <t>H. Tsuchiya</t>
  </si>
  <si>
    <t>2026 IEEE 35th International Conference on Robot and Human Interactive Communication (RO-MAN)</t>
  </si>
  <si>
    <t>10.1109/ro-man72286.2026.11714830</t>
  </si>
  <si>
    <t>U00092_Tsuchiya_2026.pdf</t>
  </si>
  <si>
    <t>U00097</t>
  </si>
  <si>
    <t>A counselor-inspired agent framework for AI counselors to enhance client engagement</t>
  </si>
  <si>
    <t>Tang</t>
  </si>
  <si>
    <t>Technology in Society</t>
  </si>
  <si>
    <t>10.1016/j.techsoc.2025.103045</t>
  </si>
  <si>
    <t>U00097_Tang_2026.pdf</t>
  </si>
  <si>
    <t>U00109</t>
  </si>
  <si>
    <t>A Deterministic Safety Guard for a Fine-Tuned Gemma Mental-Health Psychoeducation Assistant with a Live2D Interface</t>
  </si>
  <si>
    <t>B. Juarto</t>
  </si>
  <si>
    <t>2026 13th International Conference on ICT for Smart Society (ICISS)</t>
  </si>
  <si>
    <t>10.1109/iciss71466.2026.11715381</t>
  </si>
  <si>
    <t>U00109_Juarto_2026.pdf</t>
  </si>
  <si>
    <t>U00123</t>
  </si>
  <si>
    <t>A Framework in Generative AI for Preventing Suicidal Thoughts</t>
  </si>
  <si>
    <t>Surya</t>
  </si>
  <si>
    <t>Communications in Computer and Information Science</t>
  </si>
  <si>
    <t>10.1007/978-3-032-17184-9_9</t>
  </si>
  <si>
    <t>U00123_Surya_2026.pdf</t>
  </si>
  <si>
    <t>U00133</t>
  </si>
  <si>
    <t>A Graph-Enhanced MLLM for Hierarchical Multimodal Emotion Understanding and Support in Conversations</t>
  </si>
  <si>
    <t>Tu</t>
  </si>
  <si>
    <t>SIGIR 2026 - Proceedings of the 49th International ACM SIGIR Conference on Research and Development in Information Retrieval</t>
  </si>
  <si>
    <t>10.1145/3805712.3809910</t>
  </si>
  <si>
    <t>U00133_Tu_2026.pdf</t>
  </si>
  <si>
    <t>U00135</t>
  </si>
  <si>
    <t>A guided chatbot-based psychological intervention for psychologically distressed older adolescents and young adults: a randomised clinical trial in Jordan</t>
  </si>
  <si>
    <t>Bryant</t>
  </si>
  <si>
    <t>npj Digital Medicine</t>
  </si>
  <si>
    <t>10.1038/s41746-025-02142-8</t>
  </si>
  <si>
    <t>U00135_Bryant_2026.pdf</t>
  </si>
  <si>
    <t>U00145</t>
  </si>
  <si>
    <t>A Hybrid Intelligence Framework for Personalized Career Guidance via LLMs and Reinforcement Learning</t>
  </si>
  <si>
    <t>Li</t>
  </si>
  <si>
    <t>INTERNATIONAL JOURNAL OF INFORMATION TECHNOLOGIES AND SYSTEMS APPROACH</t>
  </si>
  <si>
    <t>10.4018/ijitsa.420186</t>
  </si>
  <si>
    <t>U00145_Li_2026.pdf</t>
  </si>
  <si>
    <t>U00147</t>
  </si>
  <si>
    <t>A Hybrid RAG-2.0-Driven Evidence-Based Mental Health Intervention Ethical Prompt System</t>
  </si>
  <si>
    <t>Sofia Chandraseka</t>
  </si>
  <si>
    <t>International Conference on Innovations in Communication, Geoscience and Robotics, ICICGR 2026</t>
  </si>
  <si>
    <t>10.1109/icicgr68236.2026.11600226</t>
  </si>
  <si>
    <t>U00147_Sofia-Chandraseka_2026.pdf</t>
  </si>
  <si>
    <t>U00161</t>
  </si>
  <si>
    <t>A Mental Health Chatbot Platform for Personalized Therapeutic Engagement, Enhanced with Secure User Authentication</t>
  </si>
  <si>
    <t>Navya Chowdary</t>
  </si>
  <si>
    <t>10.1007/978-981-96-8350-5_44</t>
  </si>
  <si>
    <t>U00161_Navya-Chowdary_2026.pdf</t>
  </si>
  <si>
    <t>U00162</t>
  </si>
  <si>
    <t>A Mental Health Chatbot with Bitmoji-based Emotional Avatars for Enhanced Empathetic Communication</t>
  </si>
  <si>
    <t>Rajkumar</t>
  </si>
  <si>
    <t>Proceedings of the 2026 6th International Conference on Image Processing and Capsule Networks, ICIPCN 2026</t>
  </si>
  <si>
    <t>10.1109/icipcn67432.2026.11438296</t>
  </si>
  <si>
    <t>U00162_Rajkumar_2026.pdf</t>
  </si>
  <si>
    <t>U00163</t>
  </si>
  <si>
    <t>A Method for Reducing Loneliness in Older Adults Through Empathetic Responses Based on Conversational History</t>
  </si>
  <si>
    <t>Matsukawa</t>
  </si>
  <si>
    <t>2026 IEEE/ACIS 24th International Conference on Software Engineering Research, Management and Applications, SERA 2026</t>
  </si>
  <si>
    <t>10.1109/sera69989.2026.11618603</t>
  </si>
  <si>
    <t>U00163_Matsukawa_2026.pdf</t>
  </si>
  <si>
    <t>U00170</t>
  </si>
  <si>
    <t>A Multi-Component Framework for Safe Mental Health Chatbots: Integrating Retrieval-Augmented Generation, Sentiment Analysis, and Guardrail Mechanisms</t>
  </si>
  <si>
    <t>A. Guda</t>
  </si>
  <si>
    <t>2026 Intelligent Methods, Systems, and Applications (IMSA)</t>
  </si>
  <si>
    <t>10.1109/imsa70415.2026.11700288</t>
  </si>
  <si>
    <t>U00170_Guda_2026.pdf</t>
  </si>
  <si>
    <t>U00183</t>
  </si>
  <si>
    <t>A Multimodal Context-Aware AI Conversational Agent for Emotion Recognition and Adaptive Stress Management</t>
  </si>
  <si>
    <t>Sree Devi</t>
  </si>
  <si>
    <t>2026 International Conference on Emerging Trends in Mobile Computing and Sustainable Informatics, ICEMCSI 2026</t>
  </si>
  <si>
    <t>10.1109/icemcsi67638.2026.11603222</t>
  </si>
  <si>
    <t>U00183_Sree-Devi_2026.pdf</t>
  </si>
  <si>
    <t>U00184</t>
  </si>
  <si>
    <t>S. D. S</t>
  </si>
  <si>
    <t>2026 International Conference on Emerging Trends in Mobile Computing and Sustainable Informatics (ICEMCSI)</t>
  </si>
  <si>
    <t>U00184_S_2026.pdf</t>
  </si>
  <si>
    <t>U00185</t>
  </si>
  <si>
    <t>A Multimodal Conversational Chatbot for Emotional Support and Daily Assistance in Older Adults: Design, Development and Pilot Usability Evaluation</t>
  </si>
  <si>
    <t>Parra-Cabrera</t>
  </si>
  <si>
    <t>Healthcare (Switzerland)</t>
  </si>
  <si>
    <t>10.3390/healthcare14131946</t>
  </si>
  <si>
    <t>U00185_Parra-Cabrera_2026.pdf</t>
  </si>
  <si>
    <t>U00186</t>
  </si>
  <si>
    <t>A Multimodal Emotion-Aware AI Chatbot using SER and RAG-based LLMs for Real-Time Mental Health Support</t>
  </si>
  <si>
    <t>Chokkalingam</t>
  </si>
  <si>
    <t>Proceedings of 7th International Conference on Intelligent Communication Technologies and Virtual Mobile Networks, ICICV 2026</t>
  </si>
  <si>
    <t>10.1109/icicv68925.2026.11554638</t>
  </si>
  <si>
    <t>U00186_Chokkalingam_2026.pdf</t>
  </si>
  <si>
    <t>U00187</t>
  </si>
  <si>
    <t>A Multimodal Emotion-Aware Chatbot for Mental Well-Being Using Text and Facial Expression Analysis</t>
  </si>
  <si>
    <t>Karthik Pai</t>
  </si>
  <si>
    <t>GSEACT 2026 - 2026 IEEE Global Symposium on Emerging and Communication Technologies</t>
  </si>
  <si>
    <t>10.1109/gseact68539.2026.11620224</t>
  </si>
  <si>
    <t>U00187_Karthik-Pai_2026.pdf</t>
  </si>
  <si>
    <t>U00188</t>
  </si>
  <si>
    <t>K. P. B H</t>
  </si>
  <si>
    <t>2026 IEEE Global Symposium on Emerging and Communication Technologies (GSEACT)</t>
  </si>
  <si>
    <t>U00188_H_2026.pdf</t>
  </si>
  <si>
    <t>U00196</t>
  </si>
  <si>
    <t>A Neck Pillow Companion Robot That Alleviates User Loneliness Through Dialogue and Thermal Feedback</t>
  </si>
  <si>
    <t>Tashiro</t>
  </si>
  <si>
    <t>Companion Proceedings of the 21st ACM/IEEE International Conference on Human-Robot Interaction, HRI Companion 2026</t>
  </si>
  <si>
    <t>10.1145/3776734.3794396</t>
  </si>
  <si>
    <t>U00196_Tashiro_2026.pdf</t>
  </si>
  <si>
    <t>U00210</t>
  </si>
  <si>
    <t>A pilot study of human–AI conversational interaction and its impact on loneliness and wellbeing</t>
  </si>
  <si>
    <t>Trylińska-Tekielska</t>
  </si>
  <si>
    <t>Frontiers in Digital Health</t>
  </si>
  <si>
    <t>10.3389/fdgth.2026.1687924</t>
  </si>
  <si>
    <t>U00210_Trylinska-Tekielska_2026.pdf</t>
  </si>
  <si>
    <t>U00225</t>
  </si>
  <si>
    <t>A question-answering model for college students' mental health based on attention-mechanism-enhanced LoRA</t>
  </si>
  <si>
    <t>Jin</t>
  </si>
  <si>
    <t>Proceedings of SPIE - The International Society for Optical Engineering</t>
  </si>
  <si>
    <t>10.1117/12.3110391</t>
  </si>
  <si>
    <t>U00225_Jin_2026.pdf</t>
  </si>
  <si>
    <t>U00249</t>
  </si>
  <si>
    <t>A Robot-Led Intervention for Emotion Regulation: from Expression to Reappraisal</t>
  </si>
  <si>
    <t>Laban</t>
  </si>
  <si>
    <t>IEEE Transactions on Affective Computing</t>
  </si>
  <si>
    <t>10.1109/taffc.2026.3657604</t>
  </si>
  <si>
    <t>U00249_Laban_2026.pdf</t>
  </si>
  <si>
    <t>U00267</t>
  </si>
  <si>
    <t>A Social Affective Robot for Emotion Regulation to Mitigate Procrastination in Adolescents</t>
  </si>
  <si>
    <t>Rangel</t>
  </si>
  <si>
    <t>10.1007/978-3-032-16992-1_4</t>
  </si>
  <si>
    <t>U00267_Rangel_2026.pdf</t>
  </si>
  <si>
    <t>U00270</t>
  </si>
  <si>
    <t>A staged approach to the development of an embodied conversational agent to support wellbeing after injury</t>
  </si>
  <si>
    <t>Hopman</t>
  </si>
  <si>
    <t>Behaviour and Information Technology</t>
  </si>
  <si>
    <t>10.1080/0144929x.2025.2477757</t>
  </si>
  <si>
    <t>U00270_Hopman_2026.pdf</t>
  </si>
  <si>
    <t>U00272</t>
  </si>
  <si>
    <t>A Statistical and Thematic Benchmark for Evaluating Emotional Support in Generative AI</t>
  </si>
  <si>
    <t>Hansana</t>
  </si>
  <si>
    <t>Proceedings - IEEE International Research Conference on Smart Computing and Systems Engineering, SCSE 2026</t>
  </si>
  <si>
    <t>10.1109/scse70081.2026.11499903</t>
  </si>
  <si>
    <t>U00272_Hansana_2026.pdf</t>
  </si>
  <si>
    <t>U00295</t>
  </si>
  <si>
    <t>A Technical Blueprint for an Emotional Journal AI: Leveraging RAG and ChromaDB for Personalized Emotional Intelligence</t>
  </si>
  <si>
    <t>Goyal</t>
  </si>
  <si>
    <t>2026 2nd International Conference on Cognitive Computing in Engineering, Communications, Sciences and Biomedical Health Informatics, IC3ECSBHI 2026</t>
  </si>
  <si>
    <t>10.1109/ic3ecsbhi67834.2026.11469168</t>
  </si>
  <si>
    <t>U00295_Goyal_2026.pdf</t>
  </si>
  <si>
    <t>U00300</t>
  </si>
  <si>
    <t>A Therapeutic Conversational Agent (Solace) for Management of Chronic Pain: Acceptability and Usability Study</t>
  </si>
  <si>
    <t>Maxwell Slepian</t>
  </si>
  <si>
    <t>JMIR Rehabilitation and Assistive Technologies</t>
  </si>
  <si>
    <t>10.2196/87689</t>
  </si>
  <si>
    <t>U00300_Maxwell-Slepian_2026.pdf</t>
  </si>
  <si>
    <t>U00313</t>
  </si>
  <si>
    <t>A Virtual Music-Therapist Dialogue System Based on Natural Language Processing</t>
  </si>
  <si>
    <t>Zhao</t>
  </si>
  <si>
    <t>Proceedings of 2025 International Conference on Artificial Intelligence, Virtual Reality and Interaction Design, AIVRID 2025</t>
  </si>
  <si>
    <t>10.1145/3777730.3777763</t>
  </si>
  <si>
    <t>U00313_Zhao_2026.pdf</t>
  </si>
  <si>
    <t>U00338</t>
  </si>
  <si>
    <t>ACE-GoT: Affective and Contextual Expansion via Graph-of-Thought for Emotional Support Conversations</t>
  </si>
  <si>
    <t>Xue</t>
  </si>
  <si>
    <t>IEEE ACCESS</t>
  </si>
  <si>
    <t>10.1109/access.2026.3720767</t>
  </si>
  <si>
    <t>U00338_Xue_2026.pdf</t>
  </si>
  <si>
    <t>U00348</t>
  </si>
  <si>
    <t>Adaptive Chatbot for Mental Health Screening and Personalized Self-Help Interventions</t>
  </si>
  <si>
    <t>G. B. Nair</t>
  </si>
  <si>
    <t>2026 International Conference on Advancements in Smart, Secure and Intelligent Computing (ASSIC)</t>
  </si>
  <si>
    <t>10.1109/assic70037.2026.11717149</t>
  </si>
  <si>
    <t>U00348_Nair_2026.pdf</t>
  </si>
  <si>
    <t>U00350</t>
  </si>
  <si>
    <t>Adaptive emotion-aware chatbot for mental health diagnosis using recurrent reinforcement learning and transformer models</t>
  </si>
  <si>
    <t>Dessai</t>
  </si>
  <si>
    <t>Frontiers in Artificial Intelligence</t>
  </si>
  <si>
    <t>10.3389/frai.2026.1769286</t>
  </si>
  <si>
    <t>U00350_Dessai_2026.pdf</t>
  </si>
  <si>
    <t>U00360</t>
  </si>
  <si>
    <t>Adaptive Virtual Therapist for Mental Health Support</t>
  </si>
  <si>
    <t>Santhoshkumar</t>
  </si>
  <si>
    <t>ICCIDS 2026 - 9th International Conference on Computational Intelligence in Data Science</t>
  </si>
  <si>
    <t>10.1109/iccids69108.2026.11407869</t>
  </si>
  <si>
    <t>U00360_Santhoshkumar_2026.pdf</t>
  </si>
  <si>
    <t>U00366</t>
  </si>
  <si>
    <t>Addressing loneliness by AI chatbot: a qualitative study of empty-nest elderly</t>
  </si>
  <si>
    <t>Jiao</t>
  </si>
  <si>
    <t>BMC public health</t>
  </si>
  <si>
    <t>10.1186/s12889-026-26283-x</t>
  </si>
  <si>
    <t>U00366_Jiao_2026.pdf</t>
  </si>
  <si>
    <t>U00367</t>
  </si>
  <si>
    <t>Addressing Low Self Esteem in Pakistani University Students via an Embodied Conversational Agent</t>
  </si>
  <si>
    <t>Hafiz Muhammad Tahir</t>
  </si>
  <si>
    <t>Proceedings of the 26th ACM International Conference on Intelligent Virtual Agents</t>
  </si>
  <si>
    <t>10.1145/3806774.3827981</t>
  </si>
  <si>
    <t>U00367_Tahir_2026.pdf</t>
  </si>
  <si>
    <t>U00380</t>
  </si>
  <si>
    <t>Advanced robot interfaces are unnecessary for effective psychological health interventions</t>
  </si>
  <si>
    <t>Huang</t>
  </si>
  <si>
    <t>Computers in Human Behavior Reports</t>
  </si>
  <si>
    <t>10.1016/j.chbr.2026.100955</t>
  </si>
  <si>
    <t>U00380_Huang_2026.pdf</t>
  </si>
  <si>
    <t>U00386</t>
  </si>
  <si>
    <t>Advancing Human-Computer Interaction through Empathic Voice-Based Conversational Agents</t>
  </si>
  <si>
    <t>P. Purushottam</t>
  </si>
  <si>
    <t>10.1109/assic70037.2026.11716807</t>
  </si>
  <si>
    <t>U00386_Purushottam_2026.pdf</t>
  </si>
  <si>
    <t>U00396</t>
  </si>
  <si>
    <t>Affect-conditioned prompt orchestration for mental-health support chatbots: Architecture, ablation analysis, and safety considerations</t>
  </si>
  <si>
    <t>Silva</t>
  </si>
  <si>
    <t>Knowledge-Based Systems</t>
  </si>
  <si>
    <t>10.1016/j.knosys.2026.117102</t>
  </si>
  <si>
    <t>U00396_Silva_2026.pdf</t>
  </si>
  <si>
    <t>U00397</t>
  </si>
  <si>
    <t>Affective and Goal-Oriented Factors of Relationship Formation in the Digital Therapeutic Alliance: A Longitudinal Study of Mental Health Chatbots</t>
  </si>
  <si>
    <t>Xu</t>
  </si>
  <si>
    <t>10.1145/3772318.3791614</t>
  </si>
  <si>
    <t>U00397_Xu_2026.pdf</t>
  </si>
  <si>
    <t>U00415</t>
  </si>
  <si>
    <t>Agentic AI for Therapy</t>
  </si>
  <si>
    <t>Yadav</t>
  </si>
  <si>
    <t>10.1109/iccids69108.2026.11407690</t>
  </si>
  <si>
    <t>U00415_Yadav_2026.pdf</t>
  </si>
  <si>
    <t>U00419</t>
  </si>
  <si>
    <t>Agentic AI-driven Multimodal Emotion-Aware Student Mental Health Chatbot Using DistilBERT, AWS Rekognition and n8n</t>
  </si>
  <si>
    <t>Sangle</t>
  </si>
  <si>
    <t>2026 IEEE International Conference on AI and Data Analytics, ICAD 2026</t>
  </si>
  <si>
    <t>10.1109/icad69378.2026.11608378</t>
  </si>
  <si>
    <t>U00419_Sangle_2026.pdf</t>
  </si>
  <si>
    <t>U00432</t>
  </si>
  <si>
    <t>AI and Inner Peace: AI-Powered Mental Wellness Through the Teachings of the Bhagavad-Gita</t>
  </si>
  <si>
    <t>Rajeshwari</t>
  </si>
  <si>
    <t>10.1007/978-3-032-12987-1_19</t>
  </si>
  <si>
    <t>U00432_Rajeshwari_2026.pdf</t>
  </si>
  <si>
    <t>U00450</t>
  </si>
  <si>
    <t>AI Augmented Mental Health Journal with Sentiment Analysis and Mood Visualization using NLP and LLM</t>
  </si>
  <si>
    <t>Joby</t>
  </si>
  <si>
    <t>2026 3rd International Conference on Research Methodologies in Knowledge Management Artificial Intelligence and Telecommunication Engineering, RMKMATE 2026</t>
  </si>
  <si>
    <t>10.1109/rmkmate69073.2026.11518589</t>
  </si>
  <si>
    <t>U00450_Joby_2026.pdf</t>
  </si>
  <si>
    <t>U00458</t>
  </si>
  <si>
    <t>AI Chatbot Suicide Risk Detection and Response: Human Validation Study of the Open-Source VERA-MH Safety Evaluation</t>
  </si>
  <si>
    <t>Bentley</t>
  </si>
  <si>
    <t>JMIR AI</t>
  </si>
  <si>
    <t>10.2196/92817</t>
  </si>
  <si>
    <t>U00458_Bentley_2026.pdf</t>
  </si>
  <si>
    <t>U00463</t>
  </si>
  <si>
    <t>AI Chatbots for Mental Health Self-Management: Lived Experience–Centered Qualitative Study</t>
  </si>
  <si>
    <t>Yoo</t>
  </si>
  <si>
    <t>JMIR Mental Health</t>
  </si>
  <si>
    <t>10.2196/78288</t>
  </si>
  <si>
    <t>U00463_Yoo_2026.pdf</t>
  </si>
  <si>
    <t>U00466</t>
  </si>
  <si>
    <t>AI chatbots in mental Health: How emojis, prompt type, and interactivity shape user perceptions in the United States and China</t>
  </si>
  <si>
    <t>Computers in Human Behavior</t>
  </si>
  <si>
    <t>10.1016/j.chb.2026.108955</t>
  </si>
  <si>
    <t>U00466_Lee_2026.pdf</t>
  </si>
  <si>
    <t>U00483</t>
  </si>
  <si>
    <t>AI Helps Those Who Have Less? Social Support Gaps and Perceptions of AI Emotional Support</t>
  </si>
  <si>
    <t>Chen</t>
  </si>
  <si>
    <t>10.1145/3772363.3798800</t>
  </si>
  <si>
    <t>U00483_Chen_2026.pdf</t>
  </si>
  <si>
    <t>U00512</t>
  </si>
  <si>
    <t>AI Versus Human-Delivered Online Cognitive Behavioral Therapy for Anxiety Symptoms in Young Adults: A Randomized Controlled Trial</t>
  </si>
  <si>
    <t>10.3390/healthcare14101325</t>
  </si>
  <si>
    <t>U00512_Huang_2026.pdf</t>
  </si>
  <si>
    <t>U00529</t>
  </si>
  <si>
    <t>AI-Based Chatbots for Mental Health: Comparative Study</t>
  </si>
  <si>
    <t>Ech-Cheikh</t>
  </si>
  <si>
    <t>10.1007/978-3-032-01970-7_6</t>
  </si>
  <si>
    <t>U00529_Ech-Cheikh_2026.pdf</t>
  </si>
  <si>
    <t>U00532</t>
  </si>
  <si>
    <t>AI-Based Virtual Therapist for Mental Wellbeing Monitoring and Assistance</t>
  </si>
  <si>
    <t>Mugilarasi</t>
  </si>
  <si>
    <t>2026 1st IEEE International Conference on Intelligent Technologies for a Sustainable and Inclusive Future, ICITSIF 2026</t>
  </si>
  <si>
    <t>10.1109/icitsif69060.2026.11608784</t>
  </si>
  <si>
    <t>U00532_Mugilarasi_2026.pdf</t>
  </si>
  <si>
    <t>U00533</t>
  </si>
  <si>
    <t>M. S</t>
  </si>
  <si>
    <t>2026 IEEE 1st International Conference on Intelligent Technologies for a Sustainable and Inclusive Future (ICITSIF)</t>
  </si>
  <si>
    <t>U00533_S_2026.pdf</t>
  </si>
  <si>
    <t>U00547</t>
  </si>
  <si>
    <t>AI-Driven Mental Health Screening Using NLP Chatbots and Vision Transformers</t>
  </si>
  <si>
    <t>Sharma</t>
  </si>
  <si>
    <t>10.1007/978-3-032-03751-0_24</t>
  </si>
  <si>
    <t>U00547_Sharma_2026.pdf</t>
  </si>
  <si>
    <t>U00580</t>
  </si>
  <si>
    <t>AI-Powered Chatbot for Mental Health Assistance</t>
  </si>
  <si>
    <t>Limkar</t>
  </si>
  <si>
    <t>10.1007/978-981-96-7511-1_7</t>
  </si>
  <si>
    <t>U00580_Limkar_2026.pdf</t>
  </si>
  <si>
    <t>U00582</t>
  </si>
  <si>
    <t>AI-Powered Chatbot to Assist Parents in Autism Communities</t>
  </si>
  <si>
    <t>Muthukumar</t>
  </si>
  <si>
    <t>Proceedings of 8th International Conference on Intelligent Sustainable Systems, ICISS 2026</t>
  </si>
  <si>
    <t>10.1109/iciss67859.2026.11454077</t>
  </si>
  <si>
    <t>U00582_Muthukumar_2026.pdf</t>
  </si>
  <si>
    <t>U00591</t>
  </si>
  <si>
    <t>AI-Powered Mental Health Chatbot Using NLP and Sentiment Analysis</t>
  </si>
  <si>
    <t>Nageswari</t>
  </si>
  <si>
    <t>10.1007/978-981-95-5079-1_4</t>
  </si>
  <si>
    <t>U00591_Nageswari_2026.pdf</t>
  </si>
  <si>
    <t>U00595</t>
  </si>
  <si>
    <t>AI-Powered Mental Wellness Assistant for Early Intervention Using Hybrid Semantic Retrieval and Safety-Aware Response Generation</t>
  </si>
  <si>
    <t>A. Jha</t>
  </si>
  <si>
    <t>2026 10th International Conference on Computing, Communication, Control &amp; Automation (ICCUBEA)</t>
  </si>
  <si>
    <t>10.1109/iccubea69821.2026.11702088</t>
  </si>
  <si>
    <t>U00595_Jha_2026.pdf</t>
  </si>
  <si>
    <t>U00598</t>
  </si>
  <si>
    <t>AI-Powered Psychological Support Chatbot Using DistilBERT</t>
  </si>
  <si>
    <t>Pathak</t>
  </si>
  <si>
    <t>10.1007/978-3-032-25955-4_18</t>
  </si>
  <si>
    <t>U00598_Pathak_2026.pdf</t>
  </si>
  <si>
    <t>U00604</t>
  </si>
  <si>
    <t>AI-Therapist: A Conversational AI System for Accessible and Scalable Mental Health Support</t>
  </si>
  <si>
    <t>Rathore</t>
  </si>
  <si>
    <t>2026 1st International Conference on AI, Data Science, Cyber Security and Smart Manufacturing for Sustainable Development, ICADCS 2026</t>
  </si>
  <si>
    <t>10.1109/icadcs70036.2026.11583013</t>
  </si>
  <si>
    <t>U00604_Rathore_2026.pdf</t>
  </si>
  <si>
    <t>U00608</t>
  </si>
  <si>
    <t>AIMind: An AI-Powered Framework for Personalized Mental Health Support</t>
  </si>
  <si>
    <t>Bagal</t>
  </si>
  <si>
    <t>Proceedings of the 18th International Conference on Electronics, Computers and Artificial Intelligence, ECAI 2026</t>
  </si>
  <si>
    <t>10.1109/ecai69016.2026.11613794</t>
  </si>
  <si>
    <t>U00608_Bagal_2026.pdf</t>
  </si>
  <si>
    <t>U00619</t>
  </si>
  <si>
    <t>Alignment of Large Language Model Responses With Human Therapists in Motivational Interviewing</t>
  </si>
  <si>
    <t>Teferra</t>
  </si>
  <si>
    <t>JAMA Network Open</t>
  </si>
  <si>
    <t>10.1001/jamanetworkopen.2026.2750</t>
  </si>
  <si>
    <t>U00619_Teferra_2026.pdf</t>
  </si>
  <si>
    <t>U00636</t>
  </si>
  <si>
    <t>An AI Based Conversational System for Emotional Health Support Using BERT Classifier and PaLM LLM Model</t>
  </si>
  <si>
    <t>Baby</t>
  </si>
  <si>
    <t>10.1007/978-981-96-7477-0_8</t>
  </si>
  <si>
    <t>U00636_Baby_2026.pdf</t>
  </si>
  <si>
    <t>U00637</t>
  </si>
  <si>
    <t>An AI Chatbot in the Reduction of Anxiety in a Community Mental Health Center</t>
  </si>
  <si>
    <t>Molina-Martinez</t>
  </si>
  <si>
    <t>REVISTA PUBLICACIONES</t>
  </si>
  <si>
    <t>10.30827/publicaciones.v56i1.36861</t>
  </si>
  <si>
    <t>U00637_Molina-Martinez_2026.pdf</t>
  </si>
  <si>
    <t>U00638</t>
  </si>
  <si>
    <t>An AI Chatbot in the Reduction of Anxiety in a Community Mental Health Center; [Un chatbot de inteligencia artificial para la reducción de la ansiedad en un centro comunitario de salud mental]</t>
  </si>
  <si>
    <t>Publicaciones de la Facultad de Educacion y Humanidades del Campus de Melilla</t>
  </si>
  <si>
    <t>U00638_Molina-Martinez_2026.pdf</t>
  </si>
  <si>
    <t>U00648</t>
  </si>
  <si>
    <t>An AI-Driven Psychological Support System for Rural Children: Integrating SFBT Dialogue State Machines with Retrieval-Augmented Generation</t>
  </si>
  <si>
    <t>Proceedings of the 3rd International Conference on Educational Digitalization and Computer Science in the Guangdong-Hong Kong-Macao Greater Bay Area, EDCS 2026</t>
  </si>
  <si>
    <t>10.1145/3828183.3828333</t>
  </si>
  <si>
    <t>U00648_Xu_2026.pdf</t>
  </si>
  <si>
    <t>U00664</t>
  </si>
  <si>
    <t>An Emotion-Aware Conversational AI with Intensity Scoring, Response Ranking, and Emotional State Visualization</t>
  </si>
  <si>
    <t>Kumarasingha</t>
  </si>
  <si>
    <t>10.1109/scse70081.2026.11499925</t>
  </si>
  <si>
    <t>U00664_Kumarasingha_2026.pdf</t>
  </si>
  <si>
    <t>U00665</t>
  </si>
  <si>
    <t>An Empathetic AI Framework for Real-Time Mental Health Support Through Adaptive Language Models and Persistent Memory</t>
  </si>
  <si>
    <t>Thakre</t>
  </si>
  <si>
    <t>2026 International Conference on NextGen Data Science and Analytics, ICNDSA 2026</t>
  </si>
  <si>
    <t>10.1109/icndsa68777.2026.11652064</t>
  </si>
  <si>
    <t>U00665_Thakre_2026.pdf</t>
  </si>
  <si>
    <t>U00666</t>
  </si>
  <si>
    <t>An Empathetic Response Generation Framework Based on the Cognition-Emotion Chain-of-Thought</t>
  </si>
  <si>
    <t>Y. Wan</t>
  </si>
  <si>
    <t>10.1109/taffc.2026.3694031</t>
  </si>
  <si>
    <t>U00666_Wan_2026.pdf</t>
  </si>
  <si>
    <t>U00677</t>
  </si>
  <si>
    <t>An Exploratory Study of a Narrative Therapy Chatbot with Social Work Students</t>
  </si>
  <si>
    <t>Chan</t>
  </si>
  <si>
    <t>Journal of Technology in Human Services</t>
  </si>
  <si>
    <t>10.1080/15228835.2025.2559342</t>
  </si>
  <si>
    <t>U00677_Chan_2026.pdf</t>
  </si>
  <si>
    <t>U00693</t>
  </si>
  <si>
    <t>An Intelligent Mental Health Chatbot Using Natural Language Processing and Deep Learning</t>
  </si>
  <si>
    <t>Reddy</t>
  </si>
  <si>
    <t>2026 IEEE International Conference for Convergence in Computing Technology, I3CTCON 2026</t>
  </si>
  <si>
    <t>10.1109/i3ctcon68242.2026.11507691</t>
  </si>
  <si>
    <t>U00693_Reddy_2026.pdf</t>
  </si>
  <si>
    <t>U00696</t>
  </si>
  <si>
    <t>An Interpretable Therapy-Informed Dialogue Chatbot for Older Adults Guided by Hierarchical Linguistic Feature Inference and Social Buffering</t>
  </si>
  <si>
    <t>2026 IEEE Conference on Artificial Intelligence, CAI 2026</t>
  </si>
  <si>
    <t>10.1109/cai68641.2026.11536306</t>
  </si>
  <si>
    <t>U00696_Chen_2026.pdf</t>
  </si>
  <si>
    <t>U00705</t>
  </si>
  <si>
    <t>An LLM-Based Simulation Framework for Embodied Conversational Agents in Psychological Counseling</t>
  </si>
  <si>
    <t>Wu</t>
  </si>
  <si>
    <t>Proceedings of the AAAI Conference on Artificial Intelligence</t>
  </si>
  <si>
    <t>10.1609/aaai.v40i35.40221</t>
  </si>
  <si>
    <t>U00705_Wu_2026.pdf</t>
  </si>
  <si>
    <t>U00710</t>
  </si>
  <si>
    <t>An LLM-Powered Robotic Coach to Support University Students' Mental Well-Being</t>
  </si>
  <si>
    <t>S. Rasouli</t>
  </si>
  <si>
    <t>10.1109/ro-man72286.2026.11714961</t>
  </si>
  <si>
    <t>U00710_Rasouli_2026.pdf</t>
  </si>
  <si>
    <t>U00712</t>
  </si>
  <si>
    <t>An Ubuntu-guided large language model framework for cognitive behavioral mental health dialogue</t>
  </si>
  <si>
    <t>Forane</t>
  </si>
  <si>
    <t>10.3389/fdgth.2026.1903421</t>
  </si>
  <si>
    <t>U00712_Forane_2026.pdf</t>
  </si>
  <si>
    <t>U00713</t>
  </si>
  <si>
    <t>Analysing Logs of LLM-Based Counselling-Style Conversation Agents: A Perspective from NLP</t>
  </si>
  <si>
    <t>Wang</t>
  </si>
  <si>
    <t>WebSci 2026 - Proceedings of the 18th ACM Web Science Conference</t>
  </si>
  <si>
    <t>10.1145/3795766.3799774</t>
  </si>
  <si>
    <t>U00713_Wang_2026.pdf</t>
  </si>
  <si>
    <t>U00726</t>
  </si>
  <si>
    <t>App-based conversational agents for tinnitus distress and mental health: A randomised controlled trial</t>
  </si>
  <si>
    <t>Jackson</t>
  </si>
  <si>
    <t>Internet Interventions</t>
  </si>
  <si>
    <t>10.1016/j.invent.2026.100944</t>
  </si>
  <si>
    <t>U00726_Jackson_2026.pdf</t>
  </si>
  <si>
    <t>U00734</t>
  </si>
  <si>
    <t>Applications of large language models in anxiety and depression patient care: a cross-model comparative analysis of dialogue quality</t>
  </si>
  <si>
    <t>Min</t>
  </si>
  <si>
    <t>Scientific Reports</t>
  </si>
  <si>
    <t>10.1038/s41598-026-70990-9</t>
  </si>
  <si>
    <t>U00734_Min_2026.pdf</t>
  </si>
  <si>
    <t>U00736</t>
  </si>
  <si>
    <t>Applying Emotion-Cause Entailment for Help-Seeker Guidance in Emotional Support Conversations</t>
  </si>
  <si>
    <t>Chang</t>
  </si>
  <si>
    <t>IEEE Transactions on Computational Social Systems</t>
  </si>
  <si>
    <t>10.1109/tcss.2025.3605971</t>
  </si>
  <si>
    <t>U00736_Chang_2026.pdf</t>
  </si>
  <si>
    <t>U00748</t>
  </si>
  <si>
    <t>Are we close enough? Impact of stress management chatbot's self-disclosure and relationship types on user's self-disclosure, trust, intimacy, and anonymity</t>
  </si>
  <si>
    <t>Yoon</t>
  </si>
  <si>
    <t>International Journal of Human Computer Studies</t>
  </si>
  <si>
    <t>10.1016/j.ijhcs.2026.103738</t>
  </si>
  <si>
    <t>U00748_Yoon_2026.pdf</t>
  </si>
  <si>
    <t>U00749</t>
  </si>
  <si>
    <t>Are We Ready for Multi-agent Systems to Deliver Structured Mental Health Support? Lessons from Adapting Self-Help+ Intervention</t>
  </si>
  <si>
    <t>Sanna</t>
  </si>
  <si>
    <t>10.1007/978-3-032-16708-8_38</t>
  </si>
  <si>
    <t>U00749_Sanna_2026.pdf</t>
  </si>
  <si>
    <t>U00751</t>
  </si>
  <si>
    <t>Are You Qualified, ChatGPT? Examining Clinical Skills and Competencies of ChatGPT in Delivering Systemic Interventions</t>
  </si>
  <si>
    <t>Erdem</t>
  </si>
  <si>
    <t>Journal of Marital and Family Therapy</t>
  </si>
  <si>
    <t>10.1111/jmft.70168</t>
  </si>
  <si>
    <t>U00751_Erdem_2026.pdf</t>
  </si>
  <si>
    <t>U00835</t>
  </si>
  <si>
    <t>ASA: Adaptive Support Architecture for Digital Mental Wellness</t>
  </si>
  <si>
    <t>Dubey</t>
  </si>
  <si>
    <t>2026 2nd International Conference on Computing, Sciences and Communications, ICCSC 2026</t>
  </si>
  <si>
    <t>10.1109/iccsc67078.2026.11468386</t>
  </si>
  <si>
    <t>U00835_Dubey_2026.pdf</t>
  </si>
  <si>
    <t>U00873</t>
  </si>
  <si>
    <t>Association between working alliance and treatment outcomes in a mobile health intervention with a conversational agent (CanRelax)</t>
  </si>
  <si>
    <t>Schläpfer</t>
  </si>
  <si>
    <t>10.1016/j.invent.2026.100929</t>
  </si>
  <si>
    <t>U00873_Schlapfer_2026.pdf</t>
  </si>
  <si>
    <t>U00888</t>
  </si>
  <si>
    <t>Attachment, loneliness, and social support as moderators of conversational AI-based mental health outcomes</t>
  </si>
  <si>
    <t>Shoshani A</t>
  </si>
  <si>
    <t>NPJ Digit Med</t>
  </si>
  <si>
    <t>10.1038/s41746-026-02974-y</t>
  </si>
  <si>
    <t>s41746-026-02974-y_reference.pdf</t>
  </si>
  <si>
    <t>LINK:U01797</t>
  </si>
  <si>
    <t>Linked report of included study U01797</t>
  </si>
  <si>
    <t>U00899</t>
  </si>
  <si>
    <t>AuraCare: AI Integrated Mental Health Companion</t>
  </si>
  <si>
    <t>Dharan Balaji</t>
  </si>
  <si>
    <t>2026 9th International Conference on Intelligent Computing and Control Systems, ICICCS 2026</t>
  </si>
  <si>
    <t>10.1109/iciccs67901.2026.11502587</t>
  </si>
  <si>
    <t>U00899_Dharan-Balaji_2026.pdf</t>
  </si>
  <si>
    <t>U00900</t>
  </si>
  <si>
    <t>D. B. S. B</t>
  </si>
  <si>
    <t>2026 9th International Conference on Intelligent Computing and Control Systems (ICICCS)</t>
  </si>
  <si>
    <t>U00900_B_2026.pdf</t>
  </si>
  <si>
    <t>U00901</t>
  </si>
  <si>
    <t>Auracare—A Virtual Mental Health Assistant</t>
  </si>
  <si>
    <t>Bharadwaj</t>
  </si>
  <si>
    <t>10.1007/978-981-96-7807-5_21</t>
  </si>
  <si>
    <t>U00901_Bharadwaj_2026.pdf</t>
  </si>
  <si>
    <t>U00904</t>
  </si>
  <si>
    <t>AutismCarebot: Emotion-First, Source-Aware Conversational Support for Autistic Users</t>
  </si>
  <si>
    <t>Srivastava</t>
  </si>
  <si>
    <t>10.1145/3772363.3798986</t>
  </si>
  <si>
    <t>U00904_Srivastava_2026.pdf</t>
  </si>
  <si>
    <t>U00911</t>
  </si>
  <si>
    <t>Automated Safety Testing and Reporting Application for Conversational Safety Monitoring of Generative AI Tools for Mental Health: Development and Validation Study</t>
  </si>
  <si>
    <t>Szoke</t>
  </si>
  <si>
    <t>10.2196/91367</t>
  </si>
  <si>
    <t>U00911_Szoke_2026.pdf</t>
  </si>
  <si>
    <t>U00938</t>
  </si>
  <si>
    <t>BanglaMind: An AI-Powered Chatbot for Emotion and Suicide Risk Detection in Students</t>
  </si>
  <si>
    <t>Mila</t>
  </si>
  <si>
    <t>10.1007/978-3-032-15346-3_9</t>
  </si>
  <si>
    <t>U00938_Mila_2026.pdf</t>
  </si>
  <si>
    <t>U00955</t>
  </si>
  <si>
    <t>Being Kind Isn’t Always Being Safe: Diagnosing Affective Hallucination in LLMs</t>
  </si>
  <si>
    <t>Kim</t>
  </si>
  <si>
    <t>19th Conference of the European Chapter of the Association for Computational Linguistics, Findings of EACL 2026</t>
  </si>
  <si>
    <t>10.18653/v1/2026.findings-eacl.4</t>
  </si>
  <si>
    <t>U00955_Kim_2026.pdf</t>
  </si>
  <si>
    <t>U00966</t>
  </si>
  <si>
    <t>Benchmarking Motivational Interviewing Competence of Large Language Models</t>
  </si>
  <si>
    <t>Jha</t>
  </si>
  <si>
    <t>European Addiction Research</t>
  </si>
  <si>
    <t>10.1159/000553455</t>
  </si>
  <si>
    <t>U00966_Jha_2026.pdf</t>
  </si>
  <si>
    <t>U00978</t>
  </si>
  <si>
    <t>Between Help and Harm: An Evaluation Study of Mental Health Crisis Handling by Large Language Models</t>
  </si>
  <si>
    <t>Arnaiz-Rodriguez</t>
  </si>
  <si>
    <t>10.2196/88435</t>
  </si>
  <si>
    <t>U00978_Arnaiz-Rodriguez_2026.pdf</t>
  </si>
  <si>
    <t>U00992</t>
  </si>
  <si>
    <t>Beyond Engagement: A Multidimensional Framework to Evaluate the Safe Development of Agentic AI in Mental Health</t>
  </si>
  <si>
    <t>Santa Cruz</t>
  </si>
  <si>
    <t>Lecture Notes in Computer Science</t>
  </si>
  <si>
    <t>10.1007/978-3-032-06004-4_8</t>
  </si>
  <si>
    <t>U00992_Santa-Cruz_2026.pdf</t>
  </si>
  <si>
    <t>U00995</t>
  </si>
  <si>
    <t>Beyond Human-Like AI: The Impact of Non-Human Chatbot Design on Loneliness in Women with High Autistic Traits</t>
  </si>
  <si>
    <t>Feng</t>
  </si>
  <si>
    <t>ICCSIT 2025 - Proceedings of the 2025 18th International Conference on Computer Science and Information Technology</t>
  </si>
  <si>
    <t>10.1145/3783862.3783897</t>
  </si>
  <si>
    <t>U00995_Feng_2026.pdf</t>
  </si>
  <si>
    <t>U01003</t>
  </si>
  <si>
    <t>Beyond Simulations: What 20,000 Real Conversations Reveal About Mental Health AI Safety</t>
  </si>
  <si>
    <t>Stamatis C</t>
  </si>
  <si>
    <t>Res Sq</t>
  </si>
  <si>
    <t>10.21203/rs.3.rs-8642399/v1</t>
  </si>
  <si>
    <t>U01003_Stamatis-C_2026.pdf</t>
  </si>
  <si>
    <t>U01005</t>
  </si>
  <si>
    <t>Beyond Surface Empathy: Rationale-Augmented Instruction Tuning and State-Driven Alignment for Emotional Support LLMs</t>
  </si>
  <si>
    <t>Proceedings of 2026 International Conference on Big Data and Informatization Education, ICBDIE 2026</t>
  </si>
  <si>
    <t>10.1145/3806980.3807042</t>
  </si>
  <si>
    <t>U01005_Xu_2026.pdf</t>
  </si>
  <si>
    <t>U01006</t>
  </si>
  <si>
    <t>Beyond Text: A Pre-Post Mixed-Method Inquiry into Voice based Conversational AI for Exam-Related State Anxiety</t>
  </si>
  <si>
    <t>Pareek</t>
  </si>
  <si>
    <t>Journal of Technology in Behavioral Science</t>
  </si>
  <si>
    <t>10.1007/s41347-026-00700-9</t>
  </si>
  <si>
    <t>U01006_Pareek_2026.pdf</t>
  </si>
  <si>
    <t>U01008</t>
  </si>
  <si>
    <t>Beyond the Assigned Label: The Predictive Role of AI Acceptance and Disclosure Labels in Mental Health Chatbots</t>
  </si>
  <si>
    <t>Ebrahimi</t>
  </si>
  <si>
    <t>10.1007/s41347-026-00687-3</t>
  </si>
  <si>
    <t>U01008_Ebrahimi_2026.pdf</t>
  </si>
  <si>
    <t>U01014</t>
  </si>
  <si>
    <t>Beyond the Response: Examining Reasoning and Execution Fidelity in Large Language Models for Mental Health</t>
  </si>
  <si>
    <t>Qadir</t>
  </si>
  <si>
    <t>ACM FAccT 2026 - Proceedings of the 9th annual ACM Conference on Fairness, Accountability, and Transparency</t>
  </si>
  <si>
    <t>10.1145/3805689.3806456</t>
  </si>
  <si>
    <t>U01014_Qadir_2026.pdf</t>
  </si>
  <si>
    <t>U01015</t>
  </si>
  <si>
    <t>Beyond the Sharing of Personal Data: Design of Collaborative Chatbot-based Mobile Support Systems to Facilitate Recovery from Alcohol Use Disorder</t>
  </si>
  <si>
    <t>Yan-Ming Chen</t>
  </si>
  <si>
    <t>Companion of the 2025 ACM International Joint Conference on Pervasive and Ubiquitous Computing</t>
  </si>
  <si>
    <t>10.1145/3714394.3754355</t>
  </si>
  <si>
    <t>U01015_Chen_2026.pdf</t>
  </si>
  <si>
    <t>U01016</t>
  </si>
  <si>
    <t>Beyond the Single Turn: Reframing Refusals as Dynamic Experiences Embedded in the Context of Mental Health Support Interactions with LLMs</t>
  </si>
  <si>
    <t>10.1145/3805689.3806723</t>
  </si>
  <si>
    <t>U01016_Tang_2026.pdf</t>
  </si>
  <si>
    <t>U01022</t>
  </si>
  <si>
    <t>Beyond Translation: Exploring LLM-based Multilingual Cognitive Behavioral Therapy</t>
  </si>
  <si>
    <t>Proceedings of the IEEE International Conference on Big Data and Smart Computing, BIGCOMP</t>
  </si>
  <si>
    <t>10.1109/bigcomp68355.2026.00020</t>
  </si>
  <si>
    <t>U01022_Lee_2026.pdf</t>
  </si>
  <si>
    <t>U01037</t>
  </si>
  <si>
    <t>BlumyAI: Behavioral and Linguistic Understanding for Mental health in Youth using AI</t>
  </si>
  <si>
    <t>Mishra</t>
  </si>
  <si>
    <t>10.1109/taffc.2026.3705668</t>
  </si>
  <si>
    <t>U01037_Mishra_2026.pdf</t>
  </si>
  <si>
    <t>U01040</t>
  </si>
  <si>
    <t>Body Image and Eating Disorder Education Chatbot, JEM, in Australia and Canada: First 6-Month Real-World Survey Evaluation</t>
  </si>
  <si>
    <t>Sharp</t>
  </si>
  <si>
    <t>JMIR Human Factors</t>
  </si>
  <si>
    <t>10.2196/90783</t>
  </si>
  <si>
    <t>U01040_Sharp_2026.pdf</t>
  </si>
  <si>
    <t>U01052</t>
  </si>
  <si>
    <t>Breakdowns in Conversational AI: Interactional Failures in Emotionally and Ethically Sensitive Contexts</t>
  </si>
  <si>
    <t>Deng</t>
  </si>
  <si>
    <t>10.1145/3772318.3791186</t>
  </si>
  <si>
    <t>U01052_Deng_2026.pdf</t>
  </si>
  <si>
    <t>U01053</t>
  </si>
  <si>
    <t>Breaking Barriers in Student Mental Health Care With AI-Enhanced Group Cognitive Behavioral Therapy: Pilot Feasibility Study</t>
  </si>
  <si>
    <t>Tulbure</t>
  </si>
  <si>
    <t>JMIR Formative Research</t>
  </si>
  <si>
    <t>10.2196/84296</t>
  </si>
  <si>
    <t>U01053_Tulbure_2026.pdf</t>
  </si>
  <si>
    <t>U01054</t>
  </si>
  <si>
    <t>Breaking the Stigma: An AI-Powered Mobile Application for Accessible Mental Health Support</t>
  </si>
  <si>
    <t>Mohamed</t>
  </si>
  <si>
    <t>10.1007/978-3-032-24807-7_5</t>
  </si>
  <si>
    <t>U01054_Mohamed_2026.pdf</t>
  </si>
  <si>
    <t>U01068</t>
  </si>
  <si>
    <t>Bridging the Gap in Psychological Support: Self Implemented Traditional Therapy Vs. AI-Based Therapeutic Chatbots</t>
  </si>
  <si>
    <t>Sophia</t>
  </si>
  <si>
    <t>10.1007/978-3-032-01967-7_8</t>
  </si>
  <si>
    <t>U01068_Sophia_2026.pdf</t>
  </si>
  <si>
    <t>U01081</t>
  </si>
  <si>
    <t>Building EVA (Educación, Vinculación, y Autoayuda): Tutorial for the Development of a Digital Mental Health Chatbot for Adolescents Living With HIV</t>
  </si>
  <si>
    <t>Vasquez</t>
  </si>
  <si>
    <t>Journal of Medical Internet Research</t>
  </si>
  <si>
    <t>10.2196/75351</t>
  </si>
  <si>
    <t>U01081_Vasquez_2026.pdf</t>
  </si>
  <si>
    <t>U01090</t>
  </si>
  <si>
    <t>CALMBOT: Empowering Mental Health Support with Emotion Analysis and Adaptive Responses</t>
  </si>
  <si>
    <t>Gupta</t>
  </si>
  <si>
    <t>Smart Innovation, Systems and Technologies</t>
  </si>
  <si>
    <t>10.1007/978-3-032-22114-8_5</t>
  </si>
  <si>
    <t>U01090_Gupta_2026.pdf</t>
  </si>
  <si>
    <t>U01093</t>
  </si>
  <si>
    <t>Can AI be a good counselor? Comparing the effectiveness of AI and human career counseling</t>
  </si>
  <si>
    <t>Yang</t>
  </si>
  <si>
    <t>10.1016/j.techsoc.2026.103301</t>
  </si>
  <si>
    <t>U01093_Yang_2026.pdf</t>
  </si>
  <si>
    <t>U01095</t>
  </si>
  <si>
    <t>Can AI Express Empathy? Computational Insights from Mental Health Dialogues</t>
  </si>
  <si>
    <t>Kehinde</t>
  </si>
  <si>
    <t>10.1007/s41347-026-00652-0</t>
  </si>
  <si>
    <t>U01095_Kehinde_2026.pdf</t>
  </si>
  <si>
    <t>U01109</t>
  </si>
  <si>
    <t>Can Large Language Models Support University Counseling? Evidence from Perceived Counseling Alliance, Disclosure Willingness, and Risk Recognition</t>
  </si>
  <si>
    <t>Cheng</t>
  </si>
  <si>
    <t>Behavioral Sciences</t>
  </si>
  <si>
    <t>10.3390/bs16081316</t>
  </si>
  <si>
    <t>U01109_Cheng_2026.pdf</t>
  </si>
  <si>
    <t>U01110</t>
  </si>
  <si>
    <t>Can LLM Agents Really Simulate Clients in Counseling?</t>
  </si>
  <si>
    <t>Yu</t>
  </si>
  <si>
    <t>Proceedings of the ACM Symposium on Applied Computing</t>
  </si>
  <si>
    <t>10.1145/3748522.3779828</t>
  </si>
  <si>
    <t>U01110_Yu_2026.pdf</t>
  </si>
  <si>
    <t>U01115</t>
  </si>
  <si>
    <t>Can Motivational Interviewing be delivered using Artificial Intelligence chatbots? Evaluating the capability of GPT-4o</t>
  </si>
  <si>
    <t>Oster</t>
  </si>
  <si>
    <t>Patient Education and Counseling</t>
  </si>
  <si>
    <t>10.1016/j.pec.2026.109782</t>
  </si>
  <si>
    <t>U01115_Oster_2026.pdf</t>
  </si>
  <si>
    <t>U01128</t>
  </si>
  <si>
    <t>Care, code, and consequence: Ethical considerations in the co-design of a conversational AI chatbot for grief</t>
  </si>
  <si>
    <t>Miller</t>
  </si>
  <si>
    <t>Journal of Responsible Technology</t>
  </si>
  <si>
    <t>10.1016/j.jrt.2026.100193</t>
  </si>
  <si>
    <t>U01128_Miller_2026.pdf</t>
  </si>
  <si>
    <t>U01129</t>
  </si>
  <si>
    <t>CARE-Bench: A Benchmark of Diverse Client Simulations Guided by Expert Principles for Evaluating LLMs in Psychological Counseling</t>
  </si>
  <si>
    <t>10.1609/aaai.v40i46.41287</t>
  </si>
  <si>
    <t>U01129_Wang_2026.pdf</t>
  </si>
  <si>
    <t>U01131</t>
  </si>
  <si>
    <t>CARE: Collaborative Cognitive Reframing in Large Language Models via Reasoning for Psychological Counseling</t>
  </si>
  <si>
    <t>Hu</t>
  </si>
  <si>
    <t>10.1007/978-981-95-9493-1_8</t>
  </si>
  <si>
    <t>U01131_Hu_2026.pdf</t>
  </si>
  <si>
    <t>U01136</t>
  </si>
  <si>
    <t>Caring with AI: The efficacy of a customised ChatGPT-delivered self-compassion intervention on college students' well-being and academic functioning</t>
  </si>
  <si>
    <t>10.1016/j.chbr.2026.101267</t>
  </si>
  <si>
    <t>U01136_Chen_2026.pdf</t>
  </si>
  <si>
    <t>U01139</t>
  </si>
  <si>
    <t>Case report: A five−case series of 18−month home use of a conversational companion robot for psychological support in older people with mild cognitive impairment or late−onset psychosis</t>
  </si>
  <si>
    <t>Nagata</t>
  </si>
  <si>
    <t>Frontiers in Psychiatry</t>
  </si>
  <si>
    <t>10.3389/fpsyt.2025.1700340</t>
  </si>
  <si>
    <t>U01139_Nagata_2026.pdf</t>
  </si>
  <si>
    <t>U01143</t>
  </si>
  <si>
    <t>Causal-ESC : Capture the Dynamics in Cause-and-Effect Detection for Emotional Support Conversation</t>
  </si>
  <si>
    <t>Z. Zhao</t>
  </si>
  <si>
    <t>IEEE Transactions on Audio, Speech and Language Processing</t>
  </si>
  <si>
    <t>10.1109/taslpro.2025.3648885</t>
  </si>
  <si>
    <t>U01143_Zhao_2026.pdf</t>
  </si>
  <si>
    <t>U01146</t>
  </si>
  <si>
    <t>CBT-LLM-Test-Bench: Evaluating Large Language Models in Assisting Cognitive Behavioral Therapy</t>
  </si>
  <si>
    <t>Proceedings of 2026 2nd International Conference on Artificial Intelligence and Materials, ICAIM 2026</t>
  </si>
  <si>
    <t>10.1109/icaim69488.2026.11601788</t>
  </si>
  <si>
    <t>U01146_Zhang_2026.pdf</t>
  </si>
  <si>
    <t>U01161</t>
  </si>
  <si>
    <t>Characterizing Delusional Spirals through Human-LLM Chat Logs</t>
  </si>
  <si>
    <t>Moore</t>
  </si>
  <si>
    <t>10.1145/3805689.3806443</t>
  </si>
  <si>
    <t>U01161_Moore_2026.pdf</t>
  </si>
  <si>
    <t>U01170</t>
  </si>
  <si>
    <t>Chatbot Remote Monitoring System in Patients with Schizophrenia: A Pilot Study of User Experience; [Система дистанционного мониторинга с применением чат-бота у пациентов с шизофренией: пилотное исследование пользовательского опыта]</t>
  </si>
  <si>
    <t>Efimochkina</t>
  </si>
  <si>
    <t>Consortium Psychiatricum</t>
  </si>
  <si>
    <t>10.17816/cp15735</t>
  </si>
  <si>
    <t>U01170_Efimochkina_2026.pdf</t>
  </si>
  <si>
    <t>U01176</t>
  </si>
  <si>
    <t>Chatbots as Advice-Givers: Investigating the Communicative Mechanisms That Influence User Responses to Advice from Chatbots in Supportive Interactions</t>
  </si>
  <si>
    <t>Hwang</t>
  </si>
  <si>
    <t>International Journal of Human-Computer Interaction</t>
  </si>
  <si>
    <t>10.1080/10447318.2026.2669042</t>
  </si>
  <si>
    <t>U01176_Hwang_2026.pdf</t>
  </si>
  <si>
    <t>U01190</t>
  </si>
  <si>
    <t>ChatGPT as a mental health advisory service: Comparing evaluations from youth and health professionals</t>
  </si>
  <si>
    <t>Skjuve</t>
  </si>
  <si>
    <t>Digital Health</t>
  </si>
  <si>
    <t>10.1177/20552076261427447</t>
  </si>
  <si>
    <t>U01190_Skjuve_2026.pdf</t>
  </si>
  <si>
    <t>U01193</t>
  </si>
  <si>
    <t>ChatGPT as an ecosystem shock: Longitudinal quasi-experimental evidence from commercial mental health chatbots</t>
  </si>
  <si>
    <t>10.1016/j.techsoc.2026.103535</t>
  </si>
  <si>
    <t>U01193_Yang_2026.pdf</t>
  </si>
  <si>
    <t>U01226</t>
  </si>
  <si>
    <t>Clarity AI an AI Powered Companion for Overthinkers</t>
  </si>
  <si>
    <t>R. T. T. Lakshmi</t>
  </si>
  <si>
    <t>2026 International Conference on Computing, Sciences and Communications (ICCSC)</t>
  </si>
  <si>
    <t>10.1109/iccsc67078.2026.11468742</t>
  </si>
  <si>
    <t>U01226_Lakshmi_2026.pdf</t>
  </si>
  <si>
    <t>U01227</t>
  </si>
  <si>
    <t>Clarity AI: An AI-Powered Companion for Overthinkers</t>
  </si>
  <si>
    <t>Singh</t>
  </si>
  <si>
    <t>2026 International Conference on Next Generation Electronics, NELEX 2026</t>
  </si>
  <si>
    <t>10.1109/nelex69209.2026.11590762</t>
  </si>
  <si>
    <t>U01227_Singh_2026.pdf</t>
  </si>
  <si>
    <t>U01254</t>
  </si>
  <si>
    <t>Cloning the Self for Mental Well-Being: A Framework for Designing Safe and Therapeutic Self-Clone Chatbots</t>
  </si>
  <si>
    <t>Shirvani</t>
  </si>
  <si>
    <t>10.1145/3772318.3790986</t>
  </si>
  <si>
    <t>U01254_Shirvani_2026.pdf</t>
  </si>
  <si>
    <t>U01265</t>
  </si>
  <si>
    <t>Co-designing MESA-Bot: Enhancing Accessibility, Privacy, Security, and Trust in a Mental Health Chatbot for Older Adults</t>
  </si>
  <si>
    <t>Surani</t>
  </si>
  <si>
    <t>10.1145/3772318.3790562</t>
  </si>
  <si>
    <t>U01265_Surani_2026.pdf</t>
  </si>
  <si>
    <t>U01275</t>
  </si>
  <si>
    <t>CogEmp:A Cognitive Empathy-Oriented Dialogue System for Structured Psychological Counseling</t>
  </si>
  <si>
    <t>Findings of the Association for Computational Linguistics: ACL 2026</t>
  </si>
  <si>
    <t>10.18653/v1/2026.findings-acl.1484</t>
  </si>
  <si>
    <t>U01275_Deng_2026.pdf</t>
  </si>
  <si>
    <t>U01276</t>
  </si>
  <si>
    <t>COGITO: A Multilingual Psychiatric Mental Health Consultation and Patient Care Management Retrieval-Augmented AI platform</t>
  </si>
  <si>
    <t>Nivindhan</t>
  </si>
  <si>
    <t>Proceedings of the 2026 International Conference on AI-Driven Smart Systems and Ubiquitous Computing, ICAUC 2026</t>
  </si>
  <si>
    <t>10.1109/icauc68182.2026.11441239</t>
  </si>
  <si>
    <t>U01276_Nivindhan_2026.pdf</t>
  </si>
  <si>
    <t>U01277</t>
  </si>
  <si>
    <t>N. M</t>
  </si>
  <si>
    <t>2026 International Conference on AI-Driven Smart Systems and Ubiquitous Computing (ICAUC)</t>
  </si>
  <si>
    <t>U01277_M_2026.pdf</t>
  </si>
  <si>
    <t>U01278</t>
  </si>
  <si>
    <t>CogniAid: A Privacy-Preserving Conversational AI for Personalized Mental Health Care</t>
  </si>
  <si>
    <t>Maheswari</t>
  </si>
  <si>
    <t>Proceedings of 9th International Conference on Inventive Computation Technologies, ICICT 2026</t>
  </si>
  <si>
    <t>10.1109/icict68280.2026.11510968</t>
  </si>
  <si>
    <t>U01278_Maheswari_2026.pdf</t>
  </si>
  <si>
    <t>U01291</t>
  </si>
  <si>
    <t>College students and large language models for mental health: A qualitative exploration of motivations and experiences</t>
  </si>
  <si>
    <t>10.1016/j.ijhcs.2026.103806</t>
  </si>
  <si>
    <t>U01291_Park_2026.pdf</t>
  </si>
  <si>
    <t>U01326</t>
  </si>
  <si>
    <t>Comparing GROW, solution-focused and CBT coaching chatbots: a self-determination and transformative learning perspective</t>
  </si>
  <si>
    <t>Terblanche</t>
  </si>
  <si>
    <t>Coaching</t>
  </si>
  <si>
    <t>10.1080/17521882.2026.2625707</t>
  </si>
  <si>
    <t>U01326_Terblanche_2026.pdf</t>
  </si>
  <si>
    <t>U01368</t>
  </si>
  <si>
    <t>Constructing and applying a multi-turn psychological support dialogue corpus based on the Helping Skills Chain-of-Thought</t>
  </si>
  <si>
    <t>Du</t>
  </si>
  <si>
    <t>Frontiers in Psychology</t>
  </si>
  <si>
    <t>10.3389/fpsyg.2026.1733384</t>
  </si>
  <si>
    <t>U01368_Du_2026.pdf</t>
  </si>
  <si>
    <t>U01382</t>
  </si>
  <si>
    <t>Context-Emotion Aware Therapeutic Dialogue Generation: A Multi-component Reinforcement Learning Approach to Large Language Models for Mental Health Support</t>
  </si>
  <si>
    <t>10.1007/978-3-032-24807-7_12</t>
  </si>
  <si>
    <t>U01382_Zhang_2026.pdf</t>
  </si>
  <si>
    <t>U01397</t>
  </si>
  <si>
    <t>Conversational AI Agents for Mental Well-Being: A Pilot Randomized Controlled Trial with Afghan Women</t>
  </si>
  <si>
    <t>Sahab</t>
  </si>
  <si>
    <t>IEICE Transactions on Information and Systems</t>
  </si>
  <si>
    <t>10.1587/transinf.2025dkp0015</t>
  </si>
  <si>
    <t>U01397_Sahab_2026.pdf</t>
  </si>
  <si>
    <t>U01400</t>
  </si>
  <si>
    <t>Conversational AI for Child Abuse Detection Through Multistage Counseling: Model Development and Validation Study</t>
  </si>
  <si>
    <t>Moon</t>
  </si>
  <si>
    <t>10.2196/86536</t>
  </si>
  <si>
    <t>U01400_Moon_2026.pdf</t>
  </si>
  <si>
    <t>U01403</t>
  </si>
  <si>
    <t>Conversational AI for Secure Personal Problem Disclosure and Secure Decision Making</t>
  </si>
  <si>
    <t>Karthikeyan</t>
  </si>
  <si>
    <t>4th International Conference on Sustainable Computing and Smart Systems, ICSCSS 2026 - Proceedings</t>
  </si>
  <si>
    <t>10.1109/icscss69635.2026.11646128</t>
  </si>
  <si>
    <t>U01403_Karthikeyan_2026.pdf</t>
  </si>
  <si>
    <t>U01413</t>
  </si>
  <si>
    <t>CORA: A Cognitive Reframing Dialogue Agent for Supporting Emotion Regulation</t>
  </si>
  <si>
    <t>10.1109/taffc.2026.3709312</t>
  </si>
  <si>
    <t>U01413_Chen_2026.pdf</t>
  </si>
  <si>
    <t>U01421</t>
  </si>
  <si>
    <t>Counterfactual Debiasing to Enhance Chinese Online Counseling Personalization</t>
  </si>
  <si>
    <t>Proceedings of the International Conference on Computer Supported Cooperative Work in Design, CSCWD</t>
  </si>
  <si>
    <t>10.1109/cscwd68734.2026.11582229</t>
  </si>
  <si>
    <t>U01421_Deng_2026.pdf</t>
  </si>
  <si>
    <t>U01468</t>
  </si>
  <si>
    <t>Dear Friend: Alleviating Anxiety through Co-creative Virtual Agent in Dual-Atmosphere Environments</t>
  </si>
  <si>
    <t>Jia</t>
  </si>
  <si>
    <t>10.1145/3772363.3798472</t>
  </si>
  <si>
    <t>U01468_Jia_2026.pdf</t>
  </si>
  <si>
    <t>U01476</t>
  </si>
  <si>
    <t>Decision Support Framework for Quality Assurance and Enhancement of Therapeutic Artificial Intelligence Systems: Mixed Methods Pilot Study</t>
  </si>
  <si>
    <t>Kang</t>
  </si>
  <si>
    <t>JMIR Medical Informatics</t>
  </si>
  <si>
    <t>10.2196/87887</t>
  </si>
  <si>
    <t>U01476_Kang_2026.pdf</t>
  </si>
  <si>
    <t>U01497</t>
  </si>
  <si>
    <t>Demo: Trivana: On-Device Multimodal Forecasting and LLM-Driven Mental Health Support</t>
  </si>
  <si>
    <t>Sprigler</t>
  </si>
  <si>
    <t>Proceedings - 2026 IEEE/ACM Conference on Connected Health: Applications, Systems and Engineering Technologies, CHASE 2026</t>
  </si>
  <si>
    <t>10.1109/chase69719.2026.00103</t>
  </si>
  <si>
    <t>U01497_Sprigler_2026.pdf</t>
  </si>
  <si>
    <t>U01518</t>
  </si>
  <si>
    <t>Descriptive content analysis assessment of ChatGPT responses to substance use disorder treatment questions compared to National health guidelines</t>
  </si>
  <si>
    <t>Decker M</t>
  </si>
  <si>
    <t>Drug Alcohol Depend</t>
  </si>
  <si>
    <t>10.1016/j.drugalcdep.2026.113074</t>
  </si>
  <si>
    <t>U01518_Decker-M_2026.pdf</t>
  </si>
  <si>
    <t>U01519</t>
  </si>
  <si>
    <t>Design and Evaluation of ChatBlend: A Framework and Card Deck for the Human-Centered Design of Mental Health Chatbots in Blended Care</t>
  </si>
  <si>
    <t>Rekkas</t>
  </si>
  <si>
    <t>CUI 2026 - Proceedings of the 2026 Conference on Conversational User Interfaces</t>
  </si>
  <si>
    <t>10.1145/3816046.3816210</t>
  </si>
  <si>
    <t>U01519_Rekkas_2026.pdf</t>
  </si>
  <si>
    <t>U01521</t>
  </si>
  <si>
    <t>Design and Implementation of an Online Psychological Counseling Robot System Based on GPT-2 Achieve</t>
  </si>
  <si>
    <t>Lecture Notes in Electrical Engineering</t>
  </si>
  <si>
    <t>10.1007/978-981-96-2771-4_14</t>
  </si>
  <si>
    <t>U01521_Chen_2026.pdf</t>
  </si>
  <si>
    <t>U01528</t>
  </si>
  <si>
    <t>Design Principles for a Risk-Aware Conversational Agent in Digital Mental Health Information Access: The Case of Cognitive Theatre</t>
  </si>
  <si>
    <t>Zhou</t>
  </si>
  <si>
    <t>Information Systems Frontiers</t>
  </si>
  <si>
    <t>10.1007/s10796-026-10802-7</t>
  </si>
  <si>
    <t>U01528_Zhou_2026.pdf</t>
  </si>
  <si>
    <t>U01535</t>
  </si>
  <si>
    <t>Designing a Co-creative Storytelling Space to Enhance Voice-Based Emotional Support via Generative AI for Emotional Distress</t>
  </si>
  <si>
    <t>10.1007/978-3-032-30080-5_12</t>
  </si>
  <si>
    <t>U01535_Zhang_2026.pdf</t>
  </si>
  <si>
    <t>U01536</t>
  </si>
  <si>
    <t>Designing a Generative AI-Assisted Music Psychotherapy Tool for Deaf and Hard-of-Hearing Individuals</t>
  </si>
  <si>
    <t>Choi</t>
  </si>
  <si>
    <t>10.1145/3772318.3791385</t>
  </si>
  <si>
    <t>U01536_Choi_2026.pdf</t>
  </si>
  <si>
    <t>U01539</t>
  </si>
  <si>
    <t>Designing a Human-in-the-Loop LLM Chatbot for Interactive Depression Screening</t>
  </si>
  <si>
    <t>Netto</t>
  </si>
  <si>
    <t>IH 2026 - Proceedings of the 2026 ACM Interactive Health Conference</t>
  </si>
  <si>
    <t>10.1145/3786579.3804957</t>
  </si>
  <si>
    <t>U01539_Netto_2026.pdf</t>
  </si>
  <si>
    <t>U01542</t>
  </si>
  <si>
    <t>Designing Adaptive Virtual Health Assistants Using Cognitive and Emotional State Predictions</t>
  </si>
  <si>
    <t>Ashrafi</t>
  </si>
  <si>
    <t>10.1007/978-3-032-12764-8_22</t>
  </si>
  <si>
    <t>U01542_Ashrafi_2026.pdf</t>
  </si>
  <si>
    <t>U01544</t>
  </si>
  <si>
    <t>Designing AI for distress: an iterative case study of a hierarchical agent for psychosocial support</t>
  </si>
  <si>
    <t>Patturajan</t>
  </si>
  <si>
    <t>10.3389/frai.2026.1772215</t>
  </si>
  <si>
    <t>U01544_Patturajan_2026.pdf</t>
  </si>
  <si>
    <t>U01552</t>
  </si>
  <si>
    <t>Designing an LLM Powered User-Centered Knowledge Graph for Social Robot to Mitigate Loneliness Among University Students</t>
  </si>
  <si>
    <t>Velentza</t>
  </si>
  <si>
    <t>10.1007/978-3-032-29586-6_15</t>
  </si>
  <si>
    <t>U01552_Velentza_2026.pdf</t>
  </si>
  <si>
    <t>U01553</t>
  </si>
  <si>
    <t>Designing an LLM-Powered Social Robot for Supporting Emotion Regulation in Parent-Child Dyads</t>
  </si>
  <si>
    <t>10.1007/978-3-032-26051-2_15</t>
  </si>
  <si>
    <t>U01553_Li_2026.pdf</t>
  </si>
  <si>
    <t>U01558</t>
  </si>
  <si>
    <t>Designing Emotionally Intelligent Embodied Agents for Immersive Virtual Reality Experiences</t>
  </si>
  <si>
    <t>Rad</t>
  </si>
  <si>
    <t>Proceedings - 2026 IEEE International Conference on Artificial Intelligence and eXtended and Virtual Reality, AIxVR 2026</t>
  </si>
  <si>
    <t>10.1109/aixvr67263.2026.00023</t>
  </si>
  <si>
    <t>U01558_Rad_2026.pdf</t>
  </si>
  <si>
    <t>U01562</t>
  </si>
  <si>
    <t>Designing for GenAI-Mediated Mental Health Peer Support: Lessons from Human Peer Support Interactions in a Wellbeing App</t>
  </si>
  <si>
    <t>She</t>
  </si>
  <si>
    <t>10.1080/10447318.2026.2708444</t>
  </si>
  <si>
    <t>U01562_She_2026.pdf</t>
  </si>
  <si>
    <t>U01567</t>
  </si>
  <si>
    <t>Designing Mobile and Wearable Sensor-Fused Conversational Agents for Health and Wellbeing</t>
  </si>
  <si>
    <t>Hansoo Lee</t>
  </si>
  <si>
    <t>Proceedings of the 28th International Conference on Mobile Human-Computer Interaction</t>
  </si>
  <si>
    <t>10.1145/3821581.3833141</t>
  </si>
  <si>
    <t>U01567_Lee_2026.pdf</t>
  </si>
  <si>
    <t>U01571</t>
  </si>
  <si>
    <t>Designing Social Support for Dietary Self-Monitoring: A Mixed-Method Pilot of a Chatbot-Integrated Buddy System</t>
  </si>
  <si>
    <t>K. Wintraecken</t>
  </si>
  <si>
    <t>2026 11th International Digital Public Health Conference (DPH)</t>
  </si>
  <si>
    <t>10.1109/dph70309.2026.11650539</t>
  </si>
  <si>
    <t>U01571_Wintraecken_2026.pdf</t>
  </si>
  <si>
    <t>U01574</t>
  </si>
  <si>
    <t>Designing with Tensions: Older Adults' Emotional Support-Seeking under System-Level Constraints in Conversational AI</t>
  </si>
  <si>
    <t>Shi</t>
  </si>
  <si>
    <t>DIS 2026 - Proceedngs of the 2026 ACM Designing Interactive Systems Conference</t>
  </si>
  <si>
    <t>10.1145/3800645.3812902</t>
  </si>
  <si>
    <t>U01574_Shi_2026.pdf</t>
  </si>
  <si>
    <t>U01577</t>
  </si>
  <si>
    <t>Detecting depression through speech and text from casual talks with fully automated virtual humans</t>
  </si>
  <si>
    <t>Gómez-Zaragozá</t>
  </si>
  <si>
    <t>Artificial Intelligence in Medicine</t>
  </si>
  <si>
    <t>10.1016/j.artmed.2025.103305</t>
  </si>
  <si>
    <t>U01577_Gomez-Zaragoza_2026.pdf</t>
  </si>
  <si>
    <t>U01578</t>
  </si>
  <si>
    <t>Detecting Emotional Dynamic Trajectories: An Evaluation Framework for Emotional Support in Language Models</t>
  </si>
  <si>
    <t>Tan</t>
  </si>
  <si>
    <t>10.1609/aaai.v40i3.37189</t>
  </si>
  <si>
    <t>U01578_Tan_2026.pdf</t>
  </si>
  <si>
    <t>U01582</t>
  </si>
  <si>
    <t>Detecting Suicidal Ideation Signals in Synthetic Conversations with an LLM-Based Mental Health Chatbot: Experimental study</t>
  </si>
  <si>
    <t>Reichenpfader</t>
  </si>
  <si>
    <t>10.1007/s41347-026-00647-x</t>
  </si>
  <si>
    <t>U01582_Reichenpfader_2026.pdf</t>
  </si>
  <si>
    <t>U01603</t>
  </si>
  <si>
    <t>Development and Evaluation of a Chatbot-Based System for Early Detection of Depression Indicators</t>
  </si>
  <si>
    <t>Computers</t>
  </si>
  <si>
    <t>10.3390/computers15050269</t>
  </si>
  <si>
    <t>U01603_Yang_2026.pdf</t>
  </si>
  <si>
    <t>U01616</t>
  </si>
  <si>
    <t>Development and Preliminary Evaluation of a Chatbot for Guidance and Facilitation of Help-Seeking in Feeding and Eating Disorders (FED)</t>
  </si>
  <si>
    <t>Tabares Tabares</t>
  </si>
  <si>
    <t>10.1007/978-3-032-30396-7_10</t>
  </si>
  <si>
    <t>U01616_Tabares-Tabares_2026.pdf</t>
  </si>
  <si>
    <t>U01617</t>
  </si>
  <si>
    <t>Development and Preliminary Evaluation of a Conversational Agent Delivering Problem-Solving Therapy for Family Caregivers of Children With a Chronic Health Condition: Multiphase Mixed Methods Study</t>
  </si>
  <si>
    <t>Yuwen</t>
  </si>
  <si>
    <t>10.2196/94175</t>
  </si>
  <si>
    <t>U01617_Yuwen_2026.pdf</t>
  </si>
  <si>
    <t>U01618</t>
  </si>
  <si>
    <t>Development and preliminary evaluation of a virtual standardized patient system for psychiatric interview training</t>
  </si>
  <si>
    <t>BMC Psychiatry</t>
  </si>
  <si>
    <t>10.1186/s12888-026-07896-3</t>
  </si>
  <si>
    <t>U01618_Li_2026.pdf</t>
  </si>
  <si>
    <t>U01628</t>
  </si>
  <si>
    <t>Development of a generative AI agent for family support in implementing family-based treatment for children and adolescents with anorexia nervosa</t>
  </si>
  <si>
    <t>Hanzawa</t>
  </si>
  <si>
    <t>10.3389/fdgth.2026.1759690</t>
  </si>
  <si>
    <t>U01628_Hanzawa_2026.pdf</t>
  </si>
  <si>
    <t>U01631</t>
  </si>
  <si>
    <t>Development of a Rule-Based Chatbot for Supporting Family Caregivers After Psychiatric Hospital Discharge: An Exploratory Qualitative Study in Indonesia</t>
  </si>
  <si>
    <t>Rizkiyah</t>
  </si>
  <si>
    <t>Journal of Multidisciplinary Healthcare</t>
  </si>
  <si>
    <t>10.2147/jmdh.s609048</t>
  </si>
  <si>
    <t>U01631_Rizkiyah_2026.pdf</t>
  </si>
  <si>
    <t>U01634</t>
  </si>
  <si>
    <t>Development of an Entertainment Chatbot for Psychological Support</t>
  </si>
  <si>
    <t>ICCE-TW 2026 - The 13th IEEE International Conference on Consumer Electronics - Taiwan: Sustainable and Human-centered AI in Consumer Electronics, Proceedings</t>
  </si>
  <si>
    <t>10.1109/icce-taiwan71481.2026.11652766</t>
  </si>
  <si>
    <t>U01634_Jia_2026.pdf</t>
  </si>
  <si>
    <t>U01636</t>
  </si>
  <si>
    <t>Development, Feasibility, Acceptability, and Usability of an Artificial Intelligence-Powered Chatbot (Suzy) to Support Patients in Substance Use Disorder Recovery: Multiphase Study</t>
  </si>
  <si>
    <t>Comulada WS</t>
  </si>
  <si>
    <t>JMIR Form Res</t>
  </si>
  <si>
    <t>10.2196/84683</t>
  </si>
  <si>
    <t>U01636_Comulada-WS_2026.pdf</t>
  </si>
  <si>
    <t>U01637</t>
  </si>
  <si>
    <t>Development, system design, safety, and performance metrics of a conversational agent for reducing depressive and anxious symptoms based on a large language model: The MHAI study</t>
  </si>
  <si>
    <t>Villarreal-Zegarra</t>
  </si>
  <si>
    <t>10.1371/journal.pone.0344939</t>
  </si>
  <si>
    <t>U01637_Villarreal-Zegarra_2026.pdf</t>
  </si>
  <si>
    <t>U01638</t>
  </si>
  <si>
    <t>DG-MCTS: Dual-Guidance Monte Carlo Tree Search for Adaptive Emotional Support Dialogue Planning</t>
  </si>
  <si>
    <t>Lin</t>
  </si>
  <si>
    <t>WWW 2026 - Proceedings of the ACM Web Conference 2026</t>
  </si>
  <si>
    <t>10.1145/3774904.3792840</t>
  </si>
  <si>
    <t>U01638_Lin_2026.pdf</t>
  </si>
  <si>
    <t>U01643</t>
  </si>
  <si>
    <t>DialogGuard: Multi-Agent Psychosocial Safety Evaluation Interface of Sensitive LLM Responses</t>
  </si>
  <si>
    <t>Luo</t>
  </si>
  <si>
    <t>Proceedings of the Annual Meeting of the Association for Computational Linguistics</t>
  </si>
  <si>
    <t>10.18653/v1/2026.acl-demo.19</t>
  </si>
  <si>
    <t>U01643_Luo_2026.pdf</t>
  </si>
  <si>
    <t>U01646</t>
  </si>
  <si>
    <t>DialogXpert: Driving Intelligent and Emotion-Aware Conversations Through Online Value-Based Reinforcement Learning with LLM Priors</t>
  </si>
  <si>
    <t>Rakib</t>
  </si>
  <si>
    <t>10.1609/aaai.v40i36.40244</t>
  </si>
  <si>
    <t>U01646_Rakib_2026.pdf</t>
  </si>
  <si>
    <t>U01693</t>
  </si>
  <si>
    <t>Do Artificial Intelligence Clients Speak Like Human Clients? Exploring GPT-4's Content-Level Performance in Counseling Role-Play</t>
  </si>
  <si>
    <t>Tian</t>
  </si>
  <si>
    <t>Journal of Counseling and Development</t>
  </si>
  <si>
    <t>10.1002/jcad.70016</t>
  </si>
  <si>
    <t>U01693_Tian_2026.pdf</t>
  </si>
  <si>
    <t>U01697</t>
  </si>
  <si>
    <t>Do Prompt-Level Empathy Instructions Influence User Experience? Evidence from A Controlled Chatbot Study</t>
  </si>
  <si>
    <t>Bieberstein</t>
  </si>
  <si>
    <t>10.1145/3816046.3816221</t>
  </si>
  <si>
    <t>U01697_Bieberstein_2026.pdf</t>
  </si>
  <si>
    <t>U01698</t>
  </si>
  <si>
    <t>Do Robot-Led Support Conversations Align with Human Therapy Dialogue?</t>
  </si>
  <si>
    <t>S. Chiang</t>
  </si>
  <si>
    <t>10.1109/ro-man72286.2026.11714590</t>
  </si>
  <si>
    <t>U01698_Chiang_2026.pdf</t>
  </si>
  <si>
    <t>U01704</t>
  </si>
  <si>
    <t>Does AI listening encourage openness? Investigating users' self-disclosure of emotional information to artificial vs. human listeners</t>
  </si>
  <si>
    <t>Asia Pacific Journal of Marketing and Logistics</t>
  </si>
  <si>
    <t>10.1108/apjml-01-2026-0190</t>
  </si>
  <si>
    <t>U01704_Lin_2026.pdf</t>
  </si>
  <si>
    <t>U01710</t>
  </si>
  <si>
    <t>Domain Adaptive Fine-Tuning of Gemma-3-1B for Mental Health Conversations: Efficiency, Performance, and On-Device Deployment</t>
  </si>
  <si>
    <t>Sawant</t>
  </si>
  <si>
    <t>2026 International Conference on Emerging Technologies and Future Innovations, ETFI 2026</t>
  </si>
  <si>
    <t>10.1109/etfi68128.2026.11484735</t>
  </si>
  <si>
    <t>U01710_Sawant_2026.pdf</t>
  </si>
  <si>
    <t>U01711</t>
  </si>
  <si>
    <t>Don’t Be So Boring! Embodied Conversational Agents for Role-Playing Peer Pressure to Drink Alcohol in Immersive Virtual Reality</t>
  </si>
  <si>
    <t>Langener</t>
  </si>
  <si>
    <t>10.1080/10447318.2026.2659298</t>
  </si>
  <si>
    <t>U01711_Langener_2026.pdf</t>
  </si>
  <si>
    <t>U01716</t>
  </si>
  <si>
    <t>DREAM—Meta learning for tailored hierarchical dialogue management: application to motivational interview</t>
  </si>
  <si>
    <t>Galland</t>
  </si>
  <si>
    <t>10.3389/frai.2026.1786834</t>
  </si>
  <si>
    <t>U01716_Galland_2026.pdf</t>
  </si>
  <si>
    <t>U01729</t>
  </si>
  <si>
    <t>Dual-stream Expert Reasoning for Maintaining Focus in Chinese Counseling Dialogues</t>
  </si>
  <si>
    <t>10.1109/cscwd68734.2026.11581699</t>
  </si>
  <si>
    <t>U01729_Deng_2026.pdf</t>
  </si>
  <si>
    <t>U01731</t>
  </si>
  <si>
    <t>Dynamic Cognitive Planning for Cognitive-Functional Dialogue: A Case Study in Emotional Support Conversation</t>
  </si>
  <si>
    <t>Liu</t>
  </si>
  <si>
    <t>10.1609/aaai.v40i38.40478</t>
  </si>
  <si>
    <t>U01731_Liu_2026.pdf</t>
  </si>
  <si>
    <t>U01741</t>
  </si>
  <si>
    <t>Early Mental Health Assistance Through Audio Emotion Detection and Conversational Agent</t>
  </si>
  <si>
    <t>A. A. Wijaya</t>
  </si>
  <si>
    <t>2026 IEEE International Conference on Artificial Intelligence and Mechatronics Systems (AIMS)</t>
  </si>
  <si>
    <t>10.1109/aims71270.2026.11712928</t>
  </si>
  <si>
    <t>U01741_Wijaya_2026.pdf</t>
  </si>
  <si>
    <t>U01757</t>
  </si>
  <si>
    <t>EEG-Informed Neuroadaptive Language Model for CBT</t>
  </si>
  <si>
    <t>10.1145/3748522.3779990</t>
  </si>
  <si>
    <t>U01757_Kim_2026.pdf</t>
  </si>
  <si>
    <t>U01764</t>
  </si>
  <si>
    <t>Effectiveness of a Fully Automated Mobile Therapeutic Versus a General Chatbot in Reducing Depression and Anxiety and Improving Well-Being: Feasibility Randomized Controlled Trial</t>
  </si>
  <si>
    <t>Kuta</t>
  </si>
  <si>
    <t>10.2196/82642</t>
  </si>
  <si>
    <t>U01764_Kuta_2026.pdf</t>
  </si>
  <si>
    <t>U01776</t>
  </si>
  <si>
    <t>Effectiveness of Student-Centered Fine-Tuning of Large Language Models for Mental Health Support</t>
  </si>
  <si>
    <t>Musmade</t>
  </si>
  <si>
    <t>Proceedings of the IEEE International Conference on Big Data Computing Service and Applications, BigDataService</t>
  </si>
  <si>
    <t>10.1109/bigdataservice70481.2026.00024</t>
  </si>
  <si>
    <t>U01776_Musmade_2026.pdf</t>
  </si>
  <si>
    <t>U01782</t>
  </si>
  <si>
    <t>Effects of Embodied Agent Body Type on Perceptions and Dietary Intentions in Digital Health Counseling</t>
  </si>
  <si>
    <t>Ashok Vankit</t>
  </si>
  <si>
    <t>Computer Animation and Virtual Worlds</t>
  </si>
  <si>
    <t>10.1002/cav.70146</t>
  </si>
  <si>
    <t>U01782_Ashok-Vankit_2026.pdf</t>
  </si>
  <si>
    <t>U01797</t>
  </si>
  <si>
    <t>Efficacy of a Conversational AI Agent for Psychiatric Symptoms and Digital Therapeutic Alliance A Randomized Clinical Trial</t>
  </si>
  <si>
    <t>Shoshani</t>
  </si>
  <si>
    <t>10.1001/jamanetworkopen.2026.6713</t>
  </si>
  <si>
    <t>U01797_Shoshani_2026.pdf</t>
  </si>
  <si>
    <t>U01798</t>
  </si>
  <si>
    <t>Efficacy of A Virtual Agent–Based Digital Intervention (Echo App V2.0) for Patients With Alcohol Use Disorder: Randomized Controlled Trial</t>
  </si>
  <si>
    <t>10.2196/91065</t>
  </si>
  <si>
    <t>U01798_Li_2026.pdf</t>
  </si>
  <si>
    <t>U01804</t>
  </si>
  <si>
    <t>Efficient and responsible transformer based conversational agents for emotionally supportive dialogue</t>
  </si>
  <si>
    <t>Saleela</t>
  </si>
  <si>
    <t>Discover Artificial Intelligence</t>
  </si>
  <si>
    <t>10.1007/s44163-026-01426-6</t>
  </si>
  <si>
    <t>U01804_Saleela_2026.pdf</t>
  </si>
  <si>
    <t>U01808</t>
  </si>
  <si>
    <t>EIAPsy: A Phase-Aware Progressive Framework for Online Psychological Counseling</t>
  </si>
  <si>
    <t>10.1109/cscwd68734.2026.11581644</t>
  </si>
  <si>
    <t>U01808_Li_2026.pdf</t>
  </si>
  <si>
    <t>U01811</t>
  </si>
  <si>
    <t>Elyssa: A multi-modal framework integrating facial emotion recognition and fine-tuned language models for accessible mental health support</t>
  </si>
  <si>
    <t>Kumar</t>
  </si>
  <si>
    <t>Array</t>
  </si>
  <si>
    <t>10.1016/j.array.2026.101277</t>
  </si>
  <si>
    <t>1-s2.0-S2590005626006004-main.pdf</t>
  </si>
  <si>
    <t>U01812</t>
  </si>
  <si>
    <t>Embodied Agent-Facilitated Virtual Support Groups for University Students</t>
  </si>
  <si>
    <t>Kian</t>
  </si>
  <si>
    <t>10.1109/taffc.2026.3693987</t>
  </si>
  <si>
    <t>U01812_Kian_2026.pdf</t>
  </si>
  <si>
    <t>U01814</t>
  </si>
  <si>
    <t>Embodied Empathy: A Multimodal AR and LLM-Powered System for Self-Attachment Psychotherapy with Self-Initiated Humour</t>
  </si>
  <si>
    <t>Xinyan Ye</t>
  </si>
  <si>
    <t>Companion Publication of the 28th International Conference on Multimodal Interaction</t>
  </si>
  <si>
    <t>10.1145/3776591.3838179</t>
  </si>
  <si>
    <t>U01814_Ye_2026.pdf</t>
  </si>
  <si>
    <t>U01815</t>
  </si>
  <si>
    <t>Embodied Miracle-Question Counseling in Virtual Reality</t>
  </si>
  <si>
    <t>Proceedings - 2026 IEEE Conference on Virtual Reality and 3D User Interfaces Abstracts and Workshops, VRW 2026</t>
  </si>
  <si>
    <t>10.1109/vrw70859.2026.00154</t>
  </si>
  <si>
    <t>U01815_Wang_2026.pdf</t>
  </si>
  <si>
    <t>U01820</t>
  </si>
  <si>
    <t>EMO-GUIDE: Emotion-Driven Interactive Chatbot for Mental Well-Being using FSM-based Dialogue Control</t>
  </si>
  <si>
    <t>Subasri</t>
  </si>
  <si>
    <t>Proceedings of the 6th International Conference on Pervasive Computing and Social Networking, ICPCSN 2026</t>
  </si>
  <si>
    <t>10.1109/icpcsn68523.2026.11543972</t>
  </si>
  <si>
    <t>U01820_Subasri_2026.pdf</t>
  </si>
  <si>
    <t>U01821</t>
  </si>
  <si>
    <t>S. N</t>
  </si>
  <si>
    <t>2026 6th International Conference on Pervasive Computing and Social Networking (ICPCSN)</t>
  </si>
  <si>
    <t>U01821_N_2026.pdf</t>
  </si>
  <si>
    <t>U01824</t>
  </si>
  <si>
    <t>Emoticare+: A Proactive and Personalized Emotion-Aware Conversational Agent for Mental Health Support</t>
  </si>
  <si>
    <t>Mary Valentina Janet</t>
  </si>
  <si>
    <t>Proceedings of 6th International Conference on Expert Clouds and Applications, ICOECA 2026</t>
  </si>
  <si>
    <t>10.1109/icoeca68095.2026.11485280</t>
  </si>
  <si>
    <t>U01824_Mary-Valentina-Janet_2026.pdf</t>
  </si>
  <si>
    <t>U01825</t>
  </si>
  <si>
    <t>M. V. J. A</t>
  </si>
  <si>
    <t>2026 6th International Conference on Expert Clouds and Applications (ICOECA)</t>
  </si>
  <si>
    <t>U01825_A_2026.pdf</t>
  </si>
  <si>
    <t>U01826</t>
  </si>
  <si>
    <t>Emotimate - AI Companion Agent for Mental Health Using Multimodal Generative AI</t>
  </si>
  <si>
    <t>Kadam</t>
  </si>
  <si>
    <t>2026 IEEE International Conference on Emerging Computing and Intelligent Technologies, ICoECIT 2026</t>
  </si>
  <si>
    <t>10.1109/icoecit68303.2026.11496817</t>
  </si>
  <si>
    <t>U01826_Kadam_2026.pdf</t>
  </si>
  <si>
    <t>U01833</t>
  </si>
  <si>
    <t>Emotion-Aware Conversational Framework for Mental Health Support Using Enhanced RoBERTa</t>
  </si>
  <si>
    <t>Urunkar</t>
  </si>
  <si>
    <t>10.1109/icicgr68236.2026.11600087</t>
  </si>
  <si>
    <t>U01833_Urunkar_2026.pdf</t>
  </si>
  <si>
    <t>U01834</t>
  </si>
  <si>
    <t>Emotion-Aware Dialogue System with Basic Silence Detection and Voice-Assisted User Interface for Mental Health Monitoring</t>
  </si>
  <si>
    <t>Stephin</t>
  </si>
  <si>
    <t>10.1109/iciccs67901.2026.11502846</t>
  </si>
  <si>
    <t>U01834_Stephin_2026.pdf</t>
  </si>
  <si>
    <t>U01835</t>
  </si>
  <si>
    <t>S. A</t>
  </si>
  <si>
    <t>U01835_A_2026.pdf</t>
  </si>
  <si>
    <t>U01836</t>
  </si>
  <si>
    <t>Emotion-Aware Digital Therapy Assistant Using LLMs and Agentic Workflows</t>
  </si>
  <si>
    <t>Patel</t>
  </si>
  <si>
    <t>10.1109/icitsif69060.2026.11608458</t>
  </si>
  <si>
    <t>U01836_Patel_2026.pdf</t>
  </si>
  <si>
    <t>U01846</t>
  </si>
  <si>
    <t>Emotional Companionship: An Evaluation of LLMs' Emotional Adaptability Through Sentiment and Embedding Based Analysis</t>
  </si>
  <si>
    <t>H. A. Abdelrahman</t>
  </si>
  <si>
    <t>2026 11th International Conference on Electronic Technology and Information Science (ICETIS)</t>
  </si>
  <si>
    <t>10.1109/icetis70504.2026.11633485</t>
  </si>
  <si>
    <t>U01846_Abdelrahman_2026.pdf</t>
  </si>
  <si>
    <t>U01852</t>
  </si>
  <si>
    <t>Emotional support or problem-solving? A randomized controlled trial of function-specific AI Chatbots for digital stress in college students</t>
  </si>
  <si>
    <t>Applied Psychology: Health and Well-Being</t>
  </si>
  <si>
    <t>10.1111/aphw.70208</t>
  </si>
  <si>
    <t>U01852_Yang_2026.pdf</t>
  </si>
  <si>
    <t>U01853</t>
  </si>
  <si>
    <t>Emotional support through AI: Venting to artificial intelligence or a perceived human may offer comparable emotional well-being benefits</t>
  </si>
  <si>
    <t>10.1016/j.chbr.2026.101149</t>
  </si>
  <si>
    <t>U01853_Hu_2026.pdf</t>
  </si>
  <si>
    <t>U01854</t>
  </si>
  <si>
    <t>Emotional supporters often use multiple strategies in a single turn</t>
  </si>
  <si>
    <t>Bai</t>
  </si>
  <si>
    <t>Neurocomputing</t>
  </si>
  <si>
    <t>10.1016/j.neucom.2026.133897</t>
  </si>
  <si>
    <t>U01854_Bai_2026.pdf</t>
  </si>
  <si>
    <t>U01856</t>
  </si>
  <si>
    <t>Emotionally intelligent social robot for dementia care: empathy-based conversational intervention model using multimodal sentiment analysis</t>
  </si>
  <si>
    <t>Lei</t>
  </si>
  <si>
    <t>Future Technology</t>
  </si>
  <si>
    <t>10.55670/fpll.futech.5.2.19</t>
  </si>
  <si>
    <t>U01856_Lei_2026.pdf</t>
  </si>
  <si>
    <t>U01862</t>
  </si>
  <si>
    <t>Empathetic AI: A Hybrid NLP and Ensemble Learning Framework for Proactive Mental Health Support Chatbots</t>
  </si>
  <si>
    <t>Shashwati</t>
  </si>
  <si>
    <t>Conference Proceedings - 1st International Conference on Advancing Sustainable Solutions through Technologies, ICASST 2026</t>
  </si>
  <si>
    <t>10.1109/icasst68917.2026.11484485</t>
  </si>
  <si>
    <t>U01862_Shashwati_2026.pdf</t>
  </si>
  <si>
    <t>U01864</t>
  </si>
  <si>
    <t>Empathetic Dialogue Generation with LLMs for Emotional Support</t>
  </si>
  <si>
    <t>10.1007/978-981-95-3352-7_45</t>
  </si>
  <si>
    <t>U01864_Wang_2026.pdf</t>
  </si>
  <si>
    <t>U01865</t>
  </si>
  <si>
    <t>Empathetic Response Generation in Emotional Support Conversation via Multi-stage Cascading Information Fusion</t>
  </si>
  <si>
    <t>10.1007/978-3-032-02088-8_9</t>
  </si>
  <si>
    <t>U01865_Zhang_2026.pdf</t>
  </si>
  <si>
    <t>U01867</t>
  </si>
  <si>
    <t>Empathy in action: An empirical exploration of user perspectives on conversational agent empathy</t>
  </si>
  <si>
    <t>10.1016/j.ijhcs.2026.103797</t>
  </si>
  <si>
    <t>U01867_Lee_2026.pdf</t>
  </si>
  <si>
    <t>U01868</t>
  </si>
  <si>
    <t>Empathy-R1: A Chain-of-Empathy and Reinforcement Learning Framework for Long-Form Mental Health Support</t>
  </si>
  <si>
    <t>Yao</t>
  </si>
  <si>
    <t>10.1109/taffc.2026.3732970</t>
  </si>
  <si>
    <t>U01868_Yao_2026.pdf</t>
  </si>
  <si>
    <t>U01871</t>
  </si>
  <si>
    <t>EMPOWER-KARE: Deep Prompt Learning for Knowledge-Aware Response Generation in Clinical Counseling and Legal Support Conversations</t>
  </si>
  <si>
    <t>Priya</t>
  </si>
  <si>
    <t>IEEE Transactions on Artificial Intelligence</t>
  </si>
  <si>
    <t>10.1109/tai.2025.3548628</t>
  </si>
  <si>
    <t>U01871_Priya_2026.pdf</t>
  </si>
  <si>
    <t>U01887</t>
  </si>
  <si>
    <t>Engagement, Satisfaction, and Therapeutic Alliance With an AI Conversational Agent for Parents: Quantitative Descriptive Study</t>
  </si>
  <si>
    <t>Mostovoy</t>
  </si>
  <si>
    <t>10.2196/100302</t>
  </si>
  <si>
    <t>U01887_Mostovoy_2026.pdf</t>
  </si>
  <si>
    <t>U01896</t>
  </si>
  <si>
    <t>Enhancing Case Formulation Competence in Novice Counselors: A ChatGPT-Assisted Approach Using the 4P Model</t>
  </si>
  <si>
    <t>Dai</t>
  </si>
  <si>
    <t>10.3390/bs16081315</t>
  </si>
  <si>
    <t>U01896_Dai_2026.pdf</t>
  </si>
  <si>
    <t>U01900</t>
  </si>
  <si>
    <t>Enhancing Counselor Education With Artificial Intelligence Chatbots: Attitudes Toward Artificial Intelligence and Counseling Skill Self-Efficacy</t>
  </si>
  <si>
    <t>Han</t>
  </si>
  <si>
    <t>10.1002/jcad.70058</t>
  </si>
  <si>
    <t>U01900_Han_2026.pdf</t>
  </si>
  <si>
    <t>U01909</t>
  </si>
  <si>
    <t>Enhancing Elderly Well-Being Through AI-Based Virtual Companion Systems: A Cooperative Approach</t>
  </si>
  <si>
    <t>Suta</t>
  </si>
  <si>
    <t>10.1007/978-3-032-06952-8_10</t>
  </si>
  <si>
    <t>U01909_Suta_2026.pdf</t>
  </si>
  <si>
    <t>U01932</t>
  </si>
  <si>
    <t>Enhancing Student Mental Health in Vietnam via a Predictive Emotion Chatbot</t>
  </si>
  <si>
    <t>Doan</t>
  </si>
  <si>
    <t>10.1007/978-3-032-18316-3_11</t>
  </si>
  <si>
    <t>U01932_Doan_2026.pdf</t>
  </si>
  <si>
    <t>U01949</t>
  </si>
  <si>
    <t>ES-MemEval: Benchmarking Conversational Agents on Personalized Long-Term Emotional Support</t>
  </si>
  <si>
    <t>10.1145/3774904.3792143</t>
  </si>
  <si>
    <t>U01949_Chen_2026.pdf</t>
  </si>
  <si>
    <t>U01950</t>
  </si>
  <si>
    <t>ESCA: An Emotional Support Conversation Agent for Enhancing Reasonable Strategy Planning and Effective Expression</t>
  </si>
  <si>
    <t>10.1609/aaai.v40i21.38807</t>
  </si>
  <si>
    <t>U01950_Li_2026.pdf</t>
  </si>
  <si>
    <t>U01960</t>
  </si>
  <si>
    <t>Ethical Prompt Optimization for Mental Health Chatbots Using Mixture-of-Experts (MoE) and Guardrail LLMs</t>
  </si>
  <si>
    <t>Sofia Chandrasekar</t>
  </si>
  <si>
    <t>10.1109/icicgr68236.2026.11600123</t>
  </si>
  <si>
    <t>U01960_Sofia-Chandrasekar_2026.pdf</t>
  </si>
  <si>
    <t>U01963</t>
  </si>
  <si>
    <t>Ethical Sensemaking in AI Mental Health Chatbots: An Analysis of User Reviews</t>
  </si>
  <si>
    <t>Rahman</t>
  </si>
  <si>
    <t>10.1145/3800645.3813050</t>
  </si>
  <si>
    <t>U01963_Rahman_2026.pdf</t>
  </si>
  <si>
    <t>U01965</t>
  </si>
  <si>
    <t>Ethically Constrained Prompt Engineering Using Safe Decoding and Red-Team Reinforcement for Mental Health LLMs</t>
  </si>
  <si>
    <t>2026 International Conference on Trends in Quantum Computing and Emerging Business Technologies, TQCEBT 2026</t>
  </si>
  <si>
    <t>10.1109/tqcebt67648.2026.11681062</t>
  </si>
  <si>
    <t>U01965_Sofia-Chandrasekar_2026.pdf</t>
  </si>
  <si>
    <t>U01968</t>
  </si>
  <si>
    <t>EVA: Emotion-Aware Conversational AI with Personalized Voice for Adolescents</t>
  </si>
  <si>
    <t>Ramesh</t>
  </si>
  <si>
    <t>International Conference on Electrical, Computer, and Energy Technologies, ICECET 2026</t>
  </si>
  <si>
    <t>10.1109/icecet65726.2026.11632547</t>
  </si>
  <si>
    <t>U01968_Ramesh_2026.pdf</t>
  </si>
  <si>
    <t>U01971</t>
  </si>
  <si>
    <t>Evaluating a Consumer LLM for Suicide Risk Response Calibration: A Pilot Study</t>
  </si>
  <si>
    <t>Keskin</t>
  </si>
  <si>
    <t>Studies in Health Technology and Informatics</t>
  </si>
  <si>
    <t>10.3233/shti260331</t>
  </si>
  <si>
    <t>U01971_Keskin_2026.pdf</t>
  </si>
  <si>
    <t>U01976</t>
  </si>
  <si>
    <t>Evaluating an LLM-Powered Chatbot for Cognitive Restructuring: Insights from Users and Mental Health Professionals</t>
  </si>
  <si>
    <t>Yinzhou Wang</t>
  </si>
  <si>
    <t>ACM Trans. Comput. Healthcare</t>
  </si>
  <si>
    <t>10.1145/3820038</t>
  </si>
  <si>
    <t>U01976_Wang_2026.pdf</t>
  </si>
  <si>
    <t>U01979</t>
  </si>
  <si>
    <t>Evaluating chatbots’ adherence to the integrated model of advice giving: presence and sequential structuring of supportive acts in human-AI interactions</t>
  </si>
  <si>
    <t>10.1080/0144929x.2026.2633768</t>
  </si>
  <si>
    <t>U01979_Hwang_2026.pdf</t>
  </si>
  <si>
    <t>U01986</t>
  </si>
  <si>
    <t>Evaluating ChatGPT-generated psychoeducation for mood disorders: comparative insights from patients and mental health professionals</t>
  </si>
  <si>
    <t>Attanasio</t>
  </si>
  <si>
    <t>Journal of Psychiatric Research</t>
  </si>
  <si>
    <t>10.1016/j.jpsychires.2025.11.039</t>
  </si>
  <si>
    <t>U01986_Attanasio_2026.pdf</t>
  </si>
  <si>
    <t>U01992</t>
  </si>
  <si>
    <t>Evaluating expert opinions on using a virtual patient app based on artificial intelligence for teaching brief smoking cessation advice to medical students: a cross-sectional study</t>
  </si>
  <si>
    <t>Budin</t>
  </si>
  <si>
    <t>BMC Medical Education</t>
  </si>
  <si>
    <t>10.1186/s12909-026-09435-w</t>
  </si>
  <si>
    <t>U01992_Budin_2026.pdf</t>
  </si>
  <si>
    <t>U01996</t>
  </si>
  <si>
    <t>Evaluating Indonesian Mental Health Chatbots via Agentic Simulation: When Ethics and Realism Win</t>
  </si>
  <si>
    <t>I. Ni'mah</t>
  </si>
  <si>
    <t>2026 International Conference on Computer, Control, Informatics and its Applications (IC3INA)</t>
  </si>
  <si>
    <t>10.1109/ic3ina72033.2026.11714762</t>
  </si>
  <si>
    <t>U01996_Ni-mah_2026.pdf</t>
  </si>
  <si>
    <t>U02001</t>
  </si>
  <si>
    <t>Evaluating large language models for ADHD education: A comparative study of ChatGPT 5, DeepSeek V3, and Grok 4</t>
  </si>
  <si>
    <t>Han X</t>
  </si>
  <si>
    <t>PLoS One</t>
  </si>
  <si>
    <t>10.1371/journal.pone.0335335</t>
  </si>
  <si>
    <t>U02001_Han-X_2026.pdf</t>
  </si>
  <si>
    <t>U02016</t>
  </si>
  <si>
    <t>Evaluating over-empathizing in emotional support conversations: A user-centered framework</t>
  </si>
  <si>
    <t>Son</t>
  </si>
  <si>
    <t>Expert Systems with Applications</t>
  </si>
  <si>
    <t>10.1016/j.eswa.2025.131059</t>
  </si>
  <si>
    <t>U02016_Son_2026.pdf</t>
  </si>
  <si>
    <t>U02022</t>
  </si>
  <si>
    <t>Evaluating Supportive LLM Behavior Over Multiple Turns across Demographics</t>
  </si>
  <si>
    <t>Star</t>
  </si>
  <si>
    <t>10.1145/3772363.3799175</t>
  </si>
  <si>
    <t>U02022_Star_2026.pdf</t>
  </si>
  <si>
    <t>U02028</t>
  </si>
  <si>
    <t>Evaluating the Effectiveness of AI-Driven Chatbots in Early Detection of Mental Health Disorders and Psychological Counseling</t>
  </si>
  <si>
    <t>Kulkarni</t>
  </si>
  <si>
    <t>Natural Resources for Human Health</t>
  </si>
  <si>
    <t>10.53365/nrfhh.542</t>
  </si>
  <si>
    <t>U02028_Kulkarni_2026.pdf</t>
  </si>
  <si>
    <t>U02029</t>
  </si>
  <si>
    <t>Evaluating the effectiveness of an artificial intelligence-based chatbot for reducing dental anxiety among adult dental patients</t>
  </si>
  <si>
    <t>Madfa</t>
  </si>
  <si>
    <t>FRONTIERS IN ORAL HEALTH</t>
  </si>
  <si>
    <t>10.3389/froh.2026.1778200</t>
  </si>
  <si>
    <t>U02029_Madfa_2026.pdf</t>
  </si>
  <si>
    <t>U02044</t>
  </si>
  <si>
    <t>Evaluating the safety of AI responses in suicide-related interactions: A clinically informed framework and simulation study</t>
  </si>
  <si>
    <t>Wei</t>
  </si>
  <si>
    <t>Psychiatry Research Communications</t>
  </si>
  <si>
    <t>10.1016/j.psycom.2026.100263</t>
  </si>
  <si>
    <t>U02044_Wei_2026.pdf</t>
  </si>
  <si>
    <t>U02055</t>
  </si>
  <si>
    <t>Evaluation of an AI-Based Mental Health Chatbot Through Multidimensional Expert Assessment: A Preliminary Study from Yucatán, Mexico</t>
  </si>
  <si>
    <t>Vanega-Romero</t>
  </si>
  <si>
    <t>10.1007/978-3-032-30396-7_9</t>
  </si>
  <si>
    <t>U02055_Vanega-Romero_2026.pdf</t>
  </si>
  <si>
    <t>U02084</t>
  </si>
  <si>
    <t>Examining the Impact of Embodied Conversational Agents’ Emotional Expressions and Empathetic Communication on Companionship for Middle-Aged and Older Adults</t>
  </si>
  <si>
    <t>10.1007/978-3-032-12657-3_29</t>
  </si>
  <si>
    <t>U02084_Wang_2026.pdf</t>
  </si>
  <si>
    <t>U02097</t>
  </si>
  <si>
    <t>Expert Evaluation and the Limits of Human Feedback in Mental Health AI Safety Testing</t>
  </si>
  <si>
    <t>Jafari Meimandi</t>
  </si>
  <si>
    <t>10.1145/3805689.3812332</t>
  </si>
  <si>
    <t>U02097_Jafari-Meimandi_2026.pdf</t>
  </si>
  <si>
    <t>U02102</t>
  </si>
  <si>
    <t>Explainable AI and Large Language Model in Mental Health Support System</t>
  </si>
  <si>
    <t>2026 6th International Conference on Intelligent Technologies, CONIT 2026</t>
  </si>
  <si>
    <t>10.1109/conit69683.2026.11621498</t>
  </si>
  <si>
    <t>U02102_Sharma_2026.pdf</t>
  </si>
  <si>
    <t>U02107</t>
  </si>
  <si>
    <t>Explainable emotion forecasting and empathic dialogue generation via a Hybrid Markov-LLM framework</t>
  </si>
  <si>
    <t>S.</t>
  </si>
  <si>
    <t>10.1016/j.array.2026.100832</t>
  </si>
  <si>
    <t>U02107_S_2026.pdf</t>
  </si>
  <si>
    <t>U02118</t>
  </si>
  <si>
    <t>EXPLORATORY PILOT STUDY OF AN ARTIFICIAL INTELLIGENCE-BASED CHATBOT FOR INITIAL MENTAL HEALTH SUPPORT AMONG UNIVERSITY STUDENTS; [ESTUDIO EXPLORATORIO DE UN CHATBOT BASADO EN INTELIGENCIA ARTIFICIAL PARA EL APOYO INICIAL EN SALUD MENTAL DE ESTUDIANTES UNIVERSITARIOS]</t>
  </si>
  <si>
    <t>Sánchez Carlessi</t>
  </si>
  <si>
    <t>Revista de la Facultad de Medicina Humana</t>
  </si>
  <si>
    <t>10.25176/rfmh.v26i2.8526</t>
  </si>
  <si>
    <t>U02118_Sanchez-Carlessi_2026.pdf</t>
  </si>
  <si>
    <t>U02119</t>
  </si>
  <si>
    <t>Explore LLM-enabled Tools to Facilitate Imaginal Exposure Exercises for Social Anxiety</t>
  </si>
  <si>
    <t>10.1145/3786579.3804922</t>
  </si>
  <si>
    <t>U02119_Wang_2026.pdf</t>
  </si>
  <si>
    <t>U02127</t>
  </si>
  <si>
    <t>Exploring Chatgpt as a digital social support tool for bulimia nervosa</t>
  </si>
  <si>
    <t>Vuraloğlu</t>
  </si>
  <si>
    <t>10.1371/journal.pone.0345010</t>
  </si>
  <si>
    <t>U02127_Vuraloglu_2026.pdf</t>
  </si>
  <si>
    <t>U02130</t>
  </si>
  <si>
    <t>Exploring conflict-related behavioral intentions in AI and human role-playing interventions: evidence from behavioral experiments and linguistic analyses</t>
  </si>
  <si>
    <t>Ye</t>
  </si>
  <si>
    <t>Cognitive Processing</t>
  </si>
  <si>
    <t>10.1007/s10339-026-01391-z</t>
  </si>
  <si>
    <t>U02130_Ye_2026.pdf</t>
  </si>
  <si>
    <t>U02132</t>
  </si>
  <si>
    <t>Exploring Expert Perspectives on Wearable-Triggered LLM Conversational Support for Daily Stress Management</t>
  </si>
  <si>
    <t>Dongre</t>
  </si>
  <si>
    <t>10.1145/3786579.3804960</t>
  </si>
  <si>
    <t>U02132_Dongre_2026.pdf</t>
  </si>
  <si>
    <t>U02136</t>
  </si>
  <si>
    <t>Exploring Informal Caregivers’ Experiences with a Context-Sensitive Voice-Based AI Companion</t>
  </si>
  <si>
    <t>Walter</t>
  </si>
  <si>
    <t>10.1007/978-3-032-30424-7_24</t>
  </si>
  <si>
    <t>U02136_Walter_2026.pdf</t>
  </si>
  <si>
    <t>U02138</t>
  </si>
  <si>
    <t>Exploring Interactions with Companion Virtual Agents</t>
  </si>
  <si>
    <t>Calvo</t>
  </si>
  <si>
    <t>HAI 2025 - Proceedings of the 13th International Conference on Human-Agent Interaction</t>
  </si>
  <si>
    <t>10.1145/3765766.3765791</t>
  </si>
  <si>
    <t>U02138_Calvo_2026.pdf</t>
  </si>
  <si>
    <t>U02140</t>
  </si>
  <si>
    <t>Exploring Large Language Models as Digital Health Coaches: A Role-Play Approach to Brief Action Planning</t>
  </si>
  <si>
    <t>Bolpagni</t>
  </si>
  <si>
    <t>10.1007/978-3-032-16708-8_35</t>
  </si>
  <si>
    <t>U02140_Bolpagni_2026.pdf</t>
  </si>
  <si>
    <t>U02165</t>
  </si>
  <si>
    <t>Exploring the Design of a LLM-Based AI Assistant for Mindfulness Practice with Older Adults</t>
  </si>
  <si>
    <t>McCarren</t>
  </si>
  <si>
    <t>10.1145/3772318.3790734</t>
  </si>
  <si>
    <t>U02165_McCarren_2026.pdf</t>
  </si>
  <si>
    <t>U02168</t>
  </si>
  <si>
    <t>Exploring the Digital Therapeutic Alliance: A Preliminary Analysis of Mental Health Chatbot Conversations</t>
  </si>
  <si>
    <t>ICHEC 2025 - Proceedings of the International Conference on Human-Engaged Computing 2025</t>
  </si>
  <si>
    <t>10.1145/3786995.3787059</t>
  </si>
  <si>
    <t>U02168_Xu_2026.pdf</t>
  </si>
  <si>
    <t>U02185</t>
  </si>
  <si>
    <t>Exploring the potential of ChatGPT as a digital advisor in acute psychiatric crises: a feasibility study</t>
  </si>
  <si>
    <t>Barabas</t>
  </si>
  <si>
    <t>NERVENARZT</t>
  </si>
  <si>
    <t>10.1007/s00115-025-01837-3</t>
  </si>
  <si>
    <t>U02185_Barabas_2026.pdf</t>
  </si>
  <si>
    <t>U02186</t>
  </si>
  <si>
    <t>Exploring the potential of ChatGPT as a digital advisor in acute psychiatric crises: a feasibility study; [Untersuchung des Potenzials von ChatGPT als digitaler Berater in akuten psychischen Krisen: eine Machbarkeitsstudie]</t>
  </si>
  <si>
    <t>Der Nervenarzt</t>
  </si>
  <si>
    <t>U02186_Barabas_2026.pdf</t>
  </si>
  <si>
    <t>U02192</t>
  </si>
  <si>
    <t>Exploring the Role of AI as a Recovery Companion for People Who Use Drugs: Potential and Boundaries</t>
  </si>
  <si>
    <t>Hsu</t>
  </si>
  <si>
    <t>10.1007/978-3-032-23104-8_20</t>
  </si>
  <si>
    <t>U02192_Hsu_2026.pdf</t>
  </si>
  <si>
    <t>U02194</t>
  </si>
  <si>
    <t>Exploring the Role of App Features in Providing Continuity of Care to Users on a Digital Mental Health Platform (Wysa): Retrospective Mixed Methods Observational Study</t>
  </si>
  <si>
    <t>Sinha</t>
  </si>
  <si>
    <t>10.2196/73033</t>
  </si>
  <si>
    <t>U02194_Sinha_2026.pdf</t>
  </si>
  <si>
    <t>U02197</t>
  </si>
  <si>
    <t>Exploring the Use of AI-based Chatbots to Help Support Armed Forces Veterans' Mental Health</t>
  </si>
  <si>
    <t>Ashraf</t>
  </si>
  <si>
    <t>10.1145/3786579.3804925</t>
  </si>
  <si>
    <t>U02197_Ashraf_2026.pdf</t>
  </si>
  <si>
    <t>U02199</t>
  </si>
  <si>
    <t>Exploring the Use of Generative AI Technologies to Create Life-Review Summaries with Family Members to Promote Mental Health in Patients with Geriatric Depression</t>
  </si>
  <si>
    <t>10.1145/3772363.3798313</t>
  </si>
  <si>
    <t>U02199_Lin_2026.pdf</t>
  </si>
  <si>
    <t>U02202</t>
  </si>
  <si>
    <t>Exploring the Role of AI Guidance in Internet-Based Acceptance and Commitment Therapy: Links to Human-Computer Trust and Help-Seeking Barriers</t>
  </si>
  <si>
    <t>Merikko</t>
  </si>
  <si>
    <t>10.1007/978-3-032-13184-3_14</t>
  </si>
  <si>
    <t>U02202_Merikko_2026.pdf</t>
  </si>
  <si>
    <t>U02218</t>
  </si>
  <si>
    <t>Facilitating Early Maladaptive Schema–Guided Polite and Empathetic Psychotherapeutic Support: An LLM-Driven MoE-RL-Based Dialogue System</t>
  </si>
  <si>
    <t>10.1609/aaai.v40i39.40552</t>
  </si>
  <si>
    <t>U02218_Priya_2026.pdf</t>
  </si>
  <si>
    <t>U02233</t>
  </si>
  <si>
    <t>Fear Is a Bad Gambler: Designing for Cognitive Co-Creation in AI-Mediated Social Exposure</t>
  </si>
  <si>
    <t>10.1145/3772363.3798914</t>
  </si>
  <si>
    <t>U02233_Zhang_2026.pdf</t>
  </si>
  <si>
    <t>U02235</t>
  </si>
  <si>
    <t>Feasibility and Acceptability of a Large Language Model-Based Motivational Interviewing Agent in the Emergency Department</t>
  </si>
  <si>
    <t>Suffoletto</t>
  </si>
  <si>
    <t>Annals of Emergency Medicine</t>
  </si>
  <si>
    <t>10.1016/j.annemergmed.2025.08.021</t>
  </si>
  <si>
    <t>U02235_Suffoletto_2026.pdf</t>
  </si>
  <si>
    <t>U02240</t>
  </si>
  <si>
    <t>Feasibility and user evaluation of HopeBot: An LLM-powered conversational chatbot for depression screening</t>
  </si>
  <si>
    <t>Guo</t>
  </si>
  <si>
    <t>PLOS Digital Health</t>
  </si>
  <si>
    <t>10.1371/journal.pdig.0001446</t>
  </si>
  <si>
    <t>U02240_Guo_2026.pdf</t>
  </si>
  <si>
    <t>U02248</t>
  </si>
  <si>
    <t>Feasibility study of an artificial intelligence chatbot-powered cognitive-behavioral lifestyle modification program</t>
  </si>
  <si>
    <t>Forman</t>
  </si>
  <si>
    <t>Annals of Behavioral Medicine</t>
  </si>
  <si>
    <t>10.1093/abm/kaag038</t>
  </si>
  <si>
    <t>U02248_Forman_2026.pdf</t>
  </si>
  <si>
    <t>U02251</t>
  </si>
  <si>
    <t>FedCounselLM: Federated Fine-Tuning of Lightweight BART Models for Privacy-Preserving Mental Health Counseling</t>
  </si>
  <si>
    <t>Ahmed</t>
  </si>
  <si>
    <t>Proceedings of the 2026 4th International Conference on Secure Cyber Computing and Communications, ICSCCC 2026</t>
  </si>
  <si>
    <t>10.1109/icsccc69031.2026.11600033</t>
  </si>
  <si>
    <t>U02251_Ahmed_2026.pdf</t>
  </si>
  <si>
    <t>U02266</t>
  </si>
  <si>
    <t>Fine-Tuning Large Language Models for Motivational Interviewing in Health Behavior Change: Development and Evaluation Study</t>
  </si>
  <si>
    <t>10.2196/89077</t>
  </si>
  <si>
    <t>U02266_Hu_2026.pdf</t>
  </si>
  <si>
    <t>U02268</t>
  </si>
  <si>
    <t>FineESC: Fine-Grained Emotional Support Conversation With Turn-Level Importance Modeling via Subquestion Reasoning</t>
  </si>
  <si>
    <t>IEEE TRANSACTIONS ON AFFECTIVE COMPUTING</t>
  </si>
  <si>
    <t>10.1109/taffc.2026.3703303</t>
  </si>
  <si>
    <t>U02268_Hwang_2026.pdf</t>
  </si>
  <si>
    <t>U02281</t>
  </si>
  <si>
    <t>Foreign Domestic Workers' Perspectives on an LLM-Based Emotional Support Tool for Caregiving Burden</t>
  </si>
  <si>
    <t>Teng</t>
  </si>
  <si>
    <t>10.1145/3772363.3798761</t>
  </si>
  <si>
    <t>U02281_Teng_2026.pdf</t>
  </si>
  <si>
    <t>U02283</t>
  </si>
  <si>
    <t>Formal Verification of Ethical Behavior in Mental Health Conversational Systems Using Finite-State Models</t>
  </si>
  <si>
    <t>Yampaka</t>
  </si>
  <si>
    <t>ECTI Transactions on Computer and Information Technology</t>
  </si>
  <si>
    <t>10.37936/ecti-cit.2026204.265957</t>
  </si>
  <si>
    <t>U02283_Yampaka_2026.pdf</t>
  </si>
  <si>
    <t>U02288</t>
  </si>
  <si>
    <t>Framework for Diverse Depression Patients Roleplaying and Cognitive Diagnosis of Scales Using LLMs Based on CoT Prompts</t>
  </si>
  <si>
    <t>Peng</t>
  </si>
  <si>
    <t>10.1007/978-981-95-7138-3_26</t>
  </si>
  <si>
    <t>U02288_Peng_2026.pdf</t>
  </si>
  <si>
    <t>U02338</t>
  </si>
  <si>
    <t>From disagreement to insight: multi-agent collaborative reasoning for multimodal emotional support conversations</t>
  </si>
  <si>
    <t>Chu</t>
  </si>
  <si>
    <t>Multimedia Systems</t>
  </si>
  <si>
    <t>10.1007/s00530-026-02385-9</t>
  </si>
  <si>
    <t>U02338_Chu_2026.pdf</t>
  </si>
  <si>
    <t>U02347</t>
  </si>
  <si>
    <t>From Felt Sense to Words: Construction and Analysis of a Focusing Dialogue Dataset for Verbalization</t>
  </si>
  <si>
    <t>Tsunomori</t>
  </si>
  <si>
    <t>Proceedings of the 27th Annual Meeting of the Special Interest Group on Discourse and Dialogue</t>
  </si>
  <si>
    <t>10.18653/v1/2026.sigdial-1.19</t>
  </si>
  <si>
    <t>U02347_Tsunomori_2026.pdf</t>
  </si>
  <si>
    <t>U02355</t>
  </si>
  <si>
    <t>From isolation to engagement: Chatbot-delivered narratives as a social surrogate for novice quitters and socially isolated smokers</t>
  </si>
  <si>
    <t>10.1016/j.pec.2026.109779</t>
  </si>
  <si>
    <t>U02355_Liu_2026.pdf</t>
  </si>
  <si>
    <t>U02365</t>
  </si>
  <si>
    <t>From needs assessment to usability testing: evaluating the AinoAid™ chatbot for domestic violence support</t>
  </si>
  <si>
    <t>Vogt</t>
  </si>
  <si>
    <t>BMC Women's Health</t>
  </si>
  <si>
    <t>10.1186/s12905-025-04202-3</t>
  </si>
  <si>
    <t>U02365_Vogt_2026.pdf</t>
  </si>
  <si>
    <t>U02382</t>
  </si>
  <si>
    <t>From Scripted Responses To Therapeutic Dialogue: A Linguistic And Human Values Analysis Of Mental Health Chatbots</t>
  </si>
  <si>
    <t>Sheikh</t>
  </si>
  <si>
    <t>10.1145/3786579.3804968</t>
  </si>
  <si>
    <t>U02382_Sheikh_2026.pdf</t>
  </si>
  <si>
    <t>U02405</t>
  </si>
  <si>
    <t>From Uncertainty to Decision: Enhancing Goal-Oriented Dialogue Planning Under Hesitation</t>
  </si>
  <si>
    <t>10.1109/taslpro.2026.3671073</t>
  </si>
  <si>
    <t>U02405_Du_2026.pdf</t>
  </si>
  <si>
    <t>U02429</t>
  </si>
  <si>
    <t>Gemini API-Based Self-Counseling System to Support Preliminary Psychological Assessment Using Speech and Conversation Data</t>
  </si>
  <si>
    <t>Rosita</t>
  </si>
  <si>
    <t>SIML 2026 - International Conference on Smart Computing, Internet of Things, and Machine Learning</t>
  </si>
  <si>
    <t>10.1109/siml69834.2026.11621191</t>
  </si>
  <si>
    <t>U02429_Rosita_2026.pdf</t>
  </si>
  <si>
    <t>U02487</t>
  </si>
  <si>
    <t>Generative AI for Eating Disorders: Linguistic Comparison With Online Support and Qualitative Analysis of Harms</t>
  </si>
  <si>
    <t>Yim</t>
  </si>
  <si>
    <t>International Journal of Eating Disorders</t>
  </si>
  <si>
    <t>10.1002/eat.24604</t>
  </si>
  <si>
    <t>U02487_Yim_2026.pdf</t>
  </si>
  <si>
    <t>U02488</t>
  </si>
  <si>
    <t>Generative AI for Mental Health Education: A Comparison of ChatGPT and DeepSeek</t>
  </si>
  <si>
    <t>Mu</t>
  </si>
  <si>
    <t>10.1007/978-981-95-0880-8_34</t>
  </si>
  <si>
    <t>U02488_Mu_2026.pdf</t>
  </si>
  <si>
    <t>U02501</t>
  </si>
  <si>
    <t>Generative AI Labeling, Communication Style, and Perceived Emotional Support in Chatbot Interactions among International Students</t>
  </si>
  <si>
    <t>Hou</t>
  </si>
  <si>
    <t>10.1007/s10796-026-10814-3</t>
  </si>
  <si>
    <t>U02501_Hou_2026.pdf</t>
  </si>
  <si>
    <t>U02507</t>
  </si>
  <si>
    <t>Generative AI versus human conversational agent for reducing procrastination: A randomized pilot trial</t>
  </si>
  <si>
    <t>Hennemann</t>
  </si>
  <si>
    <t>10.1177/20552076261450336</t>
  </si>
  <si>
    <t>U02507_Hennemann_2026.pdf</t>
  </si>
  <si>
    <t>U02568</t>
  </si>
  <si>
    <t>GPT-Powered Chatbot-Based Positive Psychology Intervention for Well-Being Among Parents of Children With Autism Spectrum Disorder: Single-Arm Mixed Methods Study</t>
  </si>
  <si>
    <t>10.2196/85060</t>
  </si>
  <si>
    <t>U02568_Zhang_2026.pdf</t>
  </si>
  <si>
    <t>U02583</t>
  </si>
  <si>
    <t>GymBuddy: Embedding Motivational Theories in Conversational AI Fitness Coaches</t>
  </si>
  <si>
    <t>Bettina Eska</t>
  </si>
  <si>
    <t>Proceedings of the 10th ACM International Symposium on Pervasive Displays</t>
  </si>
  <si>
    <t>10.1145/3797993.3798020</t>
  </si>
  <si>
    <t>U02583_Eska_2026.pdf</t>
  </si>
  <si>
    <t>U02584</t>
  </si>
  <si>
    <t>H2HTALK: Evaluating Large Language Models as Emotional Companion</t>
  </si>
  <si>
    <t>10.1007/978-981-95-3343-5_35</t>
  </si>
  <si>
    <t>U02584_Wang_2026.pdf</t>
  </si>
  <si>
    <t>U02586</t>
  </si>
  <si>
    <t>HarmoniqMind: AI-Powered Mental Equilibrium and Relationship Optimizer</t>
  </si>
  <si>
    <t>Thilagam</t>
  </si>
  <si>
    <t>2026 IEEE 18th International Conference on Computational Intelligence and Communication Networks, CICN 2026</t>
  </si>
  <si>
    <t>10.1109/cicn70047.2026.11594214</t>
  </si>
  <si>
    <t>U02586_Thilagam_2026.pdf</t>
  </si>
  <si>
    <t>U02593</t>
  </si>
  <si>
    <t>Harnessing large language models in virtual CBT for university students’ academic anxiety: a preliminary randomized trial</t>
  </si>
  <si>
    <t>Fang</t>
  </si>
  <si>
    <t>Frontiers in Public Health</t>
  </si>
  <si>
    <t>10.3389/fpubh.2026.1874822</t>
  </si>
  <si>
    <t>U02593_Fang_2026.pdf</t>
  </si>
  <si>
    <t>U02606</t>
  </si>
  <si>
    <t>HEAR what AI says: simulated empathy and supportive ChatGPT interaction for emotional well-being</t>
  </si>
  <si>
    <t>Pham</t>
  </si>
  <si>
    <t>10.1080/0144929x.2026.2722218</t>
  </si>
  <si>
    <t>U02606_Pham_2026.pdf</t>
  </si>
  <si>
    <t>U02607</t>
  </si>
  <si>
    <t>Hear You in Silence: Designing for Active Listening in Human Interaction with Conversational Agents Using Context-Aware Pacing</t>
  </si>
  <si>
    <t>Jiang</t>
  </si>
  <si>
    <t>10.1145/3772318.3791238</t>
  </si>
  <si>
    <t>U02607_Jiang_2026.pdf</t>
  </si>
  <si>
    <t>U02623</t>
  </si>
  <si>
    <t>HopeBot: An AI-Powered Mental Health Chatbot Built to Support College Students</t>
  </si>
  <si>
    <t>Gautam</t>
  </si>
  <si>
    <t>2026 IEEE 5th International Conference on AI in Cybersecurity, ICAIC 2026</t>
  </si>
  <si>
    <t>10.1109/icaic67076.2026.11395838</t>
  </si>
  <si>
    <t>U02623_Gautam_2026.pdf</t>
  </si>
  <si>
    <t>U02643</t>
  </si>
  <si>
    <t>How do large language models answer ADHD-related questions? A comparative study of ChatGPT, Gemini, and DeepSeek</t>
  </si>
  <si>
    <t>Bilgiç B</t>
  </si>
  <si>
    <t>10.1186/s12888-026-08280-x</t>
  </si>
  <si>
    <t>U02643_Bilgic-B_2026.pdf</t>
  </si>
  <si>
    <t>U02661</t>
  </si>
  <si>
    <t>How large language model responds to common depression questions: A comparative analysis of ChatGPT-4.0, DeepSeek, Google Gemini and Perplexity</t>
  </si>
  <si>
    <t>You</t>
  </si>
  <si>
    <t>Nurse Education in Practice</t>
  </si>
  <si>
    <t>10.1016/j.nepr.2025.104668</t>
  </si>
  <si>
    <t>U02661_You_2026.pdf</t>
  </si>
  <si>
    <t>U02662</t>
  </si>
  <si>
    <t>How Local AI Framing Shapes User Experience and Perceived Data Security with an Embodied AI Psychotherapist in VR</t>
  </si>
  <si>
    <t>Paula Friedrich</t>
  </si>
  <si>
    <t>10.1145/3776591.3832491</t>
  </si>
  <si>
    <t>U02662_Friedrich_2026.pdf</t>
  </si>
  <si>
    <t>U02665</t>
  </si>
  <si>
    <t>How professional logics shape AI implementation in mental healthcare: a qualitative study of an LLM-enhanced chatbot</t>
  </si>
  <si>
    <t>Rizzi</t>
  </si>
  <si>
    <t>10.3389/fdgth.2026.1945281</t>
  </si>
  <si>
    <t>U02665_Rizzi_2026.pdf</t>
  </si>
  <si>
    <t>U02689</t>
  </si>
  <si>
    <t>Human-centered Design and Evaluation of a Knowledge-based Conversational Agent for Student Well-being</t>
  </si>
  <si>
    <t>International Journal of Information and Education Technology</t>
  </si>
  <si>
    <t>10.18178/ijiet.2026.16.9.2688</t>
  </si>
  <si>
    <t>U02689_Wang_2026.pdf</t>
  </si>
  <si>
    <t>U02693</t>
  </si>
  <si>
    <t>Human-in-the-Loop Suicide Risk Detection and Clinical Escalation in a Generative AI Mental Health Chatbot: Prospective Implementation Study</t>
  </si>
  <si>
    <t>Glasner S</t>
  </si>
  <si>
    <t>10.2196/106118</t>
  </si>
  <si>
    <t>U02693_Glasner-S_2026.pdf</t>
  </si>
  <si>
    <t>U02705</t>
  </si>
  <si>
    <t>Hybrid IndoBERT-QWEN3 Architecture for Context-Aware Indonesian Mental Health Dialogue System</t>
  </si>
  <si>
    <t>D. Sulaiman</t>
  </si>
  <si>
    <t>2026 International Conference on Information Technology and Computing (ICITCOM)</t>
  </si>
  <si>
    <t>10.1109/icitcom70739.2026.11714340</t>
  </si>
  <si>
    <t>U02705_Sulaiman_2026.pdf</t>
  </si>
  <si>
    <t>U02712</t>
  </si>
  <si>
    <t>I Understand How You Feel: Enhancing Deeper Emotional Support Through Multilingual Emotional Validation in Dialogue System</t>
  </si>
  <si>
    <t>Pang</t>
  </si>
  <si>
    <t>10.18653/v1/2026.sigdial-1.16</t>
  </si>
  <si>
    <t>U02712_Pang_2026.pdf</t>
  </si>
  <si>
    <t>U02713</t>
  </si>
  <si>
    <t>I'm Thinking of Ending Things: Use of LLMs for Support During Break-ups</t>
  </si>
  <si>
    <t>Ungless</t>
  </si>
  <si>
    <t>10.1145/3772363.3798812</t>
  </si>
  <si>
    <t>U02713_Ungless_2026.pdf</t>
  </si>
  <si>
    <t>U02727</t>
  </si>
  <si>
    <t>IIMedGPT-M: A Mental Health Oriented LLM via a Staged Training Pipeline</t>
  </si>
  <si>
    <t>Proceedings of 2026 2nd International Conference on Artificial Intelligence and Computational Intelligence, AICI 2026</t>
  </si>
  <si>
    <t>10.1145/3810280.3810399</t>
  </si>
  <si>
    <t>U02727_Fang_2026.pdf</t>
  </si>
  <si>
    <t>U02729</t>
  </si>
  <si>
    <t>Illustrating a framework for assessing generative artificial intelligence-based conversational agents for mental health</t>
  </si>
  <si>
    <t>Desage</t>
  </si>
  <si>
    <t>Psychiatry Research</t>
  </si>
  <si>
    <t>10.1016/j.psychres.2025.116900</t>
  </si>
  <si>
    <t>U02729_Desage_2026.pdf</t>
  </si>
  <si>
    <t>U02731</t>
  </si>
  <si>
    <t>Immediate and Sustained Improvements in Mood and Stress Associated With Yuna, an AI-Powered Digital Mental Health Intervention: Real-World Retrospective Study</t>
  </si>
  <si>
    <t>McAlister</t>
  </si>
  <si>
    <t>JMIR mHealth and uHealth</t>
  </si>
  <si>
    <t>10.2196/94070</t>
  </si>
  <si>
    <t>U02731_McAlister_2026.pdf</t>
  </si>
  <si>
    <t>U02735</t>
  </si>
  <si>
    <t>Impact of AI Therapy on Young Adults</t>
  </si>
  <si>
    <t>Shafeek</t>
  </si>
  <si>
    <t>2026 4th International Conference on Artificial Intelligence and Machine Learning Applications: Healthcare and Internet of Things, AIMLA 2026</t>
  </si>
  <si>
    <t>10.1109/aimla67915.2026.11522424</t>
  </si>
  <si>
    <t>U02735_Shafeek_2026.pdf</t>
  </si>
  <si>
    <t>U02761</t>
  </si>
  <si>
    <t>Improving Emotional States and User Experience of Adults Aged 50 and Above Through Embodied Conversational Agents</t>
  </si>
  <si>
    <t>10.1007/978-3-032-29583-5_26</t>
  </si>
  <si>
    <t>U02761_Wang_2026.pdf</t>
  </si>
  <si>
    <t>U02770</t>
  </si>
  <si>
    <t>Increasing engagement with cognitive-behavioral therapy (CBT) using generative AI: a randomized controlled trial (RCT)</t>
  </si>
  <si>
    <t>McFadyen</t>
  </si>
  <si>
    <t>Communications Medicine</t>
  </si>
  <si>
    <t>10.1038/s43856-025-01321-8</t>
  </si>
  <si>
    <t>U02770_McFadyen_2026.pdf</t>
  </si>
  <si>
    <t>U02787</t>
  </si>
  <si>
    <t>Informing Robot Wellbeing Coach Design through Longitudinal Analysis of Human-AI Dialogue</t>
  </si>
  <si>
    <t>Shah</t>
  </si>
  <si>
    <t>10.1145/3776734.3794409</t>
  </si>
  <si>
    <t>U02787_Shah_2026.pdf</t>
  </si>
  <si>
    <t>U02796</t>
  </si>
  <si>
    <t>IntegraMind: An Intelligent Framework for Unified Assessment and Intervention in Dual Diagnosis</t>
  </si>
  <si>
    <t>Agarwal</t>
  </si>
  <si>
    <t>International Journal of Computational Intelligence Systems</t>
  </si>
  <si>
    <t>10.1007/s44196-026-01276-1</t>
  </si>
  <si>
    <t>U02796_Agarwal_2026.pdf</t>
  </si>
  <si>
    <t>U02802</t>
  </si>
  <si>
    <t>Integrating AI and NLP for Adaptive Mental Health Chatbots: A Hybrid Approach</t>
  </si>
  <si>
    <t>Rasid</t>
  </si>
  <si>
    <t>10.1007/978-3-032-08246-6_6</t>
  </si>
  <si>
    <t>U02802_Rasid_2026.pdf</t>
  </si>
  <si>
    <t>U02849</t>
  </si>
  <si>
    <t>Intelligent virtual agents in psychotherapy: a safety evaluation across high-risk mental health scenarios</t>
  </si>
  <si>
    <t>Rolvien</t>
  </si>
  <si>
    <t>10.1038/s41598-026-49764-w</t>
  </si>
  <si>
    <t>U02849_Rolvien_2026.pdf</t>
  </si>
  <si>
    <t>U02855</t>
  </si>
  <si>
    <t>Interactive Agents: Simulating Counselor-Client Psychological Counseling via Role-Playing LLM-to-LLM Interactions</t>
  </si>
  <si>
    <t>Qiu</t>
  </si>
  <si>
    <t>Proceedings of the 15th Joint Conference on Lexical and Computational Semantics (*SEM 2026)</t>
  </si>
  <si>
    <t>10.18653/v1/2026.starsem-conference.29</t>
  </si>
  <si>
    <t>U02855_Qiu_2026.pdf</t>
  </si>
  <si>
    <t>U02858</t>
  </si>
  <si>
    <t>Interactive Virtual Assistant for Health Promotion Among Older Adults With Type 2 Diabetes: The IVAM-ED Randomized Clinical Trial</t>
  </si>
  <si>
    <t>Matzenbacher</t>
  </si>
  <si>
    <t>JAMA network open</t>
  </si>
  <si>
    <t>10.1001/jamanetworkopen.2025.53508</t>
  </si>
  <si>
    <t>U02858_Matzenbacher_2026.pdf</t>
  </si>
  <si>
    <t>U02886</t>
  </si>
  <si>
    <t>Investigating the mobile messenger app-based intervention delivered by a therapeutic companion agent for young adults with depressive symptoms: A proof-of-concept and quasi-experimental study</t>
  </si>
  <si>
    <t>10.1177/20552076261464801</t>
  </si>
  <si>
    <t>U02886_Yoo_2026.pdf</t>
  </si>
  <si>
    <t>U02896</t>
  </si>
  <si>
    <t>Is a random human peer better than a highly supportive chatbot in reducing loneliness over time?</t>
  </si>
  <si>
    <t>Journal of Experimental Social Psychology</t>
  </si>
  <si>
    <t>10.1016/j.jesp.2026.104911</t>
  </si>
  <si>
    <t>U02896_Li_2026.pdf</t>
  </si>
  <si>
    <t>U02920</t>
  </si>
  <si>
    <t>Kardia-R1: Unleashing LLMs to Reason toward Understanding and Empathy for Emotional Support via Rubric-as-Judge Reinforcement Learning</t>
  </si>
  <si>
    <t>Yuan</t>
  </si>
  <si>
    <t>10.1145/3774904.3793022</t>
  </si>
  <si>
    <t>U02920_Yuan_2026.pdf</t>
  </si>
  <si>
    <t>U02923</t>
  </si>
  <si>
    <t>KidMind: An open framework to develop and benchmark LLMs for empathetic companionship and knowledge reasoning in Chinese child mental health support</t>
  </si>
  <si>
    <t>10.1016/j.knosys.2026.116325</t>
  </si>
  <si>
    <t>U02923_Hu_2026.pdf</t>
  </si>
  <si>
    <t>U02924</t>
  </si>
  <si>
    <t>Kizuna: An Affective Virtual Agent for Strengthening Resilience in Children</t>
  </si>
  <si>
    <t>Mariam Janai Martínez-Castro</t>
  </si>
  <si>
    <t>10.1145/3806774.3832329</t>
  </si>
  <si>
    <t>U02924_Martinez-Castro_2026.pdf</t>
  </si>
  <si>
    <t>U02969</t>
  </si>
  <si>
    <t>Large language model-supported companion robots for loneliness in older people: A UK–Japan qualitative study integrating focus groups and in-home deployment</t>
  </si>
  <si>
    <t>Satake</t>
  </si>
  <si>
    <t>International Psychogeriatrics</t>
  </si>
  <si>
    <t>10.1016/j.inpsyc.2026.100216</t>
  </si>
  <si>
    <t>U02969_Satake_2026.pdf</t>
  </si>
  <si>
    <t>U03014</t>
  </si>
  <si>
    <t>Large Language Model–Based Behavioral Activation Chatbot for Young People With Depression Using Artificial Users and Clinical Experts: Mixed Methods Evaluation</t>
  </si>
  <si>
    <t>Kuhlmeier</t>
  </si>
  <si>
    <t>10.2196/94781</t>
  </si>
  <si>
    <t>U03014_Kuhlmeier_2026.pdf</t>
  </si>
  <si>
    <t>U03054</t>
  </si>
  <si>
    <t>Leveraging Fine-Tuned LLAMA for Mental Health Support</t>
  </si>
  <si>
    <t>Sankeerth</t>
  </si>
  <si>
    <t>International Conference on Intelligent and Sustainable AI Systems, ICOSAAS 2026 - Conference Proceedings</t>
  </si>
  <si>
    <t>10.1109/icosaas68663.2026.11649297</t>
  </si>
  <si>
    <t>U03054_Sankeerth_2026.pdf</t>
  </si>
  <si>
    <t>U03077</t>
  </si>
  <si>
    <t>Linguistic comparison of AI- and human-written responses to online mental health queries</t>
  </si>
  <si>
    <t>Saha</t>
  </si>
  <si>
    <t>npj Artificial Intelligence</t>
  </si>
  <si>
    <t>10.1038/s44387-026-00099-x</t>
  </si>
  <si>
    <t>U03077_Saha_2026.pdf</t>
  </si>
  <si>
    <t>U03085</t>
  </si>
  <si>
    <t>LLM Use for Mental Health: Crowdsourcing Users' Sentiment-based Perspectives and Values from Social Discussions</t>
  </si>
  <si>
    <t>10.1145/3774904.3793025</t>
  </si>
  <si>
    <t>U03085_Li_2026.pdf</t>
  </si>
  <si>
    <t>U03087</t>
  </si>
  <si>
    <t>LLM-Assisted Counseling for Career Adaptability and Psychological Well-Being: A Longitudinal Study among Unemployed Adults in China</t>
  </si>
  <si>
    <t>10.1007/s41347-026-00718-z</t>
  </si>
  <si>
    <t>U03087_Zhang_2026.pdf</t>
  </si>
  <si>
    <t>U03094</t>
  </si>
  <si>
    <t>LLM-based chatbots for academic stress counseling: comparing Socratic and Didactic styles in fostering stress reduction and therapeutic alliance</t>
  </si>
  <si>
    <t>Interactive Learning Environments</t>
  </si>
  <si>
    <t>10.1080/10494820.2026.2662461</t>
  </si>
  <si>
    <t>U03094_You_2026.pdf</t>
  </si>
  <si>
    <t>U03096</t>
  </si>
  <si>
    <t>LLM-based Conversational AI Therapist for Daily Functioning Screening and Psychotherapeutic Intervention via Everyday Smart Devices</t>
  </si>
  <si>
    <t>Nie</t>
  </si>
  <si>
    <t>ACM Transactions on Computing for Healthcare</t>
  </si>
  <si>
    <t>10.1145/3712299</t>
  </si>
  <si>
    <t>U03096_Nie_2026.pdf</t>
  </si>
  <si>
    <t>U03115</t>
  </si>
  <si>
    <t>LLM-Powered Conversational Therapy System with Journaling and Cognitive Reframing Capabilities</t>
  </si>
  <si>
    <t>Farhan</t>
  </si>
  <si>
    <t>10.1109/icoeca68095.2026.11485531</t>
  </si>
  <si>
    <t>U03115_Farhan_2026.pdf</t>
  </si>
  <si>
    <t>U03118</t>
  </si>
  <si>
    <t>LLM-powered socially assistive robot-delivered cognitive behavioral therapy exercises: an exploratory study with university students</t>
  </si>
  <si>
    <t>Frontiers in Robotics and AI</t>
  </si>
  <si>
    <t>10.3389/frobt.2026.1802622</t>
  </si>
  <si>
    <t>U03118_Kian_2026.pdf</t>
  </si>
  <si>
    <t>U03132</t>
  </si>
  <si>
    <t>Loc-DemCare: Supporting Informal Dementia Caregivers with a Local, Intelligent Chatbot</t>
  </si>
  <si>
    <t>Suravee</t>
  </si>
  <si>
    <t>IEEE International Conference on Pervasive Computing and Communications Workshops, PerCom Workshops</t>
  </si>
  <si>
    <t>10.1109/percomworkshops68308.2026.11585298</t>
  </si>
  <si>
    <t>U03132_Suravee_2026.pdf</t>
  </si>
  <si>
    <t>U03142</t>
  </si>
  <si>
    <t>Longitudinal behavioral change coaching with multi LLM agents: Multi-scale summaries and automated dialogue steering</t>
  </si>
  <si>
    <t>Smart Health</t>
  </si>
  <si>
    <t>10.1016/j.smhl.2026.100694</t>
  </si>
  <si>
    <t>U03142_Zhou_2026.pdf</t>
  </si>
  <si>
    <t>U03149</t>
  </si>
  <si>
    <t>LUNA: A Voice-Activated Emotional Support System Driven by Global Wisdom and Sonotherapy</t>
  </si>
  <si>
    <t>Lakshmana (60686987000)</t>
  </si>
  <si>
    <t>Proceedings of International Conference on Next-Gen Quantum and Advanced Computing: Algorithms, Security, and Beyond, NQComp 2026</t>
  </si>
  <si>
    <t>10.1109/nqcomp68334.2026.11497752</t>
  </si>
  <si>
    <t>U03149_60686987000_2026.pdf</t>
  </si>
  <si>
    <t>U03150</t>
  </si>
  <si>
    <t>Machine Learning-Based Chat Bot for Diagnosing Depression: A Mental Disorder Illness</t>
  </si>
  <si>
    <t>Torky</t>
  </si>
  <si>
    <t>10.1007/978-3-032-10209-6_24</t>
  </si>
  <si>
    <t>U03150_Torky_2026.pdf</t>
  </si>
  <si>
    <t>U03152</t>
  </si>
  <si>
    <t>MAHI: An Empathetic AI Companion for Mental Health via Fine-Tuned LLaMA Model</t>
  </si>
  <si>
    <t>Deva Nandhan</t>
  </si>
  <si>
    <t>Procedia Computer Science</t>
  </si>
  <si>
    <t>10.1016/j.procs.2026.06.056</t>
  </si>
  <si>
    <t>U03152_Deva-Nandhan_2026.pdf</t>
  </si>
  <si>
    <t>U03168</t>
  </si>
  <si>
    <t>Mapping Caregiver Needs to AI Chatbot Design: Strengths and Gaps in Mental Health Support for Alzheimer's and Dementia Caregivers</t>
  </si>
  <si>
    <t>Jiayue Melissa Shi</t>
  </si>
  <si>
    <t>10.1145/3803549</t>
  </si>
  <si>
    <t>U03168_Shi_2026.pdf</t>
  </si>
  <si>
    <t>U03183</t>
  </si>
  <si>
    <t>MCTSr-Zero: Self-Reflective Psychological Counseling Dialogues Generation via Principles and Adaptive Exploration</t>
  </si>
  <si>
    <t>Lu</t>
  </si>
  <si>
    <t>10.1609/aaai.v40i38.40506</t>
  </si>
  <si>
    <t>U03183_Lu_2026.pdf</t>
  </si>
  <si>
    <t>U03197</t>
  </si>
  <si>
    <t>Medical expert system as a chatbot for screening of anxiety disorders in children and adolescents</t>
  </si>
  <si>
    <t>Madasu</t>
  </si>
  <si>
    <t>Journal of Medical Artificial Intelligence</t>
  </si>
  <si>
    <t>10.21037/jmai-24-366</t>
  </si>
  <si>
    <t>U03197_Madasu_2026.pdf</t>
  </si>
  <si>
    <t>U03202</t>
  </si>
  <si>
    <t>Memory-Augmented Mixture-of-Facet-Experts with Cross-Attention for Personality-Aware Emotional Support Dialogue</t>
  </si>
  <si>
    <t>M. Elgabry</t>
  </si>
  <si>
    <t>10.1109/imsa70415.2026.11700336</t>
  </si>
  <si>
    <t>U03202_Elgabry_2026.pdf</t>
  </si>
  <si>
    <t>U03210</t>
  </si>
  <si>
    <t>Mental Health Impacts of AI Companions: Triangulating Social Media Quasi-Experiments, User Perspectives, and Relational Lens</t>
  </si>
  <si>
    <t>10.1145/3772318.3790558</t>
  </si>
  <si>
    <t>U03210_Yuan_2026.pdf</t>
  </si>
  <si>
    <t>U03212</t>
  </si>
  <si>
    <t>Mental Health Providers’ Perspectives on the Use of Virtual Patient Interactions for Clinical Training in Working with Acutely Suicidal Patients</t>
  </si>
  <si>
    <t>Lawrence</t>
  </si>
  <si>
    <t>10.1007/s41347-024-00470-2</t>
  </si>
  <si>
    <t>U03212_Lawrence_2026.pdf</t>
  </si>
  <si>
    <t>U03216</t>
  </si>
  <si>
    <t>Mental Stress Prediction and Management Using a Random Forest Regressor-Powered Chatbot</t>
  </si>
  <si>
    <t>Kanagamalliga</t>
  </si>
  <si>
    <t>10.1016/j.procs.2026.05.166</t>
  </si>
  <si>
    <t>U03216_Kanagamalliga_2026.pdf</t>
  </si>
  <si>
    <t>U03218</t>
  </si>
  <si>
    <t>MentalBot: An AI-Driven Conversational System for Mental Health Monitoring Using Smart Wearable</t>
  </si>
  <si>
    <t>Yagnyasri</t>
  </si>
  <si>
    <t>2026 1st International Conference on Emerging Trends in Advancements and Applications of Computational Intelligence Techniques, ETAACT 2026</t>
  </si>
  <si>
    <t>10.1109/etaact69135.2026.11541532</t>
  </si>
  <si>
    <t>U03218_Yagnyasri_2026.pdf</t>
  </si>
  <si>
    <t>U03219</t>
  </si>
  <si>
    <t>MentalGuide: Towards Multi-Turn, State-Aware and Strategy-Driven Conversations for Mental Health Support</t>
  </si>
  <si>
    <t>He</t>
  </si>
  <si>
    <t>10.1609/aaai.v40i37.40354</t>
  </si>
  <si>
    <t>U03219_He_2026.pdf</t>
  </si>
  <si>
    <t>U03226</t>
  </si>
  <si>
    <t>MHDash: An Online Platform for Benchmarking Mental Health-Aware AI Assistants</t>
  </si>
  <si>
    <t>Conference Proceedings - IEEE SOUTHEASTCON</t>
  </si>
  <si>
    <t>10.1109/southeastcon63549.2026.11476505</t>
  </si>
  <si>
    <t>U03226_Zhang_2026.pdf</t>
  </si>
  <si>
    <t>U03239</t>
  </si>
  <si>
    <t>Mind Companion: An Embodied Conversational Agent for Process-Based Psychotherapy</t>
  </si>
  <si>
    <t>Kamber</t>
  </si>
  <si>
    <t>Proceedings - 2026 IEEE 14th International Conference on Healthcare Informatics, ICHI 2026</t>
  </si>
  <si>
    <t>10.1109/ichi69079.2026.00123</t>
  </si>
  <si>
    <t>U03239_Kamber_2026.pdf</t>
  </si>
  <si>
    <t>U03240</t>
  </si>
  <si>
    <t>MIND EASE+: AI based Mental Health Support System</t>
  </si>
  <si>
    <t>Sivabalan</t>
  </si>
  <si>
    <t>Proceedings of the International Conference on Smart Electronic Devices and Intelligent Systems, ICSEDIS 2026</t>
  </si>
  <si>
    <t>10.1109/icsedis68157.2026.11517969</t>
  </si>
  <si>
    <t>U03240_Sivabalan_2026.pdf</t>
  </si>
  <si>
    <t>U03241</t>
  </si>
  <si>
    <t>Mind Harbor: Development of an AI-Powered Prototype for Student Mental Health Support</t>
  </si>
  <si>
    <t>Thomas</t>
  </si>
  <si>
    <t>International Journal of Interactive Mobile Technologies</t>
  </si>
  <si>
    <t>10.3991/ijim.v20i12.62164</t>
  </si>
  <si>
    <t>U03241_Thomas_2026.pdf</t>
  </si>
  <si>
    <t>U03245</t>
  </si>
  <si>
    <t>Mind-Inference for Multi-Turn Emotional Support: Distinguishing Personal and Factual with Adaptive Memory</t>
  </si>
  <si>
    <t>Proceedings of the International Joint Conference on Autonomous Agents and Multiagent Systems, AAMAS</t>
  </si>
  <si>
    <t>10.65109/cimn4023</t>
  </si>
  <si>
    <t>U03245_Li_2026.pdf</t>
  </si>
  <si>
    <t>U03247</t>
  </si>
  <si>
    <t>MindBot: Design and Development of an Intelligent AI Chatbot for Emotional Support Systems</t>
  </si>
  <si>
    <t>Kaushik</t>
  </si>
  <si>
    <t>Proceedings of the 4th IEEE International Conference on Interdisciplinary Approaches in Technology and Management for Social Innovation, IATMSI 2026</t>
  </si>
  <si>
    <t>10.1109/iatmsi68868.2026.11465793</t>
  </si>
  <si>
    <t>U03247_Kaushik_2026.pdf</t>
  </si>
  <si>
    <t>U03248</t>
  </si>
  <si>
    <t>MindCare: AI-Powered Mental Wellness Companion</t>
  </si>
  <si>
    <t>Pathrabe</t>
  </si>
  <si>
    <t>6th Biennial International Conference on Nascent Technologies in Engineering, ICNTE 2026</t>
  </si>
  <si>
    <t>10.1109/icnte66387.2026.11437489</t>
  </si>
  <si>
    <t>U03248_Pathrabe_2026.pdf</t>
  </si>
  <si>
    <t>U03250</t>
  </si>
  <si>
    <t>MindDialog: A large-scale benchmark for counseling dialogue understanding and generation</t>
  </si>
  <si>
    <t>Pattern Recognition</t>
  </si>
  <si>
    <t>10.1016/j.patcog.2026.113766</t>
  </si>
  <si>
    <t>U03250_Hu_2026.pdf</t>
  </si>
  <si>
    <t>U03252</t>
  </si>
  <si>
    <t>MindfulAgents: Personalizing Mindfulness Meditation via an Expert-Aligned Multi-Agent System</t>
  </si>
  <si>
    <t>10.1145/3772318.3791817</t>
  </si>
  <si>
    <t>U03252_Wu_2026.pdf</t>
  </si>
  <si>
    <t>U03275</t>
  </si>
  <si>
    <t>Model of a GPT-4 and Natural Language Processing Driven Chatbot for Mental Health Strategies Among University Students in Peru</t>
  </si>
  <si>
    <t>Luna</t>
  </si>
  <si>
    <t>Proceedings of the LACCEI international Multi-conference for Engineering, Education and Technology</t>
  </si>
  <si>
    <t>10.18687/laccei2026.1.1.241</t>
  </si>
  <si>
    <t>U03275_Luna_2026.pdf</t>
  </si>
  <si>
    <t>U03284</t>
  </si>
  <si>
    <t>MODIFF-8 to better motivate: Live adaptive human-socially interactive agent interaction</t>
  </si>
  <si>
    <t>Younsi</t>
  </si>
  <si>
    <t>Journal on Multimodal User Interfaces</t>
  </si>
  <si>
    <t>10.1007/s12193-026-00477-4</t>
  </si>
  <si>
    <t>U03284_Younsi_2026.pdf</t>
  </si>
  <si>
    <t>U03288</t>
  </si>
  <si>
    <t>MOMCare with AI: A Dual Embedding-Based RAG-LLM Chatbot for Postpartum Depression</t>
  </si>
  <si>
    <t>Khan</t>
  </si>
  <si>
    <t>10.1007/978-981-95-1361-1_37</t>
  </si>
  <si>
    <t>U03288_Khan_2026.pdf</t>
  </si>
  <si>
    <t>U03294</t>
  </si>
  <si>
    <t>More than a loading bar: Conversational silence and anthropomorphic latency cues in mental health chatbots</t>
  </si>
  <si>
    <t>10.1016/j.chbr.2026.101366</t>
  </si>
  <si>
    <t>U03294_Wang_2026.pdf</t>
  </si>
  <si>
    <t>U03301</t>
  </si>
  <si>
    <t>Motivational interviewing chatbot improves lifestyle in primary healthcare settings in a pragmatic randomised controlled trial</t>
  </si>
  <si>
    <t>Wong</t>
  </si>
  <si>
    <t>10.1038/s41746-026-02728-w</t>
  </si>
  <si>
    <t>U03301_Wong_2026.pdf</t>
  </si>
  <si>
    <t>U03327</t>
  </si>
  <si>
    <t>Multimodal Depression Detection Through Conversational Interactions with an Emotion-Aware Social Robot: Pilot Study</t>
  </si>
  <si>
    <t>Liao</t>
  </si>
  <si>
    <t>10.2196/84110</t>
  </si>
  <si>
    <t>U03327_Liao_2026.pdf</t>
  </si>
  <si>
    <t>U03331</t>
  </si>
  <si>
    <t>Multimodal Emotion Recognition for Emphatic Virtual Agents in Mental Health Interventions</t>
  </si>
  <si>
    <t>Huerta-Espinoza</t>
  </si>
  <si>
    <t>Inteligencia Artificial</t>
  </si>
  <si>
    <t>10.4114/intartif.vol29iss77pp28-39</t>
  </si>
  <si>
    <t>U03331_Huerta-Espinoza_2026.pdf</t>
  </si>
  <si>
    <t>U03333</t>
  </si>
  <si>
    <t>Multimodal Mental Health Chatbot</t>
  </si>
  <si>
    <t>Harini</t>
  </si>
  <si>
    <t>10.1007/978-3-032-13026-6_7</t>
  </si>
  <si>
    <t>U03333_Harini_2026.pdf</t>
  </si>
  <si>
    <t>U03343</t>
  </si>
  <si>
    <t>NaCo: Realizing Human-Like Naturalistic Psychological Counseling with CoRA-MCTS Planning and Progressive-SimPO Alignment</t>
  </si>
  <si>
    <t>IEEE Transactions on Consumer Electronics</t>
  </si>
  <si>
    <t>10.1109/tce.2026.3698806</t>
  </si>
  <si>
    <t>U03343_Li_2026.pdf</t>
  </si>
  <si>
    <t>U03358</t>
  </si>
  <si>
    <t>NAÏVE BAYES-BASED EMOTION RECOGNITION AND RESPONSE GENERATION FOR AI MENTAL HEALTH THERAPY CHATBOTS FOR EDUCATIONAL APPLICATIONS</t>
  </si>
  <si>
    <t>Manimaran</t>
  </si>
  <si>
    <t>Genetics and Molecular Research</t>
  </si>
  <si>
    <t>10.4238/6zg1mw20</t>
  </si>
  <si>
    <t>U03358_Manimaran_2026.pdf</t>
  </si>
  <si>
    <t>U03364</t>
  </si>
  <si>
    <t>Neuro-Sym Supporter: A Thoughtful Emotion Support Agent Integrating Neural and Symbolic Policy Learning</t>
  </si>
  <si>
    <t>Ma</t>
  </si>
  <si>
    <t>10.1145/3774904.3792335</t>
  </si>
  <si>
    <t>U03364_Ma_2026.pdf</t>
  </si>
  <si>
    <t>U03367</t>
  </si>
  <si>
    <t>NeuroBloom: Where AI Meets Inner Peace</t>
  </si>
  <si>
    <t>Pandgale</t>
  </si>
  <si>
    <t>10.1109/etfi68128.2026.11484813</t>
  </si>
  <si>
    <t>U03367_Pandgale_2026.pdf</t>
  </si>
  <si>
    <t>U03420</t>
  </si>
  <si>
    <t>Optimizing AI-driven virtual health assistants for mental health screening and support</t>
  </si>
  <si>
    <t>Pandit</t>
  </si>
  <si>
    <t>AIP Conference Proceedings</t>
  </si>
  <si>
    <t>10.1063/5.0327579</t>
  </si>
  <si>
    <t>U03420_Pandit_2026.pdf</t>
  </si>
  <si>
    <t>U03422</t>
  </si>
  <si>
    <t>Optimizing LLMs for Personalized Emotional Support with Future Cues and Response Diversity</t>
  </si>
  <si>
    <t>Song</t>
  </si>
  <si>
    <t>10.1007/978-981-95-3352-7_44</t>
  </si>
  <si>
    <t>U03422_Song_2026.pdf</t>
  </si>
  <si>
    <t>U03425</t>
  </si>
  <si>
    <t>OSED-Ko: Open-Source Empathy-Driven Dialogue Dataset for Emotional Support of Marginalized Populations in South Korea</t>
  </si>
  <si>
    <t>10.1109/access.2026.3707234</t>
  </si>
  <si>
    <t>U03425_Lee_2026.pdf</t>
  </si>
  <si>
    <t>U03429</t>
  </si>
  <si>
    <t>Overview of Challenges Faced by Nigerians in Using Psychotherapy Apps Integrated with Artificial Intelligence Conversational Chatbots: Analysing User Reviews for Technological Advancement in Nigeria</t>
  </si>
  <si>
    <t>Agwaonye</t>
  </si>
  <si>
    <t>IFIP Advances in Information and Communication Technology</t>
  </si>
  <si>
    <t>10.1007/978-3-032-00777-3_4</t>
  </si>
  <si>
    <t>U03429_Agwaonye_2026.pdf</t>
  </si>
  <si>
    <t>U03435</t>
  </si>
  <si>
    <t>Overview of the NLPCC 2025 Shared Task 8: Personalized Emotional Support Conversation</t>
  </si>
  <si>
    <t>10.1007/978-981-95-3352-7_43</t>
  </si>
  <si>
    <t>U03435_Jin_2026.pdf</t>
  </si>
  <si>
    <t>U03437</t>
  </si>
  <si>
    <t>PACEP: Steering large language models toward coherent user profile tracking and strategy selection in emotional support conversations</t>
  </si>
  <si>
    <t>10.1016/j.eswa.2026.132997</t>
  </si>
  <si>
    <t>U03437_Luo_2026.pdf</t>
  </si>
  <si>
    <t>U03464</t>
  </si>
  <si>
    <t>Patient-Centered Communication Preferences in AI-Powered Mental Health Chatbots: Evidence from Two Preregistered Studies</t>
  </si>
  <si>
    <t>Angermayr</t>
  </si>
  <si>
    <t>Health Communication</t>
  </si>
  <si>
    <t>10.1080/10410236.2026.2666885</t>
  </si>
  <si>
    <t>U03464_Angermayr_2026.pdf</t>
  </si>
  <si>
    <t>U03469</t>
  </si>
  <si>
    <t>Patterns of Engagement With an AI Conversational Agent for Mental Health and Associations With Anxiety and Depression: Cross-Sectional Study</t>
  </si>
  <si>
    <t>10.2196/98690</t>
  </si>
  <si>
    <t>U03469_McAlister_2026.pdf</t>
  </si>
  <si>
    <t>U03511</t>
  </si>
  <si>
    <t>Performative Empathy vs. Authentic Support: Benchmarking LLM Counselling Alignment for Digital Mental Health</t>
  </si>
  <si>
    <t>Marrapese</t>
  </si>
  <si>
    <t>Proceedings - 2026 IEEE International Conference on Digital Health, ICDH 2026</t>
  </si>
  <si>
    <t>10.1109/icdh72779.2026.00035</t>
  </si>
  <si>
    <t>U03511_Marrapese_2026.pdf</t>
  </si>
  <si>
    <t>U03514</t>
  </si>
  <si>
    <t>Personal poetry therapy for depression by the chatbot and image creator</t>
  </si>
  <si>
    <t>Pretorius</t>
  </si>
  <si>
    <t>Journal of Poetry Therapy</t>
  </si>
  <si>
    <t>10.1080/08893675.2024.2407498</t>
  </si>
  <si>
    <t>U03514_Pretorius_2026.pdf</t>
  </si>
  <si>
    <t>U03518</t>
  </si>
  <si>
    <t>Personality-Adaptive Conversational AI for Emotional Support: A Simulation Study Integrating Big Five Detection with Zurich Model-Inspired Regulation</t>
  </si>
  <si>
    <t>Jiahua</t>
  </si>
  <si>
    <t>Electronics (Switzerland)</t>
  </si>
  <si>
    <t>10.3390/electronics15184241</t>
  </si>
  <si>
    <t>U03518_Jiahua_2026.pdf</t>
  </si>
  <si>
    <t>U03529</t>
  </si>
  <si>
    <t>Personalized Mental Health Chatbot with Emotion – Adaptive Manner</t>
  </si>
  <si>
    <t>Adline Freeda</t>
  </si>
  <si>
    <t>10.1007/978-3-032-18346-0_1</t>
  </si>
  <si>
    <t>U03529_Adline-Freeda_2026.pdf</t>
  </si>
  <si>
    <t>U03530</t>
  </si>
  <si>
    <t>Personalized Socially Assistive Robots with End-to-End Speech-Language Models for Well-Being Support</t>
  </si>
  <si>
    <t>Fu</t>
  </si>
  <si>
    <t>10.1007/978-981-95-2382-5_14</t>
  </si>
  <si>
    <t>U03530_Fu_2026.pdf</t>
  </si>
  <si>
    <t>U03555</t>
  </si>
  <si>
    <t>Pika: Designing a social-support agent to improve drivers’ experience in gig work</t>
  </si>
  <si>
    <t>Xiang</t>
  </si>
  <si>
    <t>10.1016/j.ijhcs.2025.103721</t>
  </si>
  <si>
    <t>U03555_Xiang_2026.pdf</t>
  </si>
  <si>
    <t>U03580</t>
  </si>
  <si>
    <t>Power Distance and Psychological Safety in LLM Counseling: Effects on Self-Efficacy with Implications for Mental Health-Relevant Behavior Change</t>
  </si>
  <si>
    <t>10.3390/bs16020241</t>
  </si>
  <si>
    <t>U03580_He_2026.pdf</t>
  </si>
  <si>
    <t>U03590</t>
  </si>
  <si>
    <t>Predicting adherence to fully-automated, chatbot-delivered digital cognitive behavioral therapy for insomnia (dCBT-I) using machine learning: A pilot real-world study</t>
  </si>
  <si>
    <t>So</t>
  </si>
  <si>
    <t>10.1371/journal.pdig.0001170</t>
  </si>
  <si>
    <t>U03590_So_2026.pdf</t>
  </si>
  <si>
    <t>U03609</t>
  </si>
  <si>
    <t>Preparing AI chatbots to respond to patient distress and suicidality in high-risk healthcare settings</t>
  </si>
  <si>
    <t>Streck JM</t>
  </si>
  <si>
    <t>10.1038/s41746-026-03288-9</t>
  </si>
  <si>
    <t>U03609_Streck-JM_2026.pdf</t>
  </si>
  <si>
    <t>U03610</t>
  </si>
  <si>
    <t>Presenting Issues in Employee Assistance Programmes: Towards an LLM-Based Support Tool for Counsellor Support and Assistance</t>
  </si>
  <si>
    <t>Cameron</t>
  </si>
  <si>
    <t>10.1007/978-3-032-16886-3_6</t>
  </si>
  <si>
    <t>U03610_Cameron_2026.pdf</t>
  </si>
  <si>
    <t>U03616</t>
  </si>
  <si>
    <t>Prevalence of Mental Health Discussions in Publicly Available Generative AI Conversations</t>
  </si>
  <si>
    <t>McBain</t>
  </si>
  <si>
    <t>10.1001/jamanetworkopen.2026.30635</t>
  </si>
  <si>
    <t>U03616_McBain_2026.pdf</t>
  </si>
  <si>
    <t>U03620</t>
  </si>
  <si>
    <t>Privacy assurances and professional-boundary warnings in generative AI mental health chatbots: a randomized vignette experiment on calibrated trust, overreliance risk, and professional help-seeking intentions</t>
  </si>
  <si>
    <t>10.3389/fpsyg.2026.1934264</t>
  </si>
  <si>
    <t>U03620_Zhang_2026.pdf</t>
  </si>
  <si>
    <t>U03626</t>
  </si>
  <si>
    <t>Proactive Mental Health Assistance via Agentic LLM Chatbots with Retrieval-Augmented Generation</t>
  </si>
  <si>
    <t>Shaira Wajiha</t>
  </si>
  <si>
    <t>J. Comput. Sci. Coll.</t>
  </si>
  <si>
    <t>10.5555/3820620.3820625</t>
  </si>
  <si>
    <t>U03626_Wajiha_2026.pdf</t>
  </si>
  <si>
    <t>U03659</t>
  </si>
  <si>
    <t>Proposal of Online Circle Services for Resolving Loneliness and Isolation of Older Adults - Utilization of Virtual Agent -</t>
  </si>
  <si>
    <t>Saika</t>
  </si>
  <si>
    <t>10.1109/sera69989.2026.11618665</t>
  </si>
  <si>
    <t>U03659_Saika_2026.pdf</t>
  </si>
  <si>
    <t>U03667</t>
  </si>
  <si>
    <t>Providers of relief in distress: RAG-based LLMs as situation and intent-aware assistants</t>
  </si>
  <si>
    <t>Nazar</t>
  </si>
  <si>
    <t>10.3389/frai.2026.1712596</t>
  </si>
  <si>
    <t>U03667_Nazar_2026.pdf</t>
  </si>
  <si>
    <t>U03678</t>
  </si>
  <si>
    <t>PsyChild: A Child-Centric Psychological Companionship LLM with Fine-Grained Multiturn Dialogue Evaluation Benchmark</t>
  </si>
  <si>
    <t>10.1007/978-981-95-7078-2_13</t>
  </si>
  <si>
    <t>U03678_Hu_2026.pdf</t>
  </si>
  <si>
    <t>U03679</t>
  </si>
  <si>
    <t>Psycho-Intelligent Dialogue Agents for Enhancing Emotional Self-Regulation in Autistic Teenagers</t>
  </si>
  <si>
    <t>Iwendi</t>
  </si>
  <si>
    <t>10.1109/ic3ecsbhi67834.2026.11468965</t>
  </si>
  <si>
    <t>U03679_Iwendi_2026.pdf</t>
  </si>
  <si>
    <t>U03681</t>
  </si>
  <si>
    <t>Psychological Advisor Chatbot</t>
  </si>
  <si>
    <t>Rohit</t>
  </si>
  <si>
    <t>CCIC 2026 - Contemporary Computing Innovations Conference 2026</t>
  </si>
  <si>
    <t>10.1109/ccic68129.2026.11486135</t>
  </si>
  <si>
    <t>U03681_Rohit_2026.pdf</t>
  </si>
  <si>
    <t>U03686</t>
  </si>
  <si>
    <t>Psychological Counseling with Integration of Knowledge Graph and Multi-Agent Collaboration; [面向心理咨询的改进知识图谱融合多智能体协作方法]</t>
  </si>
  <si>
    <t>Journal of Shanghai Jiaotong University (Science)</t>
  </si>
  <si>
    <t>10.1007/s12204-024-2785-1</t>
  </si>
  <si>
    <t>U03686_Liu_2026.pdf</t>
  </si>
  <si>
    <t>U03709</t>
  </si>
  <si>
    <t>PsyPARSE: Retrieval-Augmented Slow Thinking for Personalized Empathetic Counseling</t>
  </si>
  <si>
    <t>10.1609/aaai.v40i2.37089</t>
  </si>
  <si>
    <t>U03709_Wang_2026.pdf</t>
  </si>
  <si>
    <t>U03710</t>
  </si>
  <si>
    <t>PsyProbe: Proactive and Interpretable Dialogue through User State Modeling for Exploratory Counseling</t>
  </si>
  <si>
    <t>10.18653/v1/2026.findings-eacl.336</t>
  </si>
  <si>
    <t>U03710_Park_2026.pdf</t>
  </si>
  <si>
    <t>U03762</t>
  </si>
  <si>
    <t>Real-Time Mental Wellness AI Companion</t>
  </si>
  <si>
    <t>Lohith</t>
  </si>
  <si>
    <t>10.1007/978-3-032-25483-2_29</t>
  </si>
  <si>
    <t>U03762_Lohith_2026.pdf</t>
  </si>
  <si>
    <t>U03764</t>
  </si>
  <si>
    <t>Real-World Engagement With a Generative AI Conversational Agent for Mental Health Support: Retrospective Descriptive Study</t>
  </si>
  <si>
    <t>10.2196/95811</t>
  </si>
  <si>
    <t>U03764_McAlister_2026.pdf</t>
  </si>
  <si>
    <t>U03765</t>
  </si>
  <si>
    <t>Real-World Testing of an Artificial Intelligence Conversational Agent as an Early Intervention and Support Tool in the Mental Health Referral Care Pathway: A Mixed-Methods Study</t>
  </si>
  <si>
    <t>Meinert</t>
  </si>
  <si>
    <t>International Journal of Social Psychiatry</t>
  </si>
  <si>
    <t>10.1177/00207640251415507</t>
  </si>
  <si>
    <t>U03765_Meinert_2026.pdf</t>
  </si>
  <si>
    <t>U03767</t>
  </si>
  <si>
    <t>Real-World Use of a Mental Health AI Companion: Multiple Methods Study</t>
  </si>
  <si>
    <t>Callahan</t>
  </si>
  <si>
    <t>10.2196/86904</t>
  </si>
  <si>
    <t>U03767_Callahan_2026.pdf</t>
  </si>
  <si>
    <t>U03769</t>
  </si>
  <si>
    <t>Realistic human-like avatar embodiment diminishes outcomes in digital emotion regulation interventions</t>
  </si>
  <si>
    <t>Naumann</t>
  </si>
  <si>
    <t>10.1016/j.chbr.2026.100952</t>
  </si>
  <si>
    <t>U03769_Naumann_2026.pdf</t>
  </si>
  <si>
    <t>U03773</t>
  </si>
  <si>
    <t>RECALLbot: Designing Agentic Memory and Reciprocal Disclosure for Human-Chatbot Relationships</t>
  </si>
  <si>
    <t>10.1145/3772318.3790714</t>
  </si>
  <si>
    <t>U03773_Jiang_2026.pdf</t>
  </si>
  <si>
    <t>U03784</t>
  </si>
  <si>
    <t>Reducing Loneliness in Older Adults with AI and VR: A Caregiver-Informed Study on Design and Implementation of Virtual Environments and Conversational Agents</t>
  </si>
  <si>
    <t>Amaro</t>
  </si>
  <si>
    <t>10.1109/vrw70859.2026.00096</t>
  </si>
  <si>
    <t>U03784_Amaro_2026.pdf</t>
  </si>
  <si>
    <t>U03790</t>
  </si>
  <si>
    <t>Reducing Unsafe Mental Health Advice in Large Language Models Using Safety-Aware Prompting</t>
  </si>
  <si>
    <t>Shaikh</t>
  </si>
  <si>
    <t>2026 5th International Conference on Computing, Mathematics and Engineering Technologies: AI for Socio-Economic Transformation, iCoMET 2026</t>
  </si>
  <si>
    <t>10.1109/icomet69771.2026.11591507</t>
  </si>
  <si>
    <t>U03790_Shaikh_2026.pdf</t>
  </si>
  <si>
    <t>U03805</t>
  </si>
  <si>
    <t>Reinforce Trustworthiness in Multimodal Emotional Support System</t>
  </si>
  <si>
    <t>Le</t>
  </si>
  <si>
    <t>10.1609/aaai.v40i37.40412</t>
  </si>
  <si>
    <t>U03805_Le_2026.pdf</t>
  </si>
  <si>
    <t>U03816</t>
  </si>
  <si>
    <t>Research and Development of a Youth Psychological Counseling System Based on Large Models and Anime Representation</t>
  </si>
  <si>
    <t>Zeng</t>
  </si>
  <si>
    <t>10.1145/3777730.3777737</t>
  </si>
  <si>
    <t>U03816_Zeng_2026.pdf</t>
  </si>
  <si>
    <t>U03827</t>
  </si>
  <si>
    <t>Research on the construction method of psychological counseling dialogue temporal KG based on LLM</t>
  </si>
  <si>
    <t>Proceedings of 2026 7th International Conference on Computer Information and Big Data Applications, CIBDA 2026</t>
  </si>
  <si>
    <t>10.1145/3813822.3814134</t>
  </si>
  <si>
    <t>U03827_Ma_2026.pdf</t>
  </si>
  <si>
    <t>U03841</t>
  </si>
  <si>
    <t>Responses of AI chatbots to escalating suicide risk: A simulation study of repeated interactions</t>
  </si>
  <si>
    <t>Pichowicz W</t>
  </si>
  <si>
    <t>J Affect Disord</t>
  </si>
  <si>
    <t>10.1016/j.jad.2026.122586</t>
  </si>
  <si>
    <t>U03841_Pichowicz-W_2026.pdf</t>
  </si>
  <si>
    <t>U03847</t>
  </si>
  <si>
    <t>RETHiNK: Simulating Human Reasoning via Multi-LLM Debate for Cognitive Reframing of Negative Thoughts</t>
  </si>
  <si>
    <t>10.1145/3815586</t>
  </si>
  <si>
    <t>U03847_Wang_2026.pdf</t>
  </si>
  <si>
    <t>U03898</t>
  </si>
  <si>
    <t>Risk Analysis of Mental Health Using Chatbot Based on Text Detection Model</t>
  </si>
  <si>
    <t>Nagaraju</t>
  </si>
  <si>
    <t>10.1007/978-981-95-0269-1_165</t>
  </si>
  <si>
    <t>U03898_Nagaraju_2026.pdf</t>
  </si>
  <si>
    <t>U03905</t>
  </si>
  <si>
    <t>Robot-Mediated Multi-Party Conversation Aimed at Affect Improvement for Psychiatric Patients</t>
  </si>
  <si>
    <t>K. Ochi</t>
  </si>
  <si>
    <t>10.1109/taffc.2025.3571427</t>
  </si>
  <si>
    <t>U03905_Ochi_2026.pdf</t>
  </si>
  <si>
    <t>U03910</t>
  </si>
  <si>
    <t>Role-Guided Synthesis for Emotional Support: A Two-Stage Framework with Multi-agent Dialogue Synthesis</t>
  </si>
  <si>
    <t>10.1007/978-981-95-3352-7_46</t>
  </si>
  <si>
    <t>U03910_Wang_2026.pdf</t>
  </si>
  <si>
    <t>U03914</t>
  </si>
  <si>
    <t>Rule-based chatbot application for adolescents with anxiety: a feasibility study</t>
  </si>
  <si>
    <t>Kahlon</t>
  </si>
  <si>
    <t>10.1016/j.chbr.2026.101085</t>
  </si>
  <si>
    <t>U03914_Kahlon_2026.pdf</t>
  </si>
  <si>
    <t>U03919</t>
  </si>
  <si>
    <t>SAGE: A Strategy-Aware Graph-Enhanced Generation Framework for Online Counseling</t>
  </si>
  <si>
    <t>Aharon</t>
  </si>
  <si>
    <t>UMAP 2026 - Proceedings of the 34th ACM International Conference on User Modeling, Adaptation and Personalization</t>
  </si>
  <si>
    <t>10.1145/3774935.3806785</t>
  </si>
  <si>
    <t>U03919_Aharon_2026.pdf</t>
  </si>
  <si>
    <t>U03920</t>
  </si>
  <si>
    <t>SAGE: Self-retrieval-augmented generative LLM for emotional support conversation</t>
  </si>
  <si>
    <t>10.1016/j.eswa.2026.131524</t>
  </si>
  <si>
    <t>U03920_Yang_2026.pdf</t>
  </si>
  <si>
    <t>U03926</t>
  </si>
  <si>
    <t>Sanora: A Conversational AI Agent for Multimodal Digital Biomarkers of Mental Health</t>
  </si>
  <si>
    <t>CEUR Workshop Proceedings</t>
  </si>
  <si>
    <t>10.36227/techrxiv.177138901.17800114/v1</t>
  </si>
  <si>
    <t>U03926_So_2026.pdf</t>
  </si>
  <si>
    <t>U03949</t>
  </si>
  <si>
    <t>Secure LLM Annotation: Hierarchical Mental Health Risk Intervention With Safety Alignment</t>
  </si>
  <si>
    <t>Tao</t>
  </si>
  <si>
    <t>IEEE Transactions on Cloud Computing</t>
  </si>
  <si>
    <t>10.1109/tcc.2026.3716348</t>
  </si>
  <si>
    <t>U03949_Tao_2026.pdf</t>
  </si>
  <si>
    <t>U03953</t>
  </si>
  <si>
    <t>Seeking Late Night Life Lines: Experiences of Conversational AI Use in Mental Health Crisis</t>
  </si>
  <si>
    <t>Ajmani</t>
  </si>
  <si>
    <t>10.1145/3805689.3812256</t>
  </si>
  <si>
    <t>U03953_Ajmani_2026.pdf</t>
  </si>
  <si>
    <t>U03964</t>
  </si>
  <si>
    <t>Semantic context improvisational retrieval-augmented generation for empathic conversational AI</t>
  </si>
  <si>
    <t>Tahir</t>
  </si>
  <si>
    <t>Neural Computing and Applications</t>
  </si>
  <si>
    <t>10.1007/s00521-026-12167-z</t>
  </si>
  <si>
    <t>U03964_Tahir_2026.pdf</t>
  </si>
  <si>
    <t>U03966</t>
  </si>
  <si>
    <t>Semi-supervised mental health classification in chatbot conversations; [تصنيف شبه مُراقَب للحالات النفسية في محادثات روبوتات الدردش ة]</t>
  </si>
  <si>
    <t>Hussein</t>
  </si>
  <si>
    <t>Journal of Al-azhar University Engineering Sector</t>
  </si>
  <si>
    <t>10.21608/auej.2026.482897</t>
  </si>
  <si>
    <t>U03966_Hussein_2026.pdf</t>
  </si>
  <si>
    <t>U03969</t>
  </si>
  <si>
    <t>Sensing but not alerting: ChatGPT mental health triage gaps in simulated psychodermatology conversations</t>
  </si>
  <si>
    <t>Nouyed</t>
  </si>
  <si>
    <t>JAAD International</t>
  </si>
  <si>
    <t>10.1016/j.jdin.2026.06.012</t>
  </si>
  <si>
    <t>U03969_Nouyed_2026.pdf</t>
  </si>
  <si>
    <t>U03970</t>
  </si>
  <si>
    <t>Senti Bot: An AI-Driven Emotional Support and Crisis Intervention System using Multimodal Interaction</t>
  </si>
  <si>
    <t>Maria Jeniffer</t>
  </si>
  <si>
    <t>10.1109/icoeca68095.2026.11485603</t>
  </si>
  <si>
    <t>U03970_Maria-Jeniffer_2026.pdf</t>
  </si>
  <si>
    <t>U03971</t>
  </si>
  <si>
    <t>M. J. N</t>
  </si>
  <si>
    <t>U03971_N_2026.pdf</t>
  </si>
  <si>
    <t>U03977</t>
  </si>
  <si>
    <t>Serenitymind: An AI-Powered Web Application for Holistic Mental Wellness and Self-Care</t>
  </si>
  <si>
    <t>Vigneshkumar</t>
  </si>
  <si>
    <t>Proceedings of 5th International Conference on Communication, Computing and Electronics Systems, ICCCES 2026</t>
  </si>
  <si>
    <t>10.1109/iccces62661.2026.11437144</t>
  </si>
  <si>
    <t>U03977_Vigneshkumar_2026.pdf</t>
  </si>
  <si>
    <t>U03978</t>
  </si>
  <si>
    <t>V. M</t>
  </si>
  <si>
    <t>2026 5th International Conference on Communication, Computing and Electronics Systems (ICCCES)</t>
  </si>
  <si>
    <t>U03978_M_2026.pdf</t>
  </si>
  <si>
    <t>U04001</t>
  </si>
  <si>
    <t>SleepPathfinder: A Socratic Questioning and Self-Decision–Based Chatbot to Support User Engagement in Digital CBT-I: Usability and Feasibility Study</t>
  </si>
  <si>
    <t>Roh</t>
  </si>
  <si>
    <t>10.2196/79242</t>
  </si>
  <si>
    <t>U04001_Roh_2026.pdf</t>
  </si>
  <si>
    <t>U04003</t>
  </si>
  <si>
    <t>SmallChat: A Chinese Mental Health Model Based on Liquid Neural Networks for Device Deployment</t>
  </si>
  <si>
    <t>10.1117/12.3109074</t>
  </si>
  <si>
    <t>U04003_Hou_2026.pdf</t>
  </si>
  <si>
    <t>U04007</t>
  </si>
  <si>
    <t>Smart Chatbot System for Mental Wellness Assessment and Assistance</t>
  </si>
  <si>
    <t>Pravin Kumar</t>
  </si>
  <si>
    <t>2026 8th International Conference on Inventive Material Science and Applications, ICIMA 2026</t>
  </si>
  <si>
    <t>10.1109/icima68728.2026.11564330</t>
  </si>
  <si>
    <t>U04007_Pravin-Kumar_2026.pdf</t>
  </si>
  <si>
    <t>U04008</t>
  </si>
  <si>
    <t>P. K. M</t>
  </si>
  <si>
    <t>2026 8th International Conference on Inventive Material Science and Applications (ICIMA)</t>
  </si>
  <si>
    <t>U04008_M_2026.pdf</t>
  </si>
  <si>
    <t>U04014</t>
  </si>
  <si>
    <t>Smart Mental Health Chatbot: BERT-Enhanced NLP for Personalized Treatment</t>
  </si>
  <si>
    <t>Dhanavanthini</t>
  </si>
  <si>
    <t>10.1007/978-3-032-20235-2_27</t>
  </si>
  <si>
    <t>U04014_Dhanavanthini_2026.pdf</t>
  </si>
  <si>
    <t>U04015</t>
  </si>
  <si>
    <t>Smart Mental Health Management: Leveraging AI Chatbots and Digital Journals for Empathetic Interaction, Mood Trend Analysis, and Emotional Resilience</t>
  </si>
  <si>
    <t>Saravanan</t>
  </si>
  <si>
    <t>Proceedings of 9th International Conference on Trends in Electronics and Informatics, ICOEI 2026</t>
  </si>
  <si>
    <t>10.1109/icoei68323.2026.11541641</t>
  </si>
  <si>
    <t>U04015_Saravanan_2026.pdf</t>
  </si>
  <si>
    <t>U04019</t>
  </si>
  <si>
    <t>Smarter Coaching Chatbots: Leveraging Hybrid Architectures for Deeper Context Awareness</t>
  </si>
  <si>
    <t>Bauer</t>
  </si>
  <si>
    <t>10.1007/978-3-032-13184-3_1</t>
  </si>
  <si>
    <t>U04019_Bauer_2026.pdf</t>
  </si>
  <si>
    <t>U04037</t>
  </si>
  <si>
    <t>Solution-Focused Embodied Conversational Agent for Older Adults: An Experimental Study on the Impact of Agent Impression</t>
  </si>
  <si>
    <t>Shimojo</t>
  </si>
  <si>
    <t>10.1145/3776734.3794479</t>
  </si>
  <si>
    <t>U04037_Shimojo_2026.pdf</t>
  </si>
  <si>
    <t>U04038</t>
  </si>
  <si>
    <t>SoulCare: A Privacy-Focused, Locally-Run AI Chatbot for Supporting Mental Health</t>
  </si>
  <si>
    <t>Ryan</t>
  </si>
  <si>
    <t>10.1007/978-981-96-9275-0_35</t>
  </si>
  <si>
    <t>U04038_Ryan_2026.pdf</t>
  </si>
  <si>
    <t>U04039</t>
  </si>
  <si>
    <t>SoulConnect: An AI-Powered Emotion and Mind Wellness Platform</t>
  </si>
  <si>
    <t>A. Vijay</t>
  </si>
  <si>
    <t>10.1109/icpcsn68523.2026.11543618</t>
  </si>
  <si>
    <t>U04039_Vijay_2026.pdf</t>
  </si>
  <si>
    <t>U04040</t>
  </si>
  <si>
    <t>SoulSync: A Cross-Platform AI Web Application for Personalized Mental Health Assistance</t>
  </si>
  <si>
    <t>Bhuvan</t>
  </si>
  <si>
    <t>1st International Conference on Intelligent Computing, Networks and Security, IC-ICNS 2026</t>
  </si>
  <si>
    <t>10.1109/ic-icns68863.2026.11537949</t>
  </si>
  <si>
    <t>U04040_Bhuvan_2026.pdf</t>
  </si>
  <si>
    <t>U04046</t>
  </si>
  <si>
    <t>Speaking or Writing: Do Response Times Influence Anthropomorphism Differently for ADHD and Neurotypical Users in a Mental Health Chatbot?</t>
  </si>
  <si>
    <t>Holmberg</t>
  </si>
  <si>
    <t>10.1145/3765766.3765772</t>
  </si>
  <si>
    <t>U04046_Holmberg_2026.pdf</t>
  </si>
  <si>
    <t>U04058</t>
  </si>
  <si>
    <t>Stakeholder-Informed Design of LLM-Based Chatbots for Post-secondary Mental Health Support</t>
  </si>
  <si>
    <t>Shayaninasab</t>
  </si>
  <si>
    <t>10.1007/978-3-032-31048-4_8</t>
  </si>
  <si>
    <t>U04058_Shayaninasab_2026.pdf</t>
  </si>
  <si>
    <t>U04061</t>
  </si>
  <si>
    <t>Starmate: A Lightweight AI Assistant for Autism Caregivers Developed and Evaluated Through a User-Centered Mixed-Methods Framework</t>
  </si>
  <si>
    <t>Li Z</t>
  </si>
  <si>
    <t>J Med Syst</t>
  </si>
  <si>
    <t>10.1007/s10916-026-02433-x</t>
  </si>
  <si>
    <t>U04061_Li-Z_2026.pdf</t>
  </si>
  <si>
    <t>U04064</t>
  </si>
  <si>
    <t>Sticker-Enriched Empathetic Response Generation: A Role-Aware Pairing Benchmark and A Novel Multimodal Framework</t>
  </si>
  <si>
    <t>Wei Zhang</t>
  </si>
  <si>
    <t>Proceedings of the 2026 International Conference on Multimedia Retrieval</t>
  </si>
  <si>
    <t>10.1145/3805622.3810708</t>
  </si>
  <si>
    <t>U04064_Zhang_2026.pdf</t>
  </si>
  <si>
    <t>U04076</t>
  </si>
  <si>
    <t>Stress Management Utilizing an AI Mental Health Chatbot in a Trier Social Stress Test Paradigm</t>
  </si>
  <si>
    <t>Back</t>
  </si>
  <si>
    <t>10.1007/978-3-032-13184-3_17</t>
  </si>
  <si>
    <t>U04076_Back_2026.pdf</t>
  </si>
  <si>
    <t>U04078</t>
  </si>
  <si>
    <t>Stress-Testing Emotional Support Models: Moving from Homogeneous to Diverse Help Seekers</t>
  </si>
  <si>
    <t>Heo</t>
  </si>
  <si>
    <t>10.18653/v1/2026.findings-acl.1146</t>
  </si>
  <si>
    <t>U04078_Heo_2026.pdf</t>
  </si>
  <si>
    <t>U04085</t>
  </si>
  <si>
    <t>Structure Matters: Evaluating Multi-Agents Orchestration in Generative Therapeutic Chatbots</t>
  </si>
  <si>
    <t>Elahimanesh</t>
  </si>
  <si>
    <t>10.1145/3816046.3816273</t>
  </si>
  <si>
    <t>U04085_Elahimanesh_2026.pdf</t>
  </si>
  <si>
    <t>U04086</t>
  </si>
  <si>
    <t>Structured Large Language Model Workflows for Motivational Interviewing in Health Behavior Change: Proof-of-Concept Study</t>
  </si>
  <si>
    <t>Shenoi</t>
  </si>
  <si>
    <t>10.2196/94036</t>
  </si>
  <si>
    <t>U04086_Shenoi_2026.pdf</t>
  </si>
  <si>
    <t>U04093</t>
  </si>
  <si>
    <t>Student Perceptions of Virtual Counseling Practice Using ChatGPT Voice Mode in Pharmacy Education</t>
  </si>
  <si>
    <t>Boonrit</t>
  </si>
  <si>
    <t>JACCP Journal of the American College of Clinical Pharmacy</t>
  </si>
  <si>
    <t>10.1002/jac5.70272</t>
  </si>
  <si>
    <t>U04093_Boonrit_2026.pdf</t>
  </si>
  <si>
    <t>U04111</t>
  </si>
  <si>
    <t>Suicide-Related Responses From AI Chatbots Through Application Programming Interfaces and Consumer-Facing Apps: Observational Cross-Sectional Comparative Study</t>
  </si>
  <si>
    <t>Cantor J</t>
  </si>
  <si>
    <t>J Med Internet Res</t>
  </si>
  <si>
    <t>10.2196/97968</t>
  </si>
  <si>
    <t>U04111_Cantor-J_2026.pdf</t>
  </si>
  <si>
    <t>U04122</t>
  </si>
  <si>
    <t>Supporting Student Mental Health With the Safespace Generative AI Chatbot: Mixed Methods Feasibility Study</t>
  </si>
  <si>
    <t>Pinna</t>
  </si>
  <si>
    <t>10.2196/85427</t>
  </si>
  <si>
    <t>U04122_Pinna_2026.pdf</t>
  </si>
  <si>
    <t>U04124</t>
  </si>
  <si>
    <t>Supporting the Mental Health Care with Artificial Intelligence Chatbots</t>
  </si>
  <si>
    <t>Smoczyńska</t>
  </si>
  <si>
    <t>Lecture Notes in Business Information Processing</t>
  </si>
  <si>
    <t>10.1007/978-3-032-11651-2_2</t>
  </si>
  <si>
    <t>U04124_Smoczynska_2026.pdf</t>
  </si>
  <si>
    <t>U04151</t>
  </si>
  <si>
    <t>System-Level Tensions in Scaling Digital Mental Health: A Qualitative Study of STARS in Jordan</t>
  </si>
  <si>
    <t>Dardas</t>
  </si>
  <si>
    <t>10.3390/healthcare14182986</t>
  </si>
  <si>
    <t>U04151_Dardas_2026.pdf</t>
  </si>
  <si>
    <t>U04156</t>
  </si>
  <si>
    <t>Tailored Emotional LLM-Supporter: Enhancing Cultural Sensitivity</t>
  </si>
  <si>
    <t>EACL 2026 - 19th Conference of the European Chapter of the Association for Computational Linguistics, Proceedings of the Conference, Vol. 1 - (Long Papers)</t>
  </si>
  <si>
    <t>10.18653/v1/2026.eacl-long.25</t>
  </si>
  <si>
    <t>U04156_Liu_2026.pdf</t>
  </si>
  <si>
    <t>U04163</t>
  </si>
  <si>
    <t>Tautoko bro: Redesigning Māori youth safety planning for suicide prevention through a chatbot-enhanced approach</t>
  </si>
  <si>
    <t>Prescott</t>
  </si>
  <si>
    <t>Mental Health and Prevention</t>
  </si>
  <si>
    <t>10.1016/j.mhp.2026.200482</t>
  </si>
  <si>
    <t>U04163_Prescott_2026.pdf</t>
  </si>
  <si>
    <t>U04188</t>
  </si>
  <si>
    <t>TeenChat: A Human-Calibrated Mental Health LLM with Intention-Aware Dialogue and Contrastive Counseling Regularization</t>
  </si>
  <si>
    <t>Lang</t>
  </si>
  <si>
    <t>IEEE Transactions on Learning Technologies</t>
  </si>
  <si>
    <t>10.1109/tlt.2026.3666907</t>
  </si>
  <si>
    <t>U04188_Lang_2026.pdf</t>
  </si>
  <si>
    <t>U04202</t>
  </si>
  <si>
    <t>Text-based emotion inference and empathetic response: Evaluating the capabilities of large language models relative to human counselors</t>
  </si>
  <si>
    <t>10.1016/j.chbr.2025.100904</t>
  </si>
  <si>
    <t>U04202_Zhou_2026.pdf</t>
  </si>
  <si>
    <t>U04222</t>
  </si>
  <si>
    <t>The Anxiety Receipt: A Tangible RAG-LLM Interface for Emotional Externalization</t>
  </si>
  <si>
    <t>Qiao</t>
  </si>
  <si>
    <t>10.1007/978-3-032-29839-3_31</t>
  </si>
  <si>
    <t>U04222_Qiao_2026.pdf</t>
  </si>
  <si>
    <t>U04228</t>
  </si>
  <si>
    <t>The Attachment Index: Auditing Attachment Language Cues and Relational Safety Risks in Human-LLM Dialogue</t>
  </si>
  <si>
    <t>Demeocq</t>
  </si>
  <si>
    <t>Proceedings of the 11th Workshop on Computational Linguistics and Clinical Psychology (CLPsych 2026)</t>
  </si>
  <si>
    <t>10.18653/v1/2026.clpsych-1.26</t>
  </si>
  <si>
    <t>U04228_Demeocq_2026.pdf</t>
  </si>
  <si>
    <t>U04241</t>
  </si>
  <si>
    <t>The Day My Chatbot Changed: Characterizing the Mental Health Impacts of Social AI App Updates via Negative User Reviews</t>
  </si>
  <si>
    <t>Munira</t>
  </si>
  <si>
    <t>WebSci Companion 2026 - Companion Publication of the 2026 18th ACM Web Science Conference</t>
  </si>
  <si>
    <t>10.1145/3795513.3807437</t>
  </si>
  <si>
    <t>U04241_Munira_2026.pdf</t>
  </si>
  <si>
    <t>U04243</t>
  </si>
  <si>
    <t>The Development of an AI Counselor in the Metaverse and Classification of Conversational Content</t>
  </si>
  <si>
    <t>Kanoh</t>
  </si>
  <si>
    <t>10.1007/978-3-032-09905-1_22</t>
  </si>
  <si>
    <t>U04243_Kanoh_2026.pdf</t>
  </si>
  <si>
    <t>U04302</t>
  </si>
  <si>
    <t>The Impact of Artificial Empathy in Using ChatGPT on User's Feeling Heard</t>
  </si>
  <si>
    <t>Angelica</t>
  </si>
  <si>
    <t>2026 International Conference on Cognitive Systems and Computer Interaction, ICoSCI 2026 - Proceedings</t>
  </si>
  <si>
    <t>10.1109/icosci66700.2026.11447712</t>
  </si>
  <si>
    <t>U04302_Angelica_2026.pdf</t>
  </si>
  <si>
    <t>U04317</t>
  </si>
  <si>
    <t>The Impact of an AI-Enhanced Training on Student Wellbeing and Quality Education: ResilienceBOT Case Study</t>
  </si>
  <si>
    <t>Makni</t>
  </si>
  <si>
    <t>Lecture Notes of the Institute for Computer Sciences, Social-Informatics and Telecommunications Engineering, LNICST</t>
  </si>
  <si>
    <t>10.1007/978-3-032-16635-7_3</t>
  </si>
  <si>
    <t>U04317_Makni_2026.pdf</t>
  </si>
  <si>
    <t>U04348</t>
  </si>
  <si>
    <t>The paradox of agency in psychotherapy: How people with mental distress experience support from generative AI chatbots and human therapists</t>
  </si>
  <si>
    <t>10.1186/s12888-025-07671-w</t>
  </si>
  <si>
    <t>U04348_Dai_2026.pdf</t>
  </si>
  <si>
    <t>U04384</t>
  </si>
  <si>
    <t>The Role of a Critical Tongue Dialogue Strategy in Stimulating Emotion Regulation: An Interaction Model and Video-Based Study</t>
  </si>
  <si>
    <t>Magara</t>
  </si>
  <si>
    <t>10.1145/3765766.3765784</t>
  </si>
  <si>
    <t>U04384_Magara_2026.pdf</t>
  </si>
  <si>
    <t>U04408</t>
  </si>
  <si>
    <t>The Supportiveness-Safety Tradeoff in LLM Well-Being Agents</t>
  </si>
  <si>
    <t>Lalwani</t>
  </si>
  <si>
    <t>10.1145/3776734.3794563</t>
  </si>
  <si>
    <t>U04408_Lalwani_2026.pdf</t>
  </si>
  <si>
    <t>U04411</t>
  </si>
  <si>
    <t>The Therabot Challenge: How Sycophancy and Directiveness in AI Chatbots Impact User Experience in a Therapeutic Context</t>
  </si>
  <si>
    <t>Carter</t>
  </si>
  <si>
    <t>10.1007/978-3-032-31048-4_1</t>
  </si>
  <si>
    <t>U04411_Carter_2026.pdf</t>
  </si>
  <si>
    <t>U04430</t>
  </si>
  <si>
    <t>TheraMind: A Strategic and Adaptive Agent for Longitudinal Psychological Counseling</t>
  </si>
  <si>
    <t>10.1145/3774904.3793049</t>
  </si>
  <si>
    <t>U04430_Hu_2026.pdf</t>
  </si>
  <si>
    <t>U04435</t>
  </si>
  <si>
    <t>Therapy as an NLP Task: Comparing LLMs and Human Peers Behaviors in CBT Sessions</t>
  </si>
  <si>
    <t>Iftikhar</t>
  </si>
  <si>
    <t>10.1145/3817112</t>
  </si>
  <si>
    <t>U04435_Iftikhar_2026.pdf</t>
  </si>
  <si>
    <t>U04437</t>
  </si>
  <si>
    <t>TherapyProbe: Generating Design Knowledge for Relational Safety in Mental Health Chatbots Through Adversarial Simulation</t>
  </si>
  <si>
    <t>Chandra</t>
  </si>
  <si>
    <t>10.1145/3772363.3799049</t>
  </si>
  <si>
    <t>U04437_Chandra_2026.pdf</t>
  </si>
  <si>
    <t>U04451</t>
  </si>
  <si>
    <t>Token Mimicry or Therapeutic Competence? Testing LLMs Against Hill’s Challenge Skill in Mental Health Support Scenarios</t>
  </si>
  <si>
    <t>Pinelo Hau</t>
  </si>
  <si>
    <t>10.1007/978-3-032-30396-7_16</t>
  </si>
  <si>
    <t>U04451_Pinelo-Hau_2026.pdf</t>
  </si>
  <si>
    <t>U04465</t>
  </si>
  <si>
    <t>Toward Faith-Aligned Mental Health Chatbots: Understanding Muslim Users' Expectations and Design Needs</t>
  </si>
  <si>
    <t>Mohammad Rakin Uddin</t>
  </si>
  <si>
    <t>Proceedings of the 2026 ACM SIGCAS/SIGCHI Conference on Computing and Sustainable Societies</t>
  </si>
  <si>
    <t>10.1145/3811242.3819999</t>
  </si>
  <si>
    <t>U04465_Uddin_2026.pdf</t>
  </si>
  <si>
    <t>U04475</t>
  </si>
  <si>
    <t>Towards Empathy Tuning of LLM-Based Conversational Agent</t>
  </si>
  <si>
    <t>M. R. Yeganeh</t>
  </si>
  <si>
    <t>2026 IEEE 34th International Requirements Engineering Conference Workshops (REW)</t>
  </si>
  <si>
    <t>10.1109/rew72749.2026.00082</t>
  </si>
  <si>
    <t>U04475_Yeganeh_2026.pdf</t>
  </si>
  <si>
    <t>U04483</t>
  </si>
  <si>
    <t>Towards Responsible Conversational AI for Mental Health Support: Balancing Empathy, Fairness, and Safety with Deep Learning</t>
  </si>
  <si>
    <t>Khurshid</t>
  </si>
  <si>
    <t>2026 IEEE 5th International Conference on Computing and Machine Intelligence, ICMI 2026</t>
  </si>
  <si>
    <t>10.1109/icmi68585.2026.11539761</t>
  </si>
  <si>
    <t>U04483_Khurshid_2026.pdf</t>
  </si>
  <si>
    <t>U04497</t>
  </si>
  <si>
    <t>Training Empathetic Communication Skills in Medical Students With a Role-Prompted GPT-4o Chatbot: Quasi-Experimental Intervention Study</t>
  </si>
  <si>
    <t>Müller</t>
  </si>
  <si>
    <t>JMIR Medical Education</t>
  </si>
  <si>
    <t>10.2196/88092</t>
  </si>
  <si>
    <t>U04497_Muller_2026.pdf</t>
  </si>
  <si>
    <t>U04502</t>
  </si>
  <si>
    <t>TranquilTalk: Advancing Mental Health Support Through Langchain Technology</t>
  </si>
  <si>
    <t>Baskar</t>
  </si>
  <si>
    <t>10.1063/5.0322442</t>
  </si>
  <si>
    <t>U04502_Baskar_2026.pdf</t>
  </si>
  <si>
    <t>U04511</t>
  </si>
  <si>
    <t>Transforming dementia caregiver support with AI-powered social robotics</t>
  </si>
  <si>
    <t>Morris</t>
  </si>
  <si>
    <t>10.3389/frobt.2025.1704313</t>
  </si>
  <si>
    <t>U04511_Morris_2026.pdf</t>
  </si>
  <si>
    <t>U04523</t>
  </si>
  <si>
    <t>Trauma-informed conversational agents for mental health: understanding user perspectives and experiences</t>
  </si>
  <si>
    <t>10.3389/fdgth.2026.1797681</t>
  </si>
  <si>
    <t>U04523_Lu_2026.pdf</t>
  </si>
  <si>
    <t>U04552</t>
  </si>
  <si>
    <t>UbiMyTherapist: A Digital Twin MultiModal LLM-based System with Emotion Detection</t>
  </si>
  <si>
    <t>Alghoul</t>
  </si>
  <si>
    <t>Digest of Technical Papers - IEEE International Conference on Consumer Electronics</t>
  </si>
  <si>
    <t>10.1109/icce67443.2026.11449896</t>
  </si>
  <si>
    <t>U04552_Alghoul_2026.pdf</t>
  </si>
  <si>
    <t>U04555</t>
  </si>
  <si>
    <t>Uncertainty-aware multimodal affective data fusion for personalized mental health dialogue</t>
  </si>
  <si>
    <t>Zhu</t>
  </si>
  <si>
    <t>10.1016/j.patcog.2026.114574</t>
  </si>
  <si>
    <t>U04555_Zhu_2026.pdf</t>
  </si>
  <si>
    <t>U04581</t>
  </si>
  <si>
    <t>Understanding the Technology Affordances of Emotional Healing Chatbots: Insights from User Reviews through BERTopic and Interpretable Machine Learning</t>
  </si>
  <si>
    <t>Shen</t>
  </si>
  <si>
    <t>Proceedings of 2025 6th International Symposium on Artificial Intelligence for Medical Sciences, ISAIMS 2025</t>
  </si>
  <si>
    <t>10.1145/3777577.3777705</t>
  </si>
  <si>
    <t>U04581_Shen_2026.pdf</t>
  </si>
  <si>
    <t>U04593</t>
  </si>
  <si>
    <t>UniESC: A Personality-Sensitive Multi-Agent Role-Playing for Emotional Support Conversation</t>
  </si>
  <si>
    <t>10.1109/taffc.2026.3697775</t>
  </si>
  <si>
    <t>U04593_Wang_2026.pdf</t>
  </si>
  <si>
    <t>U04624</t>
  </si>
  <si>
    <t>Usability and acceptability of an LLM-Enabled collaborative care app for home-based depression support: A multi-stakeholder mixed-methods study</t>
  </si>
  <si>
    <t>10.1177/20552076261495459</t>
  </si>
  <si>
    <t>U04624_Chen_2026.pdf</t>
  </si>
  <si>
    <t>U04629</t>
  </si>
  <si>
    <t>Use of a Conversational Agent for Training Mental Health Professionals in Suicide Safety Planning: Pilot Feasibility and Acceptability Study</t>
  </si>
  <si>
    <t>Nobile</t>
  </si>
  <si>
    <t>10.2196/88440</t>
  </si>
  <si>
    <t>U04629_Nobile_2026.pdf</t>
  </si>
  <si>
    <t>U04642</t>
  </si>
  <si>
    <t>User Experience and Early Clinical Outcomes of a Mental Wellness Chatbot for Depression and Anxiety: Pilot Evaluation Mixed Methods Study</t>
  </si>
  <si>
    <t>Graupensperger</t>
  </si>
  <si>
    <t>10.2196/90644</t>
  </si>
  <si>
    <t>U04642_Graupensperger_2026.pdf</t>
  </si>
  <si>
    <t>U04644</t>
  </si>
  <si>
    <t>User Experience and Socioemotional Evaluation of Virtual Therapist Character Types in a Simulated Virtual Reality Exposure Therapy: Quantitative Study</t>
  </si>
  <si>
    <t>Hallmann</t>
  </si>
  <si>
    <t>JMIR XR AND SPATIAL COMPUTING</t>
  </si>
  <si>
    <t>10.2196/81537</t>
  </si>
  <si>
    <t>U04644_Hallmann_2026.pdf</t>
  </si>
  <si>
    <t>U04647</t>
  </si>
  <si>
    <t>User Perspectives on Conversational Agents for Preventive Alcohol Self-Help: Qualitative Exploratory Study</t>
  </si>
  <si>
    <t>De Vries</t>
  </si>
  <si>
    <t>10.2196/86752</t>
  </si>
  <si>
    <t>U04647_De-Vries_2026.pdf</t>
  </si>
  <si>
    <t>U04649</t>
  </si>
  <si>
    <t>User-Centered Development of a Chatbot for Diverse Adolescents at High Risk for Eating Disorders</t>
  </si>
  <si>
    <t>Gullo</t>
  </si>
  <si>
    <t>10.1002/eat.70008</t>
  </si>
  <si>
    <t>U04649_Gullo_2026.pdf</t>
  </si>
  <si>
    <t>U04658</t>
  </si>
  <si>
    <t>Using an AI-powered Mobile Application Chatbot to Address Maternal Depression Indicators and Inquiries in the Perinatal and Postpartum Periods: A Multimethod Analysis</t>
  </si>
  <si>
    <t>Peters</t>
  </si>
  <si>
    <t>Inquiry (United States)</t>
  </si>
  <si>
    <t>10.1177/00469580261417580</t>
  </si>
  <si>
    <t>U04658_Peters_2026.pdf</t>
  </si>
  <si>
    <t>U04661</t>
  </si>
  <si>
    <t>Using ChatGPT as a virtual client in counseling training: counselors‑in‑training’s perceptions across counseling self‑efficacy levels</t>
  </si>
  <si>
    <t>Ha</t>
  </si>
  <si>
    <t>Asia Pacific Education Review</t>
  </si>
  <si>
    <t>10.1007/s12564-026-10134-w</t>
  </si>
  <si>
    <t>U04661_Ha_2026.pdf</t>
  </si>
  <si>
    <t>U04681</t>
  </si>
  <si>
    <t>Utilization of AI as a Conversational Counselor: Analysis of User Evaluations through Morphological Analysis</t>
  </si>
  <si>
    <t>ICEEL 2025 - 2025 9th International Conference on Education and E-Learning</t>
  </si>
  <si>
    <t>10.1145/3789859.3789906</t>
  </si>
  <si>
    <t>U04681_Kanoh_2026.pdf</t>
  </si>
  <si>
    <t>U04691</t>
  </si>
  <si>
    <t>Validation of the safety, empathy and utility of a large language model conversation agent for parents of autistic and neurodivergent children</t>
  </si>
  <si>
    <t>Brown FJ</t>
  </si>
  <si>
    <t>Sci Rep</t>
  </si>
  <si>
    <t>10.1038/s41598-026-44254-5</t>
  </si>
  <si>
    <t>U04691_Brown-FJ_2026.pdf</t>
  </si>
  <si>
    <t>U04703</t>
  </si>
  <si>
    <t>Virtual Therapy Using Large Language Models and Retrieval Augmented Generation</t>
  </si>
  <si>
    <t>Paul</t>
  </si>
  <si>
    <t>2026 IEEE 3rd International Conference on Emerging Trends in Engineering and Medical Sciences, ICETEMS 2025</t>
  </si>
  <si>
    <t>10.1109/icetems66917.2026.11469697</t>
  </si>
  <si>
    <t>U04703_Paul_2026.pdf</t>
  </si>
  <si>
    <t>U04717</t>
  </si>
  <si>
    <t>Voice and Text-Based AI Chatbot for Trauma Identification and Real-Time Doctor-Linkage</t>
  </si>
  <si>
    <t>Bharathvaj</t>
  </si>
  <si>
    <t>Proceedings of 2nd International Conference on Visual Analytics and Data Visualization, ICVADV 2026</t>
  </si>
  <si>
    <t>10.1109/icvadv67766.2026.11470498</t>
  </si>
  <si>
    <t>U04717_Bharathvaj_2026.pdf</t>
  </si>
  <si>
    <t>U04718</t>
  </si>
  <si>
    <t>B. J</t>
  </si>
  <si>
    <t>2026 International Conference on Visual Analytics and Data Visualization (ICVADV)</t>
  </si>
  <si>
    <t>U04718_J_2026.pdf</t>
  </si>
  <si>
    <t>U04757</t>
  </si>
  <si>
    <t>When a chatbot asks “How are you?”: A cross-sectional study of AI call conversations and depressive symptom detection among older adults in rural South Korea</t>
  </si>
  <si>
    <t>BMC Geriatrics</t>
  </si>
  <si>
    <t>10.1186/s12877-026-07038-0</t>
  </si>
  <si>
    <t>U04757_Kim_2026.pdf</t>
  </si>
  <si>
    <t>U04767</t>
  </si>
  <si>
    <t>When AI Venting Helps or Harms: How Perceived Anonymity Shapes Supportive Interactions With Conversational Agents</t>
  </si>
  <si>
    <t>10.1080/10447318.2026.2719169</t>
  </si>
  <si>
    <t>U04767_Liu_2026.pdf</t>
  </si>
  <si>
    <t>U04770</t>
  </si>
  <si>
    <t>When Can We Trust LLMs in Mental Health? Large-Scale Benchmarks for Reliable LLM Evaluation</t>
  </si>
  <si>
    <t>Badawi</t>
  </si>
  <si>
    <t>10.18653/v1/2026.eacl-long.180</t>
  </si>
  <si>
    <t>U04770_Badawi_2026.pdf</t>
  </si>
  <si>
    <t>U04771</t>
  </si>
  <si>
    <t>When chatbots are perceived as “understanding”: a study on how virtual agent persona styles and affective interaction promote mental health acceptance</t>
  </si>
  <si>
    <t>10.3389/fpsyg.2026.1863595</t>
  </si>
  <si>
    <t>U04771_Wu_2026.pdf</t>
  </si>
  <si>
    <t>U04781</t>
  </si>
  <si>
    <t>When Humans Don't Feel Like an Option: Contextual Factors That Shape When Older Adults Turn to Conversational AI for Emotional Support</t>
  </si>
  <si>
    <t>10.1145/3772363.3798404</t>
  </si>
  <si>
    <t>U04781_Shi_2026.pdf</t>
  </si>
  <si>
    <t>U04798</t>
  </si>
  <si>
    <t>When the Prompt Speaks Louder than the Person: Output Anchoring in Personality-Informed LLM Emotional Support for Drivers</t>
  </si>
  <si>
    <t>Mittelstädt</t>
  </si>
  <si>
    <t>AutomotiveUI Adjunct 2026 - 18th International Conference on Automotive User Interfaces and Interactive Vehicular Applications</t>
  </si>
  <si>
    <t>10.1145/3828158.3838249</t>
  </si>
  <si>
    <t>U04798_Mittelstadt_2026.pdf</t>
  </si>
  <si>
    <t>U04804</t>
  </si>
  <si>
    <t>When Trust Splits the Room: Comparing User Trust and Experiences with Human and LLM Counselors</t>
  </si>
  <si>
    <t>10.1145/3772363.3798485</t>
  </si>
  <si>
    <t>U04804_Park_2026.pdf</t>
  </si>
  <si>
    <t>U04808</t>
  </si>
  <si>
    <t>When Verse Listens Back: Classical Chinese Poetry as a Culturally Grounded Medium for Multimodal AI-Guided Emotional Support</t>
  </si>
  <si>
    <t>10.1145/3772363.3798550</t>
  </si>
  <si>
    <t>U04808_Zhang_2026.pdf</t>
  </si>
  <si>
    <t>U04810</t>
  </si>
  <si>
    <t>When Vocabulary Comprehension Fails Clinical Reasoning: Evaluating Therapy Bots' Safety Risks for Generation Alpha</t>
  </si>
  <si>
    <t>Mehta</t>
  </si>
  <si>
    <t>10.1145/3805689.3806522</t>
  </si>
  <si>
    <t>U04810_Mehta_2026.pdf</t>
  </si>
  <si>
    <t>U04844</t>
  </si>
  <si>
    <t>Woebot for Postpartum Mood and Anxiety: Randomized Controlled Trial Evaluating Feasibility, Acceptability, and Preliminary Efficacy of a Mobile Cognitive Behavioral Therapy Intervention</t>
  </si>
  <si>
    <t>Ajayi T</t>
  </si>
  <si>
    <t>JMIR Pediatr Parent</t>
  </si>
  <si>
    <t>10.2196/74083</t>
  </si>
  <si>
    <t>U04844_Ajayi-T_2026.pdf</t>
  </si>
  <si>
    <t>U04852</t>
  </si>
  <si>
    <t>XInsight: Integrative Stage-Consistent Psychological Counseling Support Agents for Digital Well-Being</t>
  </si>
  <si>
    <t>10.1145/3774904.3793062</t>
  </si>
  <si>
    <t>U04852_Wang_2026.pdf</t>
  </si>
  <si>
    <t>U04858</t>
  </si>
  <si>
    <t>Young people’s perceptions and recommendations for conversational generative artificial intelligence in youth mental health</t>
  </si>
  <si>
    <t>Poulsen</t>
  </si>
  <si>
    <t>10.1038/s41746-026-02888-9</t>
  </si>
  <si>
    <t>U04858_Poulsen_2026.pdf</t>
  </si>
  <si>
    <t>U04862</t>
  </si>
  <si>
    <t>ZenithMind: Mental Health Assistant with CBT Integration</t>
  </si>
  <si>
    <t>Badgujar</t>
  </si>
  <si>
    <t>2026 International Conference on Sustainable and Futuristic Technologies, ICSFT 2026</t>
  </si>
  <si>
    <t>10.1109/icsft67370.2026.11566649</t>
  </si>
  <si>
    <t>U04862_Badgujar_2026.pdf</t>
  </si>
  <si>
    <t>U04863</t>
  </si>
  <si>
    <t>ZenMate: A Culturally Adaptive Multilingual Mental Health Chatbot Using GPT-3.5 and SpaCy</t>
  </si>
  <si>
    <t>Romi</t>
  </si>
  <si>
    <t>10.1007/978-3-032-18913-4_33</t>
  </si>
  <si>
    <t>U04863_Romi_2026.pdf</t>
  </si>
  <si>
    <t>U04868</t>
  </si>
  <si>
    <t>Ψ-Arena: Interactive Assessment and Optimization of LLM-based Psychological Counselors with Tripartite Feedback</t>
  </si>
  <si>
    <t>10.1609/aaai.v40i3.37211</t>
  </si>
  <si>
    <t>U04868_Zhu_2026.pdf</t>
  </si>
  <si>
    <t>U04874</t>
  </si>
  <si>
    <t>“I Could Practice Flirting Without Pressure”: A Proof-of-Concept Study of an AI Chatbot-Assisted Intervention for Men Facing Distressing Involuntary Singlehood</t>
  </si>
  <si>
    <t>Lafortune</t>
  </si>
  <si>
    <t>Archives of Sexual Behavior</t>
  </si>
  <si>
    <t>10.1007/s10508-025-03356-3</t>
  </si>
  <si>
    <t>U04874_Lafortune_2026.pdf</t>
  </si>
  <si>
    <t>U04878</t>
  </si>
  <si>
    <t>“I Really Feel Heard by AI”: A Cultural Case Study of AI-Mediated Listening Across China and the UK</t>
  </si>
  <si>
    <t>Zhan</t>
  </si>
  <si>
    <t>Culture, Medicine and Psychiatry</t>
  </si>
  <si>
    <t>10.1007/s11013-026-10010-7</t>
  </si>
  <si>
    <t>U04878_Zhan_2026.pdf</t>
  </si>
  <si>
    <t>U04889</t>
  </si>
  <si>
    <t>“I’m Right Here With You”: LLMs Using First-Person Language in Therapeutic Interactions</t>
  </si>
  <si>
    <t>Hastings</t>
  </si>
  <si>
    <t>10.1007/978-3-032-31418-5_26</t>
  </si>
  <si>
    <t>U04889_Hastings_2026.pdf</t>
  </si>
  <si>
    <t>U04890</t>
  </si>
  <si>
    <t>“Less in the Sense of What You Want, but More in the Sense of What You Need”: Needs, Preferences and Requirements for a Mental Well-Being Chatbot to Support Students in Higher Education</t>
  </si>
  <si>
    <t>Bartali</t>
  </si>
  <si>
    <t>10.1080/10447318.2026.2677759</t>
  </si>
  <si>
    <t>U04890_Bartali_2026.pdf</t>
  </si>
  <si>
    <t>U04896</t>
  </si>
  <si>
    <t>“Thank God I'm Fly!”: A Gyaru Persona Chatbot for Adopting a Positive Mindset to Prevent and Mitigate Negative Emotions</t>
  </si>
  <si>
    <t>Ikegami</t>
  </si>
  <si>
    <t>10.1145/3772363.3798615</t>
  </si>
  <si>
    <t>U04896_Ikegami_2026.pdf</t>
  </si>
  <si>
    <t>U04900</t>
  </si>
  <si>
    <t>"AI that&amp;#x2019;s so good it almost seems human:" Risk and Hype Cycles of AI and Chatbots in Mobile Mental Health Apps</t>
  </si>
  <si>
    <t>Katherine di Bona</t>
  </si>
  <si>
    <t>Proceedings of the 37th Australian Conference on Human-Computer Interaction</t>
  </si>
  <si>
    <t>10.1145/3764687.3764704</t>
  </si>
  <si>
    <t>U04900_Bona_2025.pdf</t>
  </si>
  <si>
    <t>U04901</t>
  </si>
  <si>
    <t>"AI that's so good it almost seems human:" Risk and Hype Cycles of AI and Chatbots in Mobile Mental Health Apps</t>
  </si>
  <si>
    <t>Di Bona</t>
  </si>
  <si>
    <t>OZCHI 2025 - Proceedings of the 37th Australian Conference on Human-Computer Interaction</t>
  </si>
  <si>
    <t>U04901_Di-Bona_2025.pdf</t>
  </si>
  <si>
    <t>U04911</t>
  </si>
  <si>
    <t>"I’ve talked to ChatGPT about my issues last night.": Examining Mental Health Conversations with Large Language Models through Reddit Analysis</t>
  </si>
  <si>
    <t>Jung</t>
  </si>
  <si>
    <t>10.1145/3757537</t>
  </si>
  <si>
    <t>U04911_Jung_2025.pdf</t>
  </si>
  <si>
    <t>U04916</t>
  </si>
  <si>
    <t>&amp;#x201c;Do You Need the Sage's Tea or the Friend's Cola&amp;#x201d; Exploring the Differential Healing Effects of Generative AI Conversational Styles</t>
  </si>
  <si>
    <t>Xinheng Song</t>
  </si>
  <si>
    <t>Proceedings of the Extended Abstracts of the CHI Conference on Human Factors in Computing Systems</t>
  </si>
  <si>
    <t>10.1145/3706599.3720026</t>
  </si>
  <si>
    <t>U04916_Song_2025.pdf</t>
  </si>
  <si>
    <t>U04925</t>
  </si>
  <si>
    <t>`Talk to Me': Comparing the Effects of Virtual Character Interaction Fidelity on Perceived Usability, User Experience, and Acceptance in a Mental Health Application</t>
  </si>
  <si>
    <t>Elizabeth A Schlesener</t>
  </si>
  <si>
    <t>ACM Symposium on Applied Perception 2025</t>
  </si>
  <si>
    <t>10.1145/3736702.3744357</t>
  </si>
  <si>
    <t>U04925_Schlesener_2025.pdf</t>
  </si>
  <si>
    <t>U04936</t>
  </si>
  <si>
    <t>A Comparative Study of Older and Younger Adults Using Solution-Focused Brief Therapy with an Active Listening Counseling Robot</t>
  </si>
  <si>
    <t>Y. Hayashi</t>
  </si>
  <si>
    <t>2025 20th ACM/IEEE International Conference on Human-Robot Interaction (HRI)</t>
  </si>
  <si>
    <t>10.1109/hri61500.2025.10973967</t>
  </si>
  <si>
    <t>U04936_Hayashi_2025.pdf</t>
  </si>
  <si>
    <t>U04940</t>
  </si>
  <si>
    <t>A Comparison of Responses from Human Therapists and Large Language Model–Based Chatbots to Assess Therapeutic Communication: Mixed Methods Study</t>
  </si>
  <si>
    <t>Scholich</t>
  </si>
  <si>
    <t>10.2196/69709</t>
  </si>
  <si>
    <t>U04940_Scholich_2025.pdf</t>
  </si>
  <si>
    <t>U04943</t>
  </si>
  <si>
    <t>A Comprehensive RAG-Based LLM for AI-Driven Mental Health Chatbot</t>
  </si>
  <si>
    <t>Ilapaka</t>
  </si>
  <si>
    <t>ICHORA 2025 - 2025 7th International Congress on Human-Computer Interaction, Optimization and Robotic Applications, Proceedings</t>
  </si>
  <si>
    <t>10.1109/ichora65333.2025.11017017</t>
  </si>
  <si>
    <t>U04943_Ilapaka_2025.pdf</t>
  </si>
  <si>
    <t>U04949</t>
  </si>
  <si>
    <t>A Context-Aware Mental Health LLM Chatbot with Enhanced Security</t>
  </si>
  <si>
    <t>Tasnim</t>
  </si>
  <si>
    <t>10.1007/978-981-96-8725-1_1</t>
  </si>
  <si>
    <t>U04949_Tasnim_2025.pdf</t>
  </si>
  <si>
    <t>U04951</t>
  </si>
  <si>
    <t>A Conversational Agent (PracticePal) to Support the Delivery of a Brief Behavioral Activation Treatment for Depression in Rural India: Development and Pilot-Testing Study</t>
  </si>
  <si>
    <t>Agrawal</t>
  </si>
  <si>
    <t>10.2196/73563</t>
  </si>
  <si>
    <t>U04951_Agrawal_2025.pdf</t>
  </si>
  <si>
    <t>U04954</t>
  </si>
  <si>
    <t>A conversational agent framework for mental health screening: design, implementation, and usability</t>
  </si>
  <si>
    <t>Boian</t>
  </si>
  <si>
    <t>10.1080/0144929x.2024.2332934</t>
  </si>
  <si>
    <t>U04954_Boian_2025.pdf</t>
  </si>
  <si>
    <t>U04962</t>
  </si>
  <si>
    <t>A Deep Learning Conversational Virtual Human for Assisting Individuals with Autism Spectrum Disorder</t>
  </si>
  <si>
    <t>A. Hegazy</t>
  </si>
  <si>
    <t>2025 International Conference on Computer and Applications (ICCA)</t>
  </si>
  <si>
    <t>10.1109/icca66035.2025.11430821</t>
  </si>
  <si>
    <t>U04962_Hegazy_2025.pdf</t>
  </si>
  <si>
    <t>U04967</t>
  </si>
  <si>
    <t>A Domain-Specific Modeling Method for Designing Conversational Agents for Coaching: A Case from Health Coaching</t>
  </si>
  <si>
    <t>Pande</t>
  </si>
  <si>
    <t>10.1007/978-3-031-95397-2_27</t>
  </si>
  <si>
    <t>U04967_Pande_2025.pdf</t>
  </si>
  <si>
    <t>U04972</t>
  </si>
  <si>
    <t>A Fully Generative Motivational Interviewing Counsellor Chatbot for Moving Smokers Towards the Decision to Quit</t>
  </si>
  <si>
    <t>Mahmood</t>
  </si>
  <si>
    <t>10.18653/v1/2025.findings-acl.1283</t>
  </si>
  <si>
    <t>U04972_Mahmood_2025.pdf</t>
  </si>
  <si>
    <t>U04985</t>
  </si>
  <si>
    <t>A Hybrid Dialogue System for Student Mental Health Assessment and Support</t>
  </si>
  <si>
    <t>Lenh</t>
  </si>
  <si>
    <t>10.1007/978-3-031-80943-9_86</t>
  </si>
  <si>
    <t>U04985_Lenh_2025.pdf</t>
  </si>
  <si>
    <t>U04986</t>
  </si>
  <si>
    <t>A Hybrid Rule- and Large Language Model-Based Embodied Voice Assistant (GRACE) for Cognitive Stimulation in Older Adults: Usability Study Assessing Technical Feasibility, Technology Acceptance, and Working Alliance</t>
  </si>
  <si>
    <t>Vinay</t>
  </si>
  <si>
    <t>JMIR Aging</t>
  </si>
  <si>
    <t>10.2196/76489</t>
  </si>
  <si>
    <t>U04986_Vinay_2025.pdf</t>
  </si>
  <si>
    <t>U04993</t>
  </si>
  <si>
    <t>A LLM-Based Chatbot for Mindfulness Practice with Older Adults: A Development and Usability Study</t>
  </si>
  <si>
    <t>10.3233/shti250493</t>
  </si>
  <si>
    <t>U04993_McCarren_2025.pdf</t>
  </si>
  <si>
    <t>U05000</t>
  </si>
  <si>
    <t>A Mental Health Chatbot system for creating Self-awareness</t>
  </si>
  <si>
    <t>Sin</t>
  </si>
  <si>
    <t>2025 International Conference on Metaverse and Current Trends in Computing, ICMCTC 2025</t>
  </si>
  <si>
    <t>10.1109/icmctc62214.2025.11196736</t>
  </si>
  <si>
    <t>U05000_Sin_2025.pdf</t>
  </si>
  <si>
    <t>U05012</t>
  </si>
  <si>
    <t>A Multilingual Mental Health Support Chatbot with Regional Language Capabilities Based On the AMER Model</t>
  </si>
  <si>
    <t>Amirthavarshini</t>
  </si>
  <si>
    <t>2025 International Conference on Data Science, Agents and Artificial Intelligence, ICDSAAI 2025</t>
  </si>
  <si>
    <t>10.1109/icdsaai65575.2025.11011903</t>
  </si>
  <si>
    <t>U05012_Amirthavarshini_2025.pdf</t>
  </si>
  <si>
    <t>U05013</t>
  </si>
  <si>
    <t>A. H</t>
  </si>
  <si>
    <t>2025 International Conference on Data Science, Agents &amp; Artificial Intelligence (ICDSAAI)</t>
  </si>
  <si>
    <t>U05013_H_2025.pdf</t>
  </si>
  <si>
    <t>U05014</t>
  </si>
  <si>
    <t>A Multilingual Telegram Chatbot for Mental Health Data Collection</t>
  </si>
  <si>
    <t>Mamontov</t>
  </si>
  <si>
    <t>ICMI 2025 - Proceedings of the 27th International Conference on Multimodal Interaction</t>
  </si>
  <si>
    <t>10.1145/3716553.3757095</t>
  </si>
  <si>
    <t>U05014_Mamontov_2025.pdf</t>
  </si>
  <si>
    <t>U05035</t>
  </si>
  <si>
    <t>A personalized mental health chatbot with emotion detection and content suggestion</t>
  </si>
  <si>
    <t>Holla</t>
  </si>
  <si>
    <t>10.1117/12.3070958</t>
  </si>
  <si>
    <t>U05035_Holla_2025.pdf</t>
  </si>
  <si>
    <t>U05039</t>
  </si>
  <si>
    <t>A Pilot Study of an AI Chatbot for the Screening of Substance Use Disorder in a Healthcare Setting</t>
  </si>
  <si>
    <t>Wright</t>
  </si>
  <si>
    <t>AI (Switzerland)</t>
  </si>
  <si>
    <t>10.3390/ai6060113</t>
  </si>
  <si>
    <t>U05039_Wright_2025.pdf</t>
  </si>
  <si>
    <t>U05050</t>
  </si>
  <si>
    <t>A Relational Agent Intervention for Adolescents Seeking Mental Health Treatment: Outcomes From a Randomized Controlled Trial Within a Children's Outpatient Hospital</t>
  </si>
  <si>
    <t>Gleason</t>
  </si>
  <si>
    <t>JAACAP Open</t>
  </si>
  <si>
    <t>10.1016/j.jaacop.2025.02.002</t>
  </si>
  <si>
    <t>U05050_Gleason_2025.pdf</t>
  </si>
  <si>
    <t>U05059</t>
  </si>
  <si>
    <t>A Risk Ontology for Evaluating AI-Powered Psychotherapy Virtual Agents</t>
  </si>
  <si>
    <t>Steenstra</t>
  </si>
  <si>
    <t>IVA 2025 - Proceedings of the 25th ACM International Conference on Intelligent Virtual Agents</t>
  </si>
  <si>
    <t>10.1145/3717511.3749286</t>
  </si>
  <si>
    <t>U05059_Steenstra_2025.pdf</t>
  </si>
  <si>
    <t>U05060</t>
  </si>
  <si>
    <t>A Robot That Listens: Enhancing Self-Disclosure and Engagement Through Sentiment-based Backchannels and Active Listening</t>
  </si>
  <si>
    <t>Tran</t>
  </si>
  <si>
    <t>IEEE International Workshop on Robot and Human Communication, RO-MAN</t>
  </si>
  <si>
    <t>10.1109/ro-man63969.2025.11217862</t>
  </si>
  <si>
    <t>U05060_Tran_2025.pdf</t>
  </si>
  <si>
    <t>U05061</t>
  </si>
  <si>
    <t>A Rule-Based Conversational Agent for Mental Health and Well-Being in Young People: Formative Case Series During the Rise of Generative AI</t>
  </si>
  <si>
    <t>Wrightson-Hester</t>
  </si>
  <si>
    <t>10.2196/69841</t>
  </si>
  <si>
    <t>U05061_Wrightson-Hester_2025.pdf</t>
  </si>
  <si>
    <t>U05064</t>
  </si>
  <si>
    <t>A Self-Determination Theory-based Career Counseling Chatbot: Motivational Interactions to Address Career Decision-Making Difficulties and Enhance Engagement</t>
  </si>
  <si>
    <t>10.1145/3706599.3720286</t>
  </si>
  <si>
    <t>U05064_Han_2025.pdf</t>
  </si>
  <si>
    <t>U05076</t>
  </si>
  <si>
    <t>A Study on a Framework for Initial Counseling for Vulnerable Populations in Welfare Blind Spots Based on LLM</t>
  </si>
  <si>
    <t>Sung</t>
  </si>
  <si>
    <t>2025 17th International Conference on Knowledge and Smart Technology, KST 2025</t>
  </si>
  <si>
    <t>10.1109/kst65016.2025.11003300</t>
  </si>
  <si>
    <t>U05076_Sung_2025.pdf</t>
  </si>
  <si>
    <t>U05093</t>
  </si>
  <si>
    <t>A Text-Based AI Chatbot for Emotional Support in Student Mental Health</t>
  </si>
  <si>
    <t>Thunuguntla</t>
  </si>
  <si>
    <t>Proceedings of the 6th International Conference on Inventive Research in Computing Applications, ICIRCA 2025</t>
  </si>
  <si>
    <t>10.1109/icirca65293.2025.11089562</t>
  </si>
  <si>
    <t>U05093_Thunuguntla_2025.pdf</t>
  </si>
  <si>
    <t>U05112</t>
  </si>
  <si>
    <t>Acceptability of a Conversational Agent–Led Digital Program for Anxiety: Mixed Methods Study of User Perspectives</t>
  </si>
  <si>
    <t>Papiernik</t>
  </si>
  <si>
    <t>10.2196/76377</t>
  </si>
  <si>
    <t>U05112_Papiernik_2025.pdf</t>
  </si>
  <si>
    <t>U05125</t>
  </si>
  <si>
    <t>AdaptiCare-RL: Adaptive Multi-Agent Collaborative Counseling Dialogues Regulated by Reinforcement Learning</t>
  </si>
  <si>
    <t>Su</t>
  </si>
  <si>
    <t>Proceedings of the IEEE International Conference on Big Data, BigData</t>
  </si>
  <si>
    <t>10.1109/bigdata66926.2025.11402211</t>
  </si>
  <si>
    <t>U05125_Su_2025.pdf</t>
  </si>
  <si>
    <t>U05126</t>
  </si>
  <si>
    <t>AdaptiCare: A Psychological Counseling Dialogue Enhancement Framework Based on Multi-Agent Collaboration</t>
  </si>
  <si>
    <t>2025 5th International Conference on Artificial Intelligence, Big Data and Algorithms, CAIBDA 2025</t>
  </si>
  <si>
    <t>10.1109/caibda65784.2025.11183315</t>
  </si>
  <si>
    <t>U05126_Su_2025.pdf</t>
  </si>
  <si>
    <t>U05127</t>
  </si>
  <si>
    <t>Adapting Communication Styles in Health Chatbot using Large Language Models to Support Family Caregivers from Multicultural Backgrounds</t>
  </si>
  <si>
    <t>Baik</t>
  </si>
  <si>
    <t>10.1145/3706599.3719711</t>
  </si>
  <si>
    <t>U05127_Baik_2025.pdf</t>
  </si>
  <si>
    <t>U05134</t>
  </si>
  <si>
    <t>Adaptive Neuro-Empathic Therapeutic Intelligence (ANETI): A Multimodal AI System for Context-Aware Counseling</t>
  </si>
  <si>
    <t>Punj</t>
  </si>
  <si>
    <t>2025 5th Asian Conference on Innovation in Technology, ASIANCON 2025</t>
  </si>
  <si>
    <t>10.1109/asiancon66527.2025.11281223</t>
  </si>
  <si>
    <t>U05134_Punj_2025.pdf</t>
  </si>
  <si>
    <t>U05136</t>
  </si>
  <si>
    <t>Addressing the Challenges of Mental Health Conversations with Large Language Models</t>
  </si>
  <si>
    <t>Shiwakoti</t>
  </si>
  <si>
    <t>WWW Companion 2025 - Companion Proceedings of the ACM Web Conference 2025</t>
  </si>
  <si>
    <t>10.1145/3701716.3718374</t>
  </si>
  <si>
    <t>U05136_Shiwakoti_2025.pdf</t>
  </si>
  <si>
    <t>U05160</t>
  </si>
  <si>
    <t>Adversarial Evaluation Algorithm for Detecting Extreme Behaviors of LLMs in Psychological Counseling Scenarios</t>
  </si>
  <si>
    <t>2025 2nd International Conference on Algorithms, Software Engineering and Network Security, ASENS 2025</t>
  </si>
  <si>
    <t>10.1109/asens64990.2025.11011189</t>
  </si>
  <si>
    <t>U05160_Zeng_2025.pdf</t>
  </si>
  <si>
    <t>U05167</t>
  </si>
  <si>
    <t>Agentic Stage-Based LLM Framework for Multi-Turn Mental Health Support Conversations in Thai</t>
  </si>
  <si>
    <t>Changpun</t>
  </si>
  <si>
    <t>2025 20th International Joint Symposium on Artificial Intelligence and Natural Language Processing, iSAI-NLP 2025</t>
  </si>
  <si>
    <t>10.1109/isai-nlp66160.2025.11320484</t>
  </si>
  <si>
    <t>U05167_Changpun_2025.pdf</t>
  </si>
  <si>
    <t>U05172</t>
  </si>
  <si>
    <t>AI and adolescent Relationships: Bridging emotional intelligence and practical guidance</t>
  </si>
  <si>
    <t>Ricon</t>
  </si>
  <si>
    <t>10.1016/j.chbr.2025.100752</t>
  </si>
  <si>
    <t>U05172_Ricon_2025.pdf</t>
  </si>
  <si>
    <t>U05180</t>
  </si>
  <si>
    <t>AI as a Simulated Client: Impact on Educational Psychology Students’ Therapeutic Skills</t>
  </si>
  <si>
    <t>Kakabayeva</t>
  </si>
  <si>
    <t>Journal of Curriculum Studies Research</t>
  </si>
  <si>
    <t>10.46303/jcsr.2025.10</t>
  </si>
  <si>
    <t>U05669_Wang_2025.pdf</t>
  </si>
  <si>
    <t>U05184</t>
  </si>
  <si>
    <t>AI as your ally: The effects of AI-assisted venting on negative affect and perceived social support</t>
  </si>
  <si>
    <t>10.1111/aphw.12621</t>
  </si>
  <si>
    <t>U05184_Hu_2025.pdf</t>
  </si>
  <si>
    <t>U05187</t>
  </si>
  <si>
    <t>AI Chatbot for Suicidal Prevention in LGBTQ+ Community</t>
  </si>
  <si>
    <t>Mathupriya</t>
  </si>
  <si>
    <t>OCIT 2025 - Proceedings 23rd OITS International Conference on Information Technology</t>
  </si>
  <si>
    <t>10.1109/ocit66168.2025.11400121</t>
  </si>
  <si>
    <t>U05187_Mathupriya_2025.pdf</t>
  </si>
  <si>
    <t>U05188</t>
  </si>
  <si>
    <t>2025 OITS International Conference on Information Technology (OCIT)</t>
  </si>
  <si>
    <t>U05188_S_2025.pdf</t>
  </si>
  <si>
    <t>U05203</t>
  </si>
  <si>
    <t>AI Enhanced Depression Detection Using Chatbot and Facial Data Analysis</t>
  </si>
  <si>
    <t>2025 3rd International Conference on Communication, Security, and Artificial Intelligence, ICCSAI 2025</t>
  </si>
  <si>
    <t>10.1109/iccsai64074.2025.11064586</t>
  </si>
  <si>
    <t>U05203_Sharma_2025.pdf</t>
  </si>
  <si>
    <t>U05208</t>
  </si>
  <si>
    <t>AI for Personalized Mental Health Support - Early Intervention in Rural/Underserved India</t>
  </si>
  <si>
    <t>Shangavi</t>
  </si>
  <si>
    <t>Proceedings of 2025 International Conference on Signal Processing, Computation, Electronics, Power and Telecommunication, IConSCEPT 2025</t>
  </si>
  <si>
    <t>10.1109/iconscept66142.2025.11437344</t>
  </si>
  <si>
    <t>U05208_Shangavi_2025.pdf</t>
  </si>
  <si>
    <t>U05209</t>
  </si>
  <si>
    <t>AI for Personalized Mental Health Support – Early Intervention in Rural/Underserved India</t>
  </si>
  <si>
    <t>S. S</t>
  </si>
  <si>
    <t>2025 International Conference on Signal Processing, Computation, Electronics, Power and Telecommunication (IConSCEPT)</t>
  </si>
  <si>
    <t>U05209_S_2025.pdf</t>
  </si>
  <si>
    <t>U05227</t>
  </si>
  <si>
    <t>AI on My Shoulder: Supporting Emotional Labor in Front-Office Roles with an LLM-based Empathetic Coworker</t>
  </si>
  <si>
    <t>Das Swain</t>
  </si>
  <si>
    <t>10.1145/3706598.3713705</t>
  </si>
  <si>
    <t>U05227_Das-Swain_2025.pdf</t>
  </si>
  <si>
    <t>U05235</t>
  </si>
  <si>
    <t>AI Trauma Chatbot Analyzing Voice, Text and Providing Direct Doctor Link</t>
  </si>
  <si>
    <t>Janet Sherin</t>
  </si>
  <si>
    <t>Proceedings of 8th International Conference on Inventive Computation Technologies, ICICT 2025</t>
  </si>
  <si>
    <t>10.1109/icict64420.2025.11004645</t>
  </si>
  <si>
    <t>U05235_Janet-Sherin_2025.pdf</t>
  </si>
  <si>
    <t>U05236</t>
  </si>
  <si>
    <t>J. S. A</t>
  </si>
  <si>
    <t>2025 International Conference on Inventive Computation Technologies (ICICT)</t>
  </si>
  <si>
    <t>U05236_A_2025.pdf</t>
  </si>
  <si>
    <t>U05247</t>
  </si>
  <si>
    <t>Ai-Aun Chatbot: A Pilot Study on the Effectiveness of an Artificial Intelligence Intervention for Mental Health Among Thai Older Adults</t>
  </si>
  <si>
    <t>Imkome</t>
  </si>
  <si>
    <t>Nursing and Health Sciences</t>
  </si>
  <si>
    <t>10.1111/nhs.70093</t>
  </si>
  <si>
    <t>U05247_Imkome_2025.pdf</t>
  </si>
  <si>
    <t>U05261</t>
  </si>
  <si>
    <t>AI-Driven Chatbot for Mental Health Analysis Using Transformer Models</t>
  </si>
  <si>
    <t>Paramarthalingam</t>
  </si>
  <si>
    <t>Premier Journal of Science</t>
  </si>
  <si>
    <t>10.70389/pjs.100133</t>
  </si>
  <si>
    <t>U05261_Paramarthalingam_2025.pdf</t>
  </si>
  <si>
    <t>U05262</t>
  </si>
  <si>
    <t>AI-Driven Chatbot Integration with MUBS for Mobile Mental Health Intervention Support</t>
  </si>
  <si>
    <t>Sindhumathi</t>
  </si>
  <si>
    <t>Proceedings of the 9th International Conference on Inventive Systems and Control, ICISC 2025</t>
  </si>
  <si>
    <t>10.1109/icisc65841.2025.11188278</t>
  </si>
  <si>
    <t>U05262_Sindhumathi_2025.pdf</t>
  </si>
  <si>
    <t>U05270</t>
  </si>
  <si>
    <t>AI-Driven Grief Chatbots: Transforming Grief Management for Individuals with Chronic Illness</t>
  </si>
  <si>
    <t>Proceedings of the Annual Hawaii International Conference on System Sciences</t>
  </si>
  <si>
    <t>10.24251/hicss.2025.437</t>
  </si>
  <si>
    <t>U05270_Jia_2025.pdf</t>
  </si>
  <si>
    <t>U05274</t>
  </si>
  <si>
    <t>AI-Driven Mental Health Chatbot: Empowering Well-Being with Conversational AI and Retrieval-Augmented Generation</t>
  </si>
  <si>
    <t>Haider</t>
  </si>
  <si>
    <t>Proceedings - 2025 IEEE Conference on Artificial Intelligence, CAI 2025</t>
  </si>
  <si>
    <t>10.1109/cai64502.2025.00246</t>
  </si>
  <si>
    <t>U05274_Haider_2025.pdf</t>
  </si>
  <si>
    <t>U05283</t>
  </si>
  <si>
    <t>AI-Enabled Personalized Smoking Cessation Intervention With the Aipaca Chatbot: Mixed Methods Feasibility Study</t>
  </si>
  <si>
    <t>10.2196/73319</t>
  </si>
  <si>
    <t>U05283_Liu_2025.pdf</t>
  </si>
  <si>
    <t>U05290</t>
  </si>
  <si>
    <t>AI-Enhanced Virtual Reality Self-Talk for Psychological Counseling: Formative Qualitative Study</t>
  </si>
  <si>
    <t>Zisquit</t>
  </si>
  <si>
    <t>10.2196/67782</t>
  </si>
  <si>
    <t>U05290_Zisquit_2025.pdf</t>
  </si>
  <si>
    <t>U05292</t>
  </si>
  <si>
    <t>AI-Facilitated Cognitive Reappraisal via Socrates 2.0: Mixed Methods Feasibility Study</t>
  </si>
  <si>
    <t>Held</t>
  </si>
  <si>
    <t>10.2196/80461</t>
  </si>
  <si>
    <t>U05292_Held_2025.pdf</t>
  </si>
  <si>
    <t>U05299</t>
  </si>
  <si>
    <t>AI-Powered Bilingual Chatbot for Promoting Mental Health Awareness in Rural Communities</t>
  </si>
  <si>
    <t>Vimal</t>
  </si>
  <si>
    <t>Proceedings - IEEE 10th International Conference on Smart Structures and Systems, ICSSS 2025</t>
  </si>
  <si>
    <t>10.1109/icsss66939.2025.11346329</t>
  </si>
  <si>
    <t>U05299_Vimal_2025.pdf</t>
  </si>
  <si>
    <t>U05305</t>
  </si>
  <si>
    <t>AI-Powered Enhanced Medical QA Chatbot System with Sentiment Analysis Mood Tracking and Personalized Mental Health Recommendations</t>
  </si>
  <si>
    <t>Abeesh</t>
  </si>
  <si>
    <t>Proceedings of 5th International Conference on Ubiquitous Computing and Intelligent Information Systems, ICUIS 2025</t>
  </si>
  <si>
    <t>10.1109/icuis67429.2025.11380270</t>
  </si>
  <si>
    <t>U05305_Abeesh_2025.pdf</t>
  </si>
  <si>
    <t>U05306</t>
  </si>
  <si>
    <t>AI-Powered Holistic Mental Health Monitoring: Integrating Facial Emotion Recognition, Chatbot, and Voicebot for Personalized Support</t>
  </si>
  <si>
    <t>Vijayalakshmi</t>
  </si>
  <si>
    <t>10.1109/icdsaai65575.2025.11011757</t>
  </si>
  <si>
    <t>U05306_Vijayalakshmi_2025.pdf</t>
  </si>
  <si>
    <t>U05307</t>
  </si>
  <si>
    <t>V. S</t>
  </si>
  <si>
    <t>U05307_S_2025.pdf</t>
  </si>
  <si>
    <t>U05327</t>
  </si>
  <si>
    <t>AIMI: A Multimodal Emotion-Aware AI System for Mental Health Support in Malaysian Educational Institutions</t>
  </si>
  <si>
    <t>Ahmad</t>
  </si>
  <si>
    <t>2025 6th International Conference on Artificial Intelligence and Data Sciences: From Insights To Impact: Leveraging AI And Data Science For Strategic Decisions, AiDAS 2025 - Conference Proceedings</t>
  </si>
  <si>
    <t>10.1109/aidas67696.2025.11213678</t>
  </si>
  <si>
    <t>U05327_Ahmad_2025.pdf</t>
  </si>
  <si>
    <t>U05336</t>
  </si>
  <si>
    <t>AliceBot: Designing AI-Driven Applications for Mental Health Management</t>
  </si>
  <si>
    <t>10.1007/978-3-031-93712-5_16</t>
  </si>
  <si>
    <t>U05336_Zhao_2025.pdf</t>
  </si>
  <si>
    <t>U05337</t>
  </si>
  <si>
    <t>Aligning large language models for cognitive behavioral therapy: a proof-of-concept study</t>
  </si>
  <si>
    <t>10.3389/fpsyt.2025.1583739</t>
  </si>
  <si>
    <t>U05337_Kim_2025.pdf</t>
  </si>
  <si>
    <t>U05341</t>
  </si>
  <si>
    <t>Alter egos alter engagement: perspective-taking can improve disclosure quantity and depth to AI chatbots in promoting mental wellbeing</t>
  </si>
  <si>
    <t>10.3389/fdgth.2025.1655860</t>
  </si>
  <si>
    <t>U05341_You_2025.pdf</t>
  </si>
  <si>
    <t>U05359</t>
  </si>
  <si>
    <t>An Efficient Mental Healthcare Chatbot Using Reprogramming Transformer Model Based on a Fine-Tuned GPT-2</t>
  </si>
  <si>
    <t>Mohssen</t>
  </si>
  <si>
    <t>10.1007/978-981-96-3102-5_5</t>
  </si>
  <si>
    <t>U05359_Mohssen_2025.pdf</t>
  </si>
  <si>
    <t>U05361</t>
  </si>
  <si>
    <t>An Empathic GPT-Based Chatbot to Talk About Mental Disorders With Spanish Teenagers</t>
  </si>
  <si>
    <t>Mármol-Romero</t>
  </si>
  <si>
    <t>10.1080/10447318.2024.2344355</t>
  </si>
  <si>
    <t>U05361_Marmol-Romero_2025.pdf</t>
  </si>
  <si>
    <t>U05365</t>
  </si>
  <si>
    <t>An Ensemble Learning Approach for AI-Powered Chatbot for Mental Health Assessment and Support</t>
  </si>
  <si>
    <t>Elsaid</t>
  </si>
  <si>
    <t>7th Novel Intelligent and Leading Emerging Sciences Conference, NILES 2025 - Proceedings</t>
  </si>
  <si>
    <t>10.1109/niles68063.2025.11232212</t>
  </si>
  <si>
    <t>U05365_Elsaid_2025.pdf</t>
  </si>
  <si>
    <t>U05366</t>
  </si>
  <si>
    <t>An Examination of Generative AI Response to Suicide Inquires: Content Analysis</t>
  </si>
  <si>
    <t>Campbell</t>
  </si>
  <si>
    <t>10.2196/73623</t>
  </si>
  <si>
    <t>U05366_Campbell_2025.pdf</t>
  </si>
  <si>
    <t>U05369</t>
  </si>
  <si>
    <t>An Exploratory Study of Chatbot-Based Mindfulness for Mental Health Support</t>
  </si>
  <si>
    <t>Mindfulness</t>
  </si>
  <si>
    <t>10.1007/s12671-025-02685-7</t>
  </si>
  <si>
    <t>U05369_Wang_2025.pdf</t>
  </si>
  <si>
    <t>U05383</t>
  </si>
  <si>
    <t>An Offline Mobile Conversational Agent for Mental Health Support: Learning from Emotional Dialogues and Psychological Texts with Student-Centered Evaluation</t>
  </si>
  <si>
    <t>A</t>
  </si>
  <si>
    <t>Proceedings of the 14th International Joint Conference on Natural Language Processing and the 4th Conference of the Asia-Pacific Chapter of the Association for Computational Linguistics</t>
  </si>
  <si>
    <t>10.18653/v1/2025.ijcnlp-long.191</t>
  </si>
  <si>
    <t>U05383_A_2025.pdf</t>
  </si>
  <si>
    <t>U05389</t>
  </si>
  <si>
    <t>Analysing Lightweight Language Models for Real-Time Mental Health Counselling: A Data-Driven Approach</t>
  </si>
  <si>
    <t>Rajput</t>
  </si>
  <si>
    <t>10.1007/978-981-96-9203-3_21</t>
  </si>
  <si>
    <t>U05389_Rajput_2025.pdf</t>
  </si>
  <si>
    <t>U05396</t>
  </si>
  <si>
    <t>Analyzing Dialogue System Behavior in a Specific Situation Requiring Interpersonal Consideration</t>
  </si>
  <si>
    <t>Takahashi</t>
  </si>
  <si>
    <t>Proceedings of the 26th Annual Meeting of the Special Interest Group on Discourse and Dialogue</t>
  </si>
  <si>
    <t>10.18653/v1/2025.sigdial-1.12</t>
  </si>
  <si>
    <t>U05396_Takahashi_2025.pdf</t>
  </si>
  <si>
    <t>U05403</t>
  </si>
  <si>
    <t>Animated Virtual Therapist in Virtual Reality Environment for People with Parkinson's Disease</t>
  </si>
  <si>
    <t>W. Li</t>
  </si>
  <si>
    <t>2025 IEEE International Conference on Artificial Intelligence and eXtended and Virtual Reality (AIxVR)</t>
  </si>
  <si>
    <t>10.1109/aixvr63409.2025.00055</t>
  </si>
  <si>
    <t>U05403_Li_2025.pdf</t>
  </si>
  <si>
    <t>U05404</t>
  </si>
  <si>
    <t>AnnaAgent: Dynamic Evolution Agent System with Multi-Session Memory for Realistic Seeker Simulation</t>
  </si>
  <si>
    <t>10.18653/v1/2025.findings-acl.1192</t>
  </si>
  <si>
    <t>U05404_Wang_2025.pdf</t>
  </si>
  <si>
    <t>U05422</t>
  </si>
  <si>
    <t>Apprentice bot model design and implementation for psychological clients’ therapy</t>
  </si>
  <si>
    <t>Gidey</t>
  </si>
  <si>
    <t>Discover Applied Sciences</t>
  </si>
  <si>
    <t>10.1007/s42452-025-06515-2</t>
  </si>
  <si>
    <t>U05422_Gidey_2025.pdf</t>
  </si>
  <si>
    <t>U05455</t>
  </si>
  <si>
    <t>Artificial intelligence chatbots as a source of virtual social support: Implications for loneliness and anxiety management</t>
  </si>
  <si>
    <t>Merrill</t>
  </si>
  <si>
    <t>Annals of the New York Academy of Sciences</t>
  </si>
  <si>
    <t>10.1111/nyas.15400</t>
  </si>
  <si>
    <t>U05455_Merrill_2025.pdf</t>
  </si>
  <si>
    <t>U05461</t>
  </si>
  <si>
    <t>Artificial Intelligence for Management of Major Depression: Initial Design, Progress, and Research Plans</t>
  </si>
  <si>
    <t>Alemi</t>
  </si>
  <si>
    <t>ALPHA PSYCHIATRY</t>
  </si>
  <si>
    <t>10.31083/ap44608</t>
  </si>
  <si>
    <t>U05461_Alemi_2025.pdf</t>
  </si>
  <si>
    <t>U05532</t>
  </si>
  <si>
    <t>Assessing the Effectiveness of FilBis: A Chatbot for Monitoring Young Children's Physical and Mental Wellness</t>
  </si>
  <si>
    <t>Azcarraga</t>
  </si>
  <si>
    <t>Asian CHI 2024 - Symposium 2024, Proceedings</t>
  </si>
  <si>
    <t>10.1145/3704611.3704619</t>
  </si>
  <si>
    <t>U05532_Azcarraga_2025.pdf</t>
  </si>
  <si>
    <t>U05554</t>
  </si>
  <si>
    <t>Attitudes towards AI counseling: the existence of perceptual fear in affecting perceived chatbot support quality</t>
  </si>
  <si>
    <t>Keung</t>
  </si>
  <si>
    <t>10.3389/fpsyg.2025.1538387</t>
  </si>
  <si>
    <t>U05554_Keung_2025.pdf</t>
  </si>
  <si>
    <t>U05585</t>
  </si>
  <si>
    <t>Balancing Knowledge Delivery and Emotional Comfort in Healthcare Conversational Systems</t>
  </si>
  <si>
    <t>Tsai</t>
  </si>
  <si>
    <t>Proceedings of the 15th International Workshop on Spoken Dialogue Systems Technology</t>
  </si>
  <si>
    <t>U05585_Tsai_2025.pdf</t>
  </si>
  <si>
    <t>U05600</t>
  </si>
  <si>
    <t>Behavior Emotion Therapy System and You: Co-Design and Evaluation of a Mental Health Chatbot and Digital Human for Mild to Moderate Anxiety in Healthy Participants</t>
  </si>
  <si>
    <t>Thunström</t>
  </si>
  <si>
    <t>10.2196/66163</t>
  </si>
  <si>
    <t>U05600_Thunstrom_2025.pdf</t>
  </si>
  <si>
    <t>U05606</t>
  </si>
  <si>
    <t>Benchmarking AI in Mental Health: A Critical Examination of LLMs Across Key Performance and Ethical Metrics</t>
  </si>
  <si>
    <t>Lecture Notes in Computer Science (including subseries Lecture Notes in Artificial Intelligence and Lecture Notes in Bioinformatics)</t>
  </si>
  <si>
    <t>10.1007/978-3-031-78104-9_24</t>
  </si>
  <si>
    <t>U05606_Yuan_2025.pdf</t>
  </si>
  <si>
    <t>U05611</t>
  </si>
  <si>
    <t>BetterMood: A human-like AI counseling service for adolescents and young adults</t>
  </si>
  <si>
    <t>10.1177/20552076251392294</t>
  </si>
  <si>
    <t>U05611_Kim_2025.pdf</t>
  </si>
  <si>
    <t>U05624</t>
  </si>
  <si>
    <t>Beyond the Dialogue: Multi-chatbot Group Motivational Interviewing for Premenstrual Syndrome (PMS) Management</t>
  </si>
  <si>
    <t>Geng</t>
  </si>
  <si>
    <t>10.1145/3706598.3713918</t>
  </si>
  <si>
    <t>U05624_Geng_2025.pdf</t>
  </si>
  <si>
    <t>U05629</t>
  </si>
  <si>
    <t>Beyond Words: Gaze-Enhanced LLM-based Dialogue System for Therapeutic Purposes</t>
  </si>
  <si>
    <t>Gabor-Siatkowska</t>
  </si>
  <si>
    <t>International Conference on Systems, Signals, and Image Processing</t>
  </si>
  <si>
    <t>10.1109/iwssip66997.2025.11151860</t>
  </si>
  <si>
    <t>U05629_Gabor-Siatkowska_2025.pdf</t>
  </si>
  <si>
    <t>U05643</t>
  </si>
  <si>
    <t>Breaking Language Barriers in Mental Health: A Multilingual Chatbot for Global Support</t>
  </si>
  <si>
    <t>Benita</t>
  </si>
  <si>
    <t>International Conference on Computational Robotics, Testing and Engineering Evaluation, ICCRTEE 2025</t>
  </si>
  <si>
    <t>10.1109/iccrtee64519.2025.11052936</t>
  </si>
  <si>
    <t>U05643_Benita_2025.pdf</t>
  </si>
  <si>
    <t>U05653</t>
  </si>
  <si>
    <t>Bridging Gender Disparities in Mental Health: A Bilingual Large Language Model for Multilingual Therapeutic Chatbots</t>
  </si>
  <si>
    <t>Elboardy</t>
  </si>
  <si>
    <t>22nd International Learning and Technology Conference: Human-Machine Dynamics Fueling a Sustainable Future, L and T 2025</t>
  </si>
  <si>
    <t>10.1109/lt64002.2025.10941308</t>
  </si>
  <si>
    <t>U05653_Elboardy_2025.pdf</t>
  </si>
  <si>
    <t>U05663</t>
  </si>
  <si>
    <t>Building a Digital Psychologist: An AI-Based Approach to Mental Health Support Using NLP and Therapeutic Models</t>
  </si>
  <si>
    <t>Sumitha</t>
  </si>
  <si>
    <t>2nd International Conference on Research Methodologies in Knowledge Management, Artificial Intelligence and Telecommunication Engineering, RMKMATE 2025</t>
  </si>
  <si>
    <t>10.1109/rmkmate64874.2025.11042414</t>
  </si>
  <si>
    <t>U05663_Sumitha_2025.pdf</t>
  </si>
  <si>
    <t>U05664</t>
  </si>
  <si>
    <t>Building a Digital Psychologist: An AI-Based Approach to Mental Health Support Using NLP And Therapeutic Models</t>
  </si>
  <si>
    <t>S. T</t>
  </si>
  <si>
    <t>2025 2nd International Conference on Research Methodologies in Knowledge Management, Artificial Intelligence and Telecommunication Engineering (RMKMATE)</t>
  </si>
  <si>
    <t>U05664_T_2025.pdf</t>
  </si>
  <si>
    <t>U05667</t>
  </si>
  <si>
    <t>Building and Beta-Testing Be Well Buddy Chatbot, a Secure, Credible and Trustworthy AI Chatbot That Will Not Misinform, Hallucinate or Stigmatize Substance Use Disorder: Development and Usability Study</t>
  </si>
  <si>
    <t>Salyers AJ</t>
  </si>
  <si>
    <t>JMIR Hum Factors</t>
  </si>
  <si>
    <t>10.2196/69144</t>
  </si>
  <si>
    <t>U05667_Salyers-AJ_2025.pdf</t>
  </si>
  <si>
    <t>U05669</t>
  </si>
  <si>
    <t>CACKS: Context-Adaptive Commonsense Knowledge Selection for Empathetic Dialogue Generation</t>
  </si>
  <si>
    <t>Y. Wang</t>
  </si>
  <si>
    <t>2025 44th Chinese Control Conference (CCC)</t>
  </si>
  <si>
    <t>10.23919/ccc64809.2025.11178883</t>
  </si>
  <si>
    <t>U05938_Tripathi_2025.pdf</t>
  </si>
  <si>
    <t>U05672</t>
  </si>
  <si>
    <t>Calm Companion - An Enhanced Chatbot For Mental Health Support</t>
  </si>
  <si>
    <t>Verma</t>
  </si>
  <si>
    <t>Proceedings - 2025 5th International Conference on Expert Clouds and Applications, ICOECA 2025</t>
  </si>
  <si>
    <t>10.1109/icoeca66273.2025.00046</t>
  </si>
  <si>
    <t>U05672_Verma_2025.pdf</t>
  </si>
  <si>
    <t>U05673</t>
  </si>
  <si>
    <t>CalmSphere: An AI for Mental Health</t>
  </si>
  <si>
    <t>Dhanyavarthini</t>
  </si>
  <si>
    <t>Proceedings of the 7th International Conference on Intelligent Sustainable Systems, ICISS 2025</t>
  </si>
  <si>
    <t>10.1109/iciss63372.2025.11076380</t>
  </si>
  <si>
    <t>U05673_Dhanyavarthini_2025.pdf</t>
  </si>
  <si>
    <t>U05674</t>
  </si>
  <si>
    <t>D. A S</t>
  </si>
  <si>
    <t>2025 7th International Conference on Intelligent Sustainable Systems (ICISS)</t>
  </si>
  <si>
    <t>U05674_S_2025.pdf</t>
  </si>
  <si>
    <t>U05675</t>
  </si>
  <si>
    <t>CAMI: A Counselor Agent Supporting Motivational Interviewing through State Inference and Topic Exploration</t>
  </si>
  <si>
    <t>10.18653/v1/2025.acl-long.1024</t>
  </si>
  <si>
    <t>U05675_Yang_2025.pdf</t>
  </si>
  <si>
    <t>U05676</t>
  </si>
  <si>
    <t>Camily: A BERT-Powered Chatbot for Employee Workplace Wellness</t>
  </si>
  <si>
    <t>Reji</t>
  </si>
  <si>
    <t>Proceedings of 5th International Conference on Pervasive Computing and Social Networking, ICPCSN 2025</t>
  </si>
  <si>
    <t>10.1109/icpcsn65854.2025.11035358</t>
  </si>
  <si>
    <t>U05676_Reji_2025.pdf</t>
  </si>
  <si>
    <t>U05680</t>
  </si>
  <si>
    <t>Can AI Models like ChatGPT and Gemini Dispel Myths About Children’s and Adolescents’ Mental Health? A Comparative Brief Report</t>
  </si>
  <si>
    <t>Prazeres</t>
  </si>
  <si>
    <t>Psychiatry International</t>
  </si>
  <si>
    <t>10.3390/psychiatryint6040135</t>
  </si>
  <si>
    <t>U05680_Prazeres_2025.pdf</t>
  </si>
  <si>
    <t>U05685</t>
  </si>
  <si>
    <t>Can an AI Chatbot Employ Psychological Counseling Techniques to Motivate Individuals to Receive Vaccinations?</t>
  </si>
  <si>
    <t>10.3233/shti251298</t>
  </si>
  <si>
    <t>U05685_Li_2025.pdf</t>
  </si>
  <si>
    <t>LINK:U06250</t>
  </si>
  <si>
    <t>Linked report of included study U06250</t>
  </si>
  <si>
    <t>U05696</t>
  </si>
  <si>
    <t>Can GPT-4 provide human-level emotion support? Insights from machine learning-based evaluation framework</t>
  </si>
  <si>
    <t>Dong</t>
  </si>
  <si>
    <t>Computers in Biology and Medicine</t>
  </si>
  <si>
    <t>10.1016/j.compbiomed.2025.110789</t>
  </si>
  <si>
    <t>U05696_Dong_2025.pdf</t>
  </si>
  <si>
    <t>U05708</t>
  </si>
  <si>
    <t>Can You Share Your Story? Modeling Clients' Metacognition and Openness for LLM Therapist Evaluation</t>
  </si>
  <si>
    <t>10.18653/v1/2025.findings-acl.1332</t>
  </si>
  <si>
    <t>U05708_Kim_2025.pdf</t>
  </si>
  <si>
    <t>U05713</t>
  </si>
  <si>
    <t>CareCompanion: Context-Aware Multi-Persona AI Chatbots as Emotional Support to Caregivers</t>
  </si>
  <si>
    <t>Xian Lam</t>
  </si>
  <si>
    <t>Proceedings of the IEEE International Conference on Service Operations and Logistics, and Informatics, SOLI</t>
  </si>
  <si>
    <t>10.1109/soli66289.2025.11396208</t>
  </si>
  <si>
    <t>U05713_Xian-Lam_2025.pdf</t>
  </si>
  <si>
    <t>U05714</t>
  </si>
  <si>
    <t>Career Advisory System Using LLM</t>
  </si>
  <si>
    <t>Habbu</t>
  </si>
  <si>
    <t>2025 Artificial Intelligence and Smart Technologies for Sustainability Conference, AISTS 2025</t>
  </si>
  <si>
    <t>10.1109/aists66100.2025.11232752</t>
  </si>
  <si>
    <t>U05714_Habbu_2025.pdf</t>
  </si>
  <si>
    <t>U05722</t>
  </si>
  <si>
    <t>CareerGenie: An AI - Driven Framework for Personalized Career Guidance</t>
  </si>
  <si>
    <t>Alwin Infant</t>
  </si>
  <si>
    <t>Proceedings of the 9th International Conference on I-SMAC (IoT in Social, Mobile, Analytics and Cloud), I-SMAC 2025</t>
  </si>
  <si>
    <t>10.1109/i-smac65734.2025.11597700</t>
  </si>
  <si>
    <t>U05722_Alwin-Infant_2025.pdf</t>
  </si>
  <si>
    <t>U05723</t>
  </si>
  <si>
    <t>A. I. P</t>
  </si>
  <si>
    <t>2025 9th International Conference on I-SMAC (IoT in Social, Mobile, Analytics and Cloud) (I-SMAC)</t>
  </si>
  <si>
    <t>U05723_P_2025.pdf</t>
  </si>
  <si>
    <t>U05724</t>
  </si>
  <si>
    <t>Caregiving Artificial Intelligence Chatbotfor OlderAdults and Their Preferences, Well-Being, and Social Connectivity: Mixed-Method Study</t>
  </si>
  <si>
    <t>Wolfe</t>
  </si>
  <si>
    <t>JOURNAL OF MEDICAL INTERNET RESEARCH</t>
  </si>
  <si>
    <t>10.2196/65776</t>
  </si>
  <si>
    <t>U05724_Wolfe_2025.pdf</t>
  </si>
  <si>
    <t>U05730</t>
  </si>
  <si>
    <t>CascadeRCG: Retrieval-Augmented Generation for Enhancing Professionalism and Knowledgeability in Online Mental Health Support</t>
  </si>
  <si>
    <t>10.1145/3701716.3715466</t>
  </si>
  <si>
    <t>U05730_Yang_2025.pdf</t>
  </si>
  <si>
    <t>U05732</t>
  </si>
  <si>
    <t>Case Study: Augmented Reality Enabled Mental Health Chatbot</t>
  </si>
  <si>
    <t>Global Clinical Engineering Journal</t>
  </si>
  <si>
    <t>10.31354/globalce.v7i2.229</t>
  </si>
  <si>
    <t>U05732_Kumar_2025.pdf</t>
  </si>
  <si>
    <t>U05735</t>
  </si>
  <si>
    <t>CATCH: A Novel Data Synthesis Framework for High Therapy Fidelity and Memory-Driven Planning Chain of Thought in AI Counseling</t>
  </si>
  <si>
    <t>EMNLP 2025 - 2025 Conference on Empirical Methods in Natural Language Processing, Findings of EMNLP 2025</t>
  </si>
  <si>
    <t>10.18653/v1/2025.findings-emnlp.543</t>
  </si>
  <si>
    <t>U05735_Chen_2025.pdf</t>
  </si>
  <si>
    <t>U05740</t>
  </si>
  <si>
    <t>Chain of Strategy Optimization Makes Large Language Models Better Emotional Supporter</t>
  </si>
  <si>
    <t>10.18653/v1/2025.findings-emnlp.831</t>
  </si>
  <si>
    <t>U05740_Zhao_2025.pdf</t>
  </si>
  <si>
    <t>U05742</t>
  </si>
  <si>
    <t>Challenges in Implementing a Mobile AI Chatbot Intervention for Depression Among Youth on Psychiatric Waiting Lists: Randomized Controlled Study Termination Report</t>
  </si>
  <si>
    <t>Fujita J</t>
  </si>
  <si>
    <t>JMIRx Med</t>
  </si>
  <si>
    <t>10.2196/70960</t>
  </si>
  <si>
    <t>U05742_Fujita-J_2025.pdf</t>
  </si>
  <si>
    <t>U05756</t>
  </si>
  <si>
    <t>Chatbot for Mental Health Support using Multimodal Sentiment Analysis</t>
  </si>
  <si>
    <t>10.1109/aists66100.2025.11232712</t>
  </si>
  <si>
    <t>U05756_Gupta_2025.pdf</t>
  </si>
  <si>
    <t>U05760</t>
  </si>
  <si>
    <t>Chatbot to Support the Mental Health Needs of Pregnant and Postpartum Women (Moment for Parents): Design and Pilot Study</t>
  </si>
  <si>
    <t>10.2196/72469</t>
  </si>
  <si>
    <t>U05760_McAlister_2025.pdf</t>
  </si>
  <si>
    <t>U05775</t>
  </si>
  <si>
    <t>Chatbots' Empathetic Conversations and Responses: A Qualitative Study of Help-Seeking Queries on Depressive Moods Across 8 Commercial Conversational Agents</t>
  </si>
  <si>
    <t>Chin</t>
  </si>
  <si>
    <t>10.2196/71538</t>
  </si>
  <si>
    <t>U05775_Chin_2025.pdf</t>
  </si>
  <si>
    <t>U05793</t>
  </si>
  <si>
    <t>ChatGPT as therapy: A qualitative and network-based thematic profiling of shared experiences, attitudes, and beliefs on Reddit</t>
  </si>
  <si>
    <t>Collins</t>
  </si>
  <si>
    <t>10.1016/j.jpsychires.2025.09.057</t>
  </si>
  <si>
    <t>U05793_Collins_2025.pdf</t>
  </si>
  <si>
    <t>U05801</t>
  </si>
  <si>
    <t>ChatGPT Simulated Patient: Use in Clinical Training in Psychology</t>
  </si>
  <si>
    <t>Sanz</t>
  </si>
  <si>
    <t>PSICOTHEMA</t>
  </si>
  <si>
    <t>10.70478/psicothema.2025.37.21</t>
  </si>
  <si>
    <t>U05801_Sanz_2025.pdf</t>
  </si>
  <si>
    <t>U05802</t>
  </si>
  <si>
    <t>ChatGPT Simulated Patient: Use in Clinical Training in Psychology; [Paciente Simulado con ChatGPT: Utilización en la Formación Clínica en Psicología]</t>
  </si>
  <si>
    <t>Psicothema</t>
  </si>
  <si>
    <t>U05802_Sanz_2025.pdf</t>
  </si>
  <si>
    <t>U05815</t>
  </si>
  <si>
    <t>Chatgpt-4.5 and the psychological requests</t>
  </si>
  <si>
    <t>De Lucia</t>
  </si>
  <si>
    <t>2025 IEEE 16th International Conference on Cognitive Infocommunications, CogInfoCom 2025</t>
  </si>
  <si>
    <t>10.1109/coginfocom66819.2025.11200648</t>
  </si>
  <si>
    <t>U05815_De-Lucia_2025.pdf</t>
  </si>
  <si>
    <t>U05818</t>
  </si>
  <si>
    <t>ChatGPT-Based Chatbot for Help Quitting Smoking via Text Messaging: An Interventional Study</t>
  </si>
  <si>
    <t>Abroms</t>
  </si>
  <si>
    <t>10.2196/79402</t>
  </si>
  <si>
    <t>U05818_Abroms_2025.pdf</t>
  </si>
  <si>
    <t>U05825</t>
  </si>
  <si>
    <t>Chatting your way to quitting: A longitudinal exploration of smokers' interaction with a cessation chatbot</t>
  </si>
  <si>
    <t>10.1016/j.invent.2025.100806</t>
  </si>
  <si>
    <t>U05825_He_2025.pdf</t>
  </si>
  <si>
    <t>U05842</t>
  </si>
  <si>
    <t>Clinician Perceptions of Socrates 2.0: A Multi-Agent Artificial Intelligence Tool to Facilitate Socratic Dialogue</t>
  </si>
  <si>
    <t>Cognitive and Behavioral Practice</t>
  </si>
  <si>
    <t>10.1016/j.cbpra.2025.10.001</t>
  </si>
  <si>
    <t>U05842_Held_2025.pdf</t>
  </si>
  <si>
    <t>U05844</t>
  </si>
  <si>
    <t>Co-design of a single session intervention chatbot for people on waitlists for eating disorder treatment: a qualitative interview and workshop study</t>
  </si>
  <si>
    <t>Journal of Eating Disorders</t>
  </si>
  <si>
    <t>10.1186/s40337-025-01225-x</t>
  </si>
  <si>
    <t>U05844_Sharp_2025.pdf</t>
  </si>
  <si>
    <t>U05845</t>
  </si>
  <si>
    <t>Co-designing a conversational generative artificial intelligence system for youth mental health</t>
  </si>
  <si>
    <t>10.1145/3706599.3719696</t>
  </si>
  <si>
    <t>U05845_Poulsen_2025.pdf</t>
  </si>
  <si>
    <t>U05862</t>
  </si>
  <si>
    <t>Combining Artificial Intelligence and Human Support in Mental Health: Digital Intervention With Comparable Effectiveness to Human-Delivered Care</t>
  </si>
  <si>
    <t>Palmer</t>
  </si>
  <si>
    <t>10.2196/69351</t>
  </si>
  <si>
    <t>U05862_Palmer_2025.pdf</t>
  </si>
  <si>
    <t>U05869</t>
  </si>
  <si>
    <t>Communication Errors in Human–Chatbot Interactions: A Case Study of ChatGPT Arabic Mental Health Support Inquiries</t>
  </si>
  <si>
    <t>Al-Otaibi</t>
  </si>
  <si>
    <t>10.3390/bs15081119</t>
  </si>
  <si>
    <t>U05869_Al-Otaibi_2025.pdf</t>
  </si>
  <si>
    <t>U05891</t>
  </si>
  <si>
    <t>Comparing Human Role-Players and LLM-Simulated Clients in Online Counselling Training: An Analysis of Counselling Patterns</t>
  </si>
  <si>
    <t>Rudolph</t>
  </si>
  <si>
    <t>Proceedings of the International Conference on Educational Data Mining</t>
  </si>
  <si>
    <t>10.5281/zenodo.15870260</t>
  </si>
  <si>
    <t>U05891_Rudolph_2025.pdf</t>
  </si>
  <si>
    <t>U05899</t>
  </si>
  <si>
    <t>Comparison of an AI Chatbot With a Nurse Hotline in Reducing Anxiety and Depression Levels in the General Population: Pilot Randomized Controlled Trial</t>
  </si>
  <si>
    <t>10.2196/65785</t>
  </si>
  <si>
    <t>U05899_Chen_2025.pdf</t>
  </si>
  <si>
    <t>U05927</t>
  </si>
  <si>
    <t>Constructing A Conversation-First Dialogue Model for Comprehensive, Evidence-Based Counseling for HPV Vaccination for Young Adults</t>
  </si>
  <si>
    <t>10.1007/978-3-031-93502-2_5</t>
  </si>
  <si>
    <t>U05927_Tang_2025.pdf</t>
  </si>
  <si>
    <t>U05932</t>
  </si>
  <si>
    <t>Context-Aware Emotional Support via BERT Fine-Tuning and Generative Dialogue Modeling</t>
  </si>
  <si>
    <t>Seb</t>
  </si>
  <si>
    <t>IEEE Asia Pacific Conference on Wireless and Mobile, APWiMob</t>
  </si>
  <si>
    <t>10.1109/apwimob67231.2025.11269133</t>
  </si>
  <si>
    <t>U05932_Seb_2025.pdf</t>
  </si>
  <si>
    <t>U05938</t>
  </si>
  <si>
    <t>Contextually Aware Mental Health Chatbots: Pairwise Learning in NLP and LSTM for Enhanced Conversational Support</t>
  </si>
  <si>
    <t>Tripathi</t>
  </si>
  <si>
    <t>10.1063/5.0255877</t>
  </si>
  <si>
    <t>020034_1_5.0255877.pdf</t>
  </si>
  <si>
    <t>U05945</t>
  </si>
  <si>
    <t>Conversational Agent-Based Mental Health Support for Students: Identifying Psychosocial Resources and Stressors with WUM</t>
  </si>
  <si>
    <t>Striegl</t>
  </si>
  <si>
    <t>10.1007/978-3-031-93505-3_17</t>
  </si>
  <si>
    <t>U05945_Striegl_2025.pdf</t>
  </si>
  <si>
    <t>U05966</t>
  </si>
  <si>
    <t>CounselAI: Transforming Career Counseling with Gen AI for Personalized Multilingual Guidance</t>
  </si>
  <si>
    <t>Bhargava</t>
  </si>
  <si>
    <t>Proceedings - 2025 16th International Conference on Software, Knowledge, Information Management and Applications, SKIMA 2025</t>
  </si>
  <si>
    <t>10.1109/skima66621.2025.11155519</t>
  </si>
  <si>
    <t>U05966_Bhargava_2025.pdf</t>
  </si>
  <si>
    <t>U05974</t>
  </si>
  <si>
    <t>Crisis Companion: AI-Powered Chatbot for Disaster Response and Therapy</t>
  </si>
  <si>
    <t>Thu</t>
  </si>
  <si>
    <t>2025 6th International Conference on Advanced Information Technologies, ICAIT 2025</t>
  </si>
  <si>
    <t>10.1109/icait68809.2025.11236743</t>
  </si>
  <si>
    <t>U05974_Thu_2025.pdf</t>
  </si>
  <si>
    <t>U05975</t>
  </si>
  <si>
    <t>CRISP: Cognitive Restructuring of Negative Thoughts through Multi-turn Supportive Dialogues</t>
  </si>
  <si>
    <t>EMNLP 2025 - 2025 Conference on Empirical Methods in Natural Language Processing, Proceedings of the Conference</t>
  </si>
  <si>
    <t>10.18653/v1/2025.emnlp-main.1652</t>
  </si>
  <si>
    <t>U05975_Zhou_2025.pdf</t>
  </si>
  <si>
    <t>U05988</t>
  </si>
  <si>
    <t>Customizable AI for Depression Care: Improving the User Experience of Large Language Model-Driven Chatbots</t>
  </si>
  <si>
    <t>DIS 2025 - Proceedings of the 2025 ACM Designing Interactive Systems Conference</t>
  </si>
  <si>
    <t>10.1145/3715336.3735795</t>
  </si>
  <si>
    <t>U05988_Li_2025.pdf</t>
  </si>
  <si>
    <t>U05989</t>
  </si>
  <si>
    <t>Customizing Emotional Support: How Do Individuals Construct and Interact With LLM-Powered Chatbots</t>
  </si>
  <si>
    <t>Zheng</t>
  </si>
  <si>
    <t>10.1145/3706598.3713453</t>
  </si>
  <si>
    <t>U05989_Zheng_2025.pdf</t>
  </si>
  <si>
    <t>U05994</t>
  </si>
  <si>
    <t>CyberConfucius: An Interactive Confucian Philosophical Counseling System for Mental Health</t>
  </si>
  <si>
    <t>UbiComp Companion 2025 - Companion of the 2025 ACM International Joint Conference on Pervasive and Ubiquitous Computing</t>
  </si>
  <si>
    <t>10.1145/3714394.3754364</t>
  </si>
  <si>
    <t>U05994_Zhao_2025.pdf</t>
  </si>
  <si>
    <t>U06003</t>
  </si>
  <si>
    <t>Data Privacy and Security Analysis for Mental Health Chatbot Applications</t>
  </si>
  <si>
    <t>Biswas</t>
  </si>
  <si>
    <t>ACM/IEEE International Conference on Human-Robot Interaction</t>
  </si>
  <si>
    <t>10.1109/hri61500.2025.10973904</t>
  </si>
  <si>
    <t>U06003_Biswas_2025.pdf</t>
  </si>
  <si>
    <t>U06015</t>
  </si>
  <si>
    <t>DecoupledESC: Enhancing Emotional Support Generation via Strategy-Response Decoupled Preference Optimization</t>
  </si>
  <si>
    <t>10.18653/v1/2025.findings-emnlp.1209</t>
  </si>
  <si>
    <t>U06015_Zhang_2025.pdf</t>
  </si>
  <si>
    <t>U06034</t>
  </si>
  <si>
    <t>DepLLM: Fine-Tuning Large Language Models with a Chinese Dialogue Dataset for Depression Diagnosis via Mixture of Specialized Experts</t>
  </si>
  <si>
    <t>10.1007/978-981-96-5084-2_16</t>
  </si>
  <si>
    <t>U06034_Xiong_2025.pdf</t>
  </si>
  <si>
    <t>U06035</t>
  </si>
  <si>
    <t>Deploying a Mental Health Chatbot in Higher Education: The Development and Evaluation of Luna, an AI-Based Mental Health Support System</t>
  </si>
  <si>
    <t>Olla</t>
  </si>
  <si>
    <t>10.3390/computers14060227</t>
  </si>
  <si>
    <t>U06035_Olla_2025.pdf</t>
  </si>
  <si>
    <t>U06042</t>
  </si>
  <si>
    <t>Depression intervention using AI chatbots with social cues: a randomized trial of effectiveness</t>
  </si>
  <si>
    <t>Journal of Affective Disorders</t>
  </si>
  <si>
    <t>10.1016/j.jad.2025.119760</t>
  </si>
  <si>
    <t>U06042_Xu_2025.pdf</t>
  </si>
  <si>
    <t>U06052</t>
  </si>
  <si>
    <t>Design and Evaluation of a Virtual Agent for Interpersonal Emotion Regulation in VR</t>
  </si>
  <si>
    <t>Proceedings - 2025 IEEE International Symposium on Mixed and Augmented Reality, ISMAR 2025</t>
  </si>
  <si>
    <t>10.1109/ismar67309.2025.00159</t>
  </si>
  <si>
    <t>U06052_Kang_2025.pdf</t>
  </si>
  <si>
    <t>U06054</t>
  </si>
  <si>
    <t>Design and Implementation of a Rasa-Based Chatbot for Mental Health Support</t>
  </si>
  <si>
    <t>Dhiman</t>
  </si>
  <si>
    <t>Proceedings - 2025 5th International Conference on Internet of Things: Smart Innovation and Usage, IoT-SIU 2025</t>
  </si>
  <si>
    <t>10.1109/iot-siu65919.2025.11402858</t>
  </si>
  <si>
    <t>U06054_Dhiman_2025.pdf</t>
  </si>
  <si>
    <t>U06069</t>
  </si>
  <si>
    <t>Designing an AI companion to support informal caregivers in role transition: insights from a design science approach</t>
  </si>
  <si>
    <t>BMC Nursing</t>
  </si>
  <si>
    <t>10.1186/s12912-025-03868-2</t>
  </si>
  <si>
    <t>U06069_Walter_2025.pdf</t>
  </si>
  <si>
    <t>U06070</t>
  </si>
  <si>
    <t>Designing an Empathetic Conversational Agent for Student Mental Health: A Pilot Study</t>
  </si>
  <si>
    <t>Minami</t>
  </si>
  <si>
    <t>International Journal of Advanced Computer Science and Applications</t>
  </si>
  <si>
    <t>10.14569/ijacsa.2025.0160702</t>
  </si>
  <si>
    <t>U06070_Minami_2025.pdf</t>
  </si>
  <si>
    <t>U06071</t>
  </si>
  <si>
    <t>Designing an Inclusive Personalized Guided Mindfulness Chatbot for Stress Management</t>
  </si>
  <si>
    <t>Naidu</t>
  </si>
  <si>
    <t>Proceedings - 2025 Artificial Intelligence x Humanities, Education, and Art, AIxHEART 2025</t>
  </si>
  <si>
    <t>10.1109/aixheart65685.2025.00026</t>
  </si>
  <si>
    <t>U06071_Naidu_2025.pdf</t>
  </si>
  <si>
    <t>U06076</t>
  </si>
  <si>
    <t>DESIGNING CONVERSATIONAL WELLNESS INTERFACES: EMOTION-AWARE DIGITAL COMPANIONS FOR MENTAL WELL-BEING</t>
  </si>
  <si>
    <t>Patil</t>
  </si>
  <si>
    <t>ShodhKosh: Journal of Visual and Performing Arts</t>
  </si>
  <si>
    <t>10.29121/shodhkosh.v6.i5s.2025.6962</t>
  </si>
  <si>
    <t>U06076_Patil_2025.pdf</t>
  </si>
  <si>
    <t>U06077</t>
  </si>
  <si>
    <t>Designing curiosity-driven AI chatbots for non-technical fields: A design science approach to supporting school counselors</t>
  </si>
  <si>
    <t>Crandall</t>
  </si>
  <si>
    <t>Issues in Information Systems</t>
  </si>
  <si>
    <t>10.48009/3_iis_2025_2025_101</t>
  </si>
  <si>
    <t>3_iis_2025_1-14 (1).pdf</t>
  </si>
  <si>
    <t>U06079</t>
  </si>
  <si>
    <t>Designing digital conversational agents for youth with multiple mental health conditions: Insights on key features from a youth-engaged qualitative descriptive study</t>
  </si>
  <si>
    <t>10.1177/20552076251330550</t>
  </si>
  <si>
    <t>U06079_Hou_2025.pdf</t>
  </si>
  <si>
    <t>U06081</t>
  </si>
  <si>
    <t>Designing Human-Centric AI Mental Health Chatbots: A Case Study of Two Apps</t>
  </si>
  <si>
    <t>10.1007/978-981-96-1747-0_36</t>
  </si>
  <si>
    <t>U06081_Lee_2025.pdf</t>
  </si>
  <si>
    <t>U06105</t>
  </si>
  <si>
    <t>Determinants of Dropout From a Virtual Agent–Based App for Insomnia Management in a Self-Selected Sample of Users With Insomnia Symptoms: Longitudinal Study</t>
  </si>
  <si>
    <t>Ortuño</t>
  </si>
  <si>
    <t>10.2196/51022</t>
  </si>
  <si>
    <t>U06105_Ortuno_2025.pdf</t>
  </si>
  <si>
    <t>U06108</t>
  </si>
  <si>
    <t>Developing 'Dr. Calm': An AI-Driven Chatbot for University Student Mental Health Support [WIP]</t>
  </si>
  <si>
    <t>Wahid</t>
  </si>
  <si>
    <t>16th International Conference on Information, Intelligence, Systems and Applications, IISA 2025</t>
  </si>
  <si>
    <t>10.1109/iisa66859.2025.11311209</t>
  </si>
  <si>
    <t>U06108_Wahid_2025.pdf</t>
  </si>
  <si>
    <t>U06118</t>
  </si>
  <si>
    <t>Development and Evaluation of a Mental Health Chatbot Using ChatGPT 4.0: Mixed Methods User Experience Study With Korean Users</t>
  </si>
  <si>
    <t>10.2196/63538</t>
  </si>
  <si>
    <t>U06118_Kang_2025.pdf</t>
  </si>
  <si>
    <t>U06121</t>
  </si>
  <si>
    <t>Development and evaluation of LLM-based suicide intervention chatbot</t>
  </si>
  <si>
    <t>Cui</t>
  </si>
  <si>
    <t>10.3389/fpsyt.2025.1634714</t>
  </si>
  <si>
    <t>U06121_Cui_2025.pdf</t>
  </si>
  <si>
    <t>U06124</t>
  </si>
  <si>
    <t>Development and preliminary testing of a secure large language model-based chatbot for brief alcohol counseling in young adults</t>
  </si>
  <si>
    <t>Drug and Alcohol Dependence</t>
  </si>
  <si>
    <t>10.1016/j.drugalcdep.2025.112697</t>
  </si>
  <si>
    <t>U06124_Suffoletto_2025.pdf</t>
  </si>
  <si>
    <t>U06131</t>
  </si>
  <si>
    <t>Development of a Comprehensive Evaluation Scale for LLM-Powered Counseling Chatbots (CES-LCC) Using the eDelphi Method</t>
  </si>
  <si>
    <t>Informatics</t>
  </si>
  <si>
    <t>10.3390/informatics12010033</t>
  </si>
  <si>
    <t>U06131_Bolpagni_2025.pdf</t>
  </si>
  <si>
    <t>U06133</t>
  </si>
  <si>
    <t>Development of a Mobile Intervention for Procrastination Augmented With a Semigenerative Chatbot for University Students: Pilot Randomized Controlled Trial</t>
  </si>
  <si>
    <t>10.2196/53133</t>
  </si>
  <si>
    <t>U06133_Lee_2025.pdf</t>
  </si>
  <si>
    <t>U06134</t>
  </si>
  <si>
    <t>Development of a Multimodal Virtual Agent Utilizing a Fine-Tuned Large Language Model for Transformative Mental Health Support at Chinhoyi Provincial Hospital</t>
  </si>
  <si>
    <t>Makaza</t>
  </si>
  <si>
    <t>Proceedings of the 2025 4th Zimbabwe Conference of Information and Communication Technologies, ZCICT 2025</t>
  </si>
  <si>
    <t>10.1109/zcict67553.2025.11502685</t>
  </si>
  <si>
    <t>U06134_Makaza_2025.pdf</t>
  </si>
  <si>
    <t>U06140</t>
  </si>
  <si>
    <t>Development of a Voice-Activated Virtual Assistant to Improve Insomnia Among Young Adult Cancer Survivors: Mixed Methods Feasibility and Acceptability Study</t>
  </si>
  <si>
    <t>Groninger</t>
  </si>
  <si>
    <t>10.2196/64869</t>
  </si>
  <si>
    <t>U06140_Groninger_2025.pdf</t>
  </si>
  <si>
    <t>U06143</t>
  </si>
  <si>
    <t>Development of Mental Health Prediction App for the Depression Assistance Based on AI Chatbot</t>
  </si>
  <si>
    <t>2025 International Conference on Engineering Innovations and Technologies, ICoEIT 2025</t>
  </si>
  <si>
    <t>10.1109/icoeit63558.2025.11211786</t>
  </si>
  <si>
    <t>U06143_Singh_2025.pdf</t>
  </si>
  <si>
    <t>U06153</t>
  </si>
  <si>
    <t>Dialogue Systems for Emotional Support via Value Reinforcement</t>
  </si>
  <si>
    <t>10.18653/v1/2025.acl-long.1395</t>
  </si>
  <si>
    <t>U06153_Kim_2025.pdf</t>
  </si>
  <si>
    <t>U06161</t>
  </si>
  <si>
    <t>Digital psychological support for students under martial law using a chatbot, as an analog of signal filtering in communication systems</t>
  </si>
  <si>
    <t>Kabak</t>
  </si>
  <si>
    <t>10.1117/12.3092576</t>
  </si>
  <si>
    <t>U06161_Kabak_2025.pdf</t>
  </si>
  <si>
    <t>U06165</t>
  </si>
  <si>
    <t>Digital-Twin System based on Chatbot Framework with Self-Attention Mechanism for Early Mental Illness Detection</t>
  </si>
  <si>
    <t>Chary Marrelli</t>
  </si>
  <si>
    <t>3rd International Conference on Data Science and Information System, ICDSIS 2025</t>
  </si>
  <si>
    <t>10.1109/icdsis65355.2025.11070974</t>
  </si>
  <si>
    <t>U06165_Chary-Marrelli_2025.pdf</t>
  </si>
  <si>
    <t>U06191</t>
  </si>
  <si>
    <t>Does the AI-driven Chatbot Work? Effectiveness of the Woebot app in reducing anxiety and depression in group counseling courses and student acceptance of technological aids</t>
  </si>
  <si>
    <t>Yeh</t>
  </si>
  <si>
    <t>Current Psychology</t>
  </si>
  <si>
    <t>10.1007/s12144-025-07359-0</t>
  </si>
  <si>
    <t>U06191_Yeh_2025.pdf</t>
  </si>
  <si>
    <t>U06193</t>
  </si>
  <si>
    <t>Domain-Specific Constitutional AI: Enhancing Safety in LLM-Powered Mental Health Chatbots</t>
  </si>
  <si>
    <t>Lyu</t>
  </si>
  <si>
    <t>2025 IEEE 21st International Conference on Body Sensor Networks, IEEE BSN 2025</t>
  </si>
  <si>
    <t>10.1109/bsn66969.2025.11337405</t>
  </si>
  <si>
    <t>U06193_Lyu_2025.pdf</t>
  </si>
  <si>
    <t>U06206</t>
  </si>
  <si>
    <t>Dynamic Strategy Prompt Reasoning for Emotional Support Conversation</t>
  </si>
  <si>
    <t>Y. Liu</t>
  </si>
  <si>
    <t>IEEE Transactions on Multimedia</t>
  </si>
  <si>
    <t>10.1109/tmm.2024.3521669</t>
  </si>
  <si>
    <t>U06206_Liu_2025.pdf</t>
  </si>
  <si>
    <t>U06207</t>
  </si>
  <si>
    <t>Dynamic Therapeutic Style Adaptation in LLM-based Chatbots: A Psychologist ChatBot</t>
  </si>
  <si>
    <t>Chandan</t>
  </si>
  <si>
    <t>Proceedings of 2025 IEEE 22nd India Council International Conference, INDICON 2025</t>
  </si>
  <si>
    <t>10.1109/indicon68490.2025.11392985</t>
  </si>
  <si>
    <t>U06207_Chandan_2025.pdf</t>
  </si>
  <si>
    <t>U06215</t>
  </si>
  <si>
    <t>Early Mental Health Detection and Emotional States in Teenagers Through Chatbot Systems Using Natural Language Processing (NLP) †</t>
  </si>
  <si>
    <t>Kamdan</t>
  </si>
  <si>
    <t>Engineering Proceedings</t>
  </si>
  <si>
    <t>10.3390/engproc2025107064</t>
  </si>
  <si>
    <t>U06215_Kamdan_2025.pdf</t>
  </si>
  <si>
    <t>U06219</t>
  </si>
  <si>
    <t>eCBT-I dialogue system: a comparative evaluation of large language models and adaptation strategies for insomnia treatment</t>
  </si>
  <si>
    <t>Bao</t>
  </si>
  <si>
    <t>Journal of Translational Medicine</t>
  </si>
  <si>
    <t>10.1186/s12967-025-06871-y</t>
  </si>
  <si>
    <t>U06219_Bao_2025.pdf</t>
  </si>
  <si>
    <t>U06229</t>
  </si>
  <si>
    <t>Educational-Psychological Dialogue Robot Based on Multi-agent Collaboration</t>
  </si>
  <si>
    <t>Ni</t>
  </si>
  <si>
    <t>10.1007/978-981-96-1151-5_12</t>
  </si>
  <si>
    <t>U06229_Ni_2025.pdf</t>
  </si>
  <si>
    <t>U06233</t>
  </si>
  <si>
    <t>Effect of a ChatGPT-based digital counseling intervention on anxiety and depression in patients with cancer: A prospective, randomized trial</t>
  </si>
  <si>
    <t>Akdogan</t>
  </si>
  <si>
    <t>European Journal of Cancer</t>
  </si>
  <si>
    <t>10.1016/j.ejca.2025.115408</t>
  </si>
  <si>
    <t>U06233_Akdogan_2025.pdf</t>
  </si>
  <si>
    <t>U06234</t>
  </si>
  <si>
    <t>Effect of a Cognitive Behavioral Therapy–Based AI Chatbot on Depression and Loneliness in Chinese University Students: Randomized Controlled Trial With Financial Stress Moderation</t>
  </si>
  <si>
    <t>10.2196/63806</t>
  </si>
  <si>
    <t>U06234_Wang_2025.pdf</t>
  </si>
  <si>
    <t>U06235</t>
  </si>
  <si>
    <t>Effect of an AI agent trained on a large language model (LLM) as an intervention for depression and anxiety symptoms in young adults: A 28-day randomized controlled trial</t>
  </si>
  <si>
    <t>10.1111/aphw.70067</t>
  </si>
  <si>
    <t>U06235_Zhao_2025.pdf</t>
  </si>
  <si>
    <t>U06246</t>
  </si>
  <si>
    <t>Effectiveness of Topic-Based Chatbots on Mental Health Self-Care and Mental Well-Being: Randomized Controlled Trial</t>
  </si>
  <si>
    <t>Tong</t>
  </si>
  <si>
    <t>10.2196/70436</t>
  </si>
  <si>
    <t>U06246_Tong_2025.pdf</t>
  </si>
  <si>
    <t>U06250</t>
  </si>
  <si>
    <t>Effects of a Theory- and Evidence-Based, Motivational Interviewing–Oriented Artificial Intelligence Digital Assistant on Vaccine Attitudes: A Randomized Controlled Trial</t>
  </si>
  <si>
    <t>10.2196/72637</t>
  </si>
  <si>
    <t>U06250_Li_2025.pdf</t>
  </si>
  <si>
    <t>U06267</t>
  </si>
  <si>
    <t>Elevate - An Intelligent Companion for Mental Wellness</t>
  </si>
  <si>
    <t>Roshini</t>
  </si>
  <si>
    <t>10.1109/icdsaai65575.2025.11011834</t>
  </si>
  <si>
    <t>U06267_Roshini_2025.pdf</t>
  </si>
  <si>
    <t>U06268</t>
  </si>
  <si>
    <t>R. S</t>
  </si>
  <si>
    <t>U06268_S_2025.pdf</t>
  </si>
  <si>
    <t>U06273</t>
  </si>
  <si>
    <t>Embodied Multimodal Chatbot for Mental Health Support in Web-Based 3D Environments</t>
  </si>
  <si>
    <t>Pinto</t>
  </si>
  <si>
    <t>2025 33rd International Conference on Software, Telecommunications and Computer Networks, SoftCOM 2025</t>
  </si>
  <si>
    <t>10.23919/softcom66362.2025.11197343</t>
  </si>
  <si>
    <t>U06273_Pinto_2025.pdf</t>
  </si>
  <si>
    <t>U06276</t>
  </si>
  <si>
    <t>EMO-Avatar: An LLM-Agent-Orchestrated Framework for Multimodal Emotional Support in Human Animation</t>
  </si>
  <si>
    <t>MM 2025 - Proceedings of the 33rd ACM International Conference on Multimedia, Co-Located with MM 2025</t>
  </si>
  <si>
    <t>10.1145/3746027.3762030</t>
  </si>
  <si>
    <t>U06276_Chen_2025.pdf</t>
  </si>
  <si>
    <t>U06277</t>
  </si>
  <si>
    <t>EmoAgent: Assessing and Safeguarding Human-AI Interaction for Mental Health Safety</t>
  </si>
  <si>
    <t>10.18653/v1/2025.emnlp-main.594</t>
  </si>
  <si>
    <t>U06277_Qiu_2025.pdf</t>
  </si>
  <si>
    <t>U06278</t>
  </si>
  <si>
    <t>EmoCare: A Lightweight Emotion-Aware Chatbot for Mental Health Support using Multi-LLM Context Escalation</t>
  </si>
  <si>
    <t>Tejeswini</t>
  </si>
  <si>
    <t>Proceedings of the 6th International Conference on Electronics and Sustainable Communication Systems, ICESC 2025</t>
  </si>
  <si>
    <t>10.1109/icesc65114.2025.11212363</t>
  </si>
  <si>
    <t>U06278_Tejeswini_2025.pdf</t>
  </si>
  <si>
    <t>U06279</t>
  </si>
  <si>
    <t>EmoDynamiX: Emotional Support Dialogue Strategy Prediction by Modelling MiXed Emotions and Discourse Dynamics</t>
  </si>
  <si>
    <t>Wan</t>
  </si>
  <si>
    <t>Proceedings of the 2025 Annual Conference of the Nations of the Americas Chapter of the Association for Computational Linguistics: Human Language Technologies: Long Papers, NAACL-HLT 2025</t>
  </si>
  <si>
    <t>10.18653/v1/2025.naacl-long.81</t>
  </si>
  <si>
    <t>U06279_Wan_2025.pdf</t>
  </si>
  <si>
    <t>U06282</t>
  </si>
  <si>
    <t>Emotibuddie: A Generative AI Companion for Emotional Stress Monitoring and Mental Wellness Support</t>
  </si>
  <si>
    <t>4th International Conference on Applied Artificial Intelligence and Computing, ICAAIC 2025</t>
  </si>
  <si>
    <t>10.1109/icaaic64647.2025.11330368</t>
  </si>
  <si>
    <t>U06282_Rajkumar_2025.pdf</t>
  </si>
  <si>
    <t>U06283</t>
  </si>
  <si>
    <t>EmotiCare: An Emotion-Aware Conversational Agent for Mental Health Support</t>
  </si>
  <si>
    <t>Proceedings of the 7th International Conference on Innovative Data Communication Technologies and Application, ICIDCA 2025</t>
  </si>
  <si>
    <t>10.1109/icidca66325.2025.11280317</t>
  </si>
  <si>
    <t>U06283_Mary-Valentina-Janet_2025.pdf</t>
  </si>
  <si>
    <t>U06284</t>
  </si>
  <si>
    <t>2025 7th International Conference on Innovative Data Communication Technologies and Application (ICIDCA)</t>
  </si>
  <si>
    <t>U06284_A_2025.pdf</t>
  </si>
  <si>
    <t>U06286</t>
  </si>
  <si>
    <t>Emotion Aware Chatbot-Echosense using AI</t>
  </si>
  <si>
    <t>Sridharan</t>
  </si>
  <si>
    <t>2025 IEEE 1st International Conference on Innovations in Engineering and Next-Generation Technologies for Sustainability, ICINVENTS 2025</t>
  </si>
  <si>
    <t>10.1109/icinvents64613.2025.11401596</t>
  </si>
  <si>
    <t>U06286_Sridharan_2025.pdf</t>
  </si>
  <si>
    <t>U06287</t>
  </si>
  <si>
    <t>Emotion Aware Chatbot-Echosense Using AI</t>
  </si>
  <si>
    <t>S. K</t>
  </si>
  <si>
    <t>2025 IEEE First International Conference on Innovations in Engineering and Next-Generation Technologies for Sustainability (ICINVENTS)</t>
  </si>
  <si>
    <t>U06287_K_2025.pdf</t>
  </si>
  <si>
    <t>U06288</t>
  </si>
  <si>
    <t>Emotion Aware Therapeutic Conversational Agent: A Multimodal Approach to Mental Health Support</t>
  </si>
  <si>
    <t>Barnawal</t>
  </si>
  <si>
    <t>2025 2nd International Conference on Circuits, Power, and Intelligent Systems, CCPIS 2025</t>
  </si>
  <si>
    <t>10.1109/ccpis65231.2025.11234184</t>
  </si>
  <si>
    <t>U06288_Barnawal_2025.pdf</t>
  </si>
  <si>
    <t>U06290</t>
  </si>
  <si>
    <t>Emotion Detection and Empathetic Response Generation in Bengali Chatbots with Transformer Based mBERT</t>
  </si>
  <si>
    <t>Oishi</t>
  </si>
  <si>
    <t>2025 28th International Conference on Computer and Information Technology, ICCIT 2025</t>
  </si>
  <si>
    <t>10.1109/iccit68739.2025.11490177</t>
  </si>
  <si>
    <t>U06290_Oishi_2025.pdf</t>
  </si>
  <si>
    <t>U06297</t>
  </si>
  <si>
    <t>Emotion-Aware Conversational Agents for Psychological Support During Crisis Response</t>
  </si>
  <si>
    <t>Boob</t>
  </si>
  <si>
    <t>IEEE International Conference on Innovate for Humanitarian: Tech Solutions for Global Challenge, ICIH 2025</t>
  </si>
  <si>
    <t>10.1109/icih67754.2025.11608812</t>
  </si>
  <si>
    <t>U06297_Boob_2025.pdf</t>
  </si>
  <si>
    <t>U06298</t>
  </si>
  <si>
    <t>Emotion-Aware Embedding Fusion in Large Language Models (Flan-T5, Llama 2, DeepSeek-R1, and ChatGPT 4) for Intelligent Response Generation</t>
  </si>
  <si>
    <t>Rasool</t>
  </si>
  <si>
    <t>10.3390/ai6030056</t>
  </si>
  <si>
    <t>U06298_Rasool_2025.pdf</t>
  </si>
  <si>
    <t>U06299</t>
  </si>
  <si>
    <t>Emotion-Aware Multimodal Healthcare Chatbot with Contextual Memory and Symptom-Based Assistance</t>
  </si>
  <si>
    <t>R. Kavudamalya</t>
  </si>
  <si>
    <t>2025 10th International Conference on Smart Structures and Systems (ICSSS)</t>
  </si>
  <si>
    <t>10.1109/icsss66939.2025.11346109</t>
  </si>
  <si>
    <t>U06299_Kavudamalya_2025.pdf</t>
  </si>
  <si>
    <t>U06301</t>
  </si>
  <si>
    <t>Emotion-aware psychological first aid: Integrating BERT-based emotional distress detection with Psychological First Aid-Generative Pre-Trained Transformer chatbot for mental health support</t>
  </si>
  <si>
    <t>Taiwo</t>
  </si>
  <si>
    <t>Cognitive Computation and Systems</t>
  </si>
  <si>
    <t>10.1049/ccs2.12116</t>
  </si>
  <si>
    <t>U06301_Taiwo_2025.pdf</t>
  </si>
  <si>
    <t>U06303</t>
  </si>
  <si>
    <t>Emotion-Driven Conversational AI: Speech Recognition and Response with Emotional Intonation</t>
  </si>
  <si>
    <t>Namratha</t>
  </si>
  <si>
    <t>Proceedings of the 2025 3rd International Conference on Inventive Computing and Informatics, ICICI 2025</t>
  </si>
  <si>
    <t>10.1109/icici65870.2025.11069581</t>
  </si>
  <si>
    <t>U06303_Namratha_2025.pdf</t>
  </si>
  <si>
    <t>U06304</t>
  </si>
  <si>
    <t>N. B.</t>
  </si>
  <si>
    <t>2025 3rd International Conference on Inventive Computing and Informatics (ICICI)</t>
  </si>
  <si>
    <t>U06304_B_2025.pdf</t>
  </si>
  <si>
    <t>U06310</t>
  </si>
  <si>
    <t>Emotional Intelligence in Chatbots: A Study on Enhancing User Experience with Llama3 and Ollama</t>
  </si>
  <si>
    <t>Suresh</t>
  </si>
  <si>
    <t>2025 IEEE International Conference on Interdisciplinary Approaches in Technology and Management for Social Innovation, IATMSI 2025</t>
  </si>
  <si>
    <t>10.1109/iatmsi64286.2025.10984885</t>
  </si>
  <si>
    <t>U06310_Suresh_2025.pdf</t>
  </si>
  <si>
    <t>U06314</t>
  </si>
  <si>
    <t>Emotional Resonance and Self-Esteem: The Role of Humanlike Competencies From Mental Health Chatbots</t>
  </si>
  <si>
    <t>Shan</t>
  </si>
  <si>
    <t>IEEE Transactions on Engineering Management</t>
  </si>
  <si>
    <t>10.1109/tem.2025.3625427</t>
  </si>
  <si>
    <t>U06314_Shan_2025.pdf</t>
  </si>
  <si>
    <t>U06316</t>
  </si>
  <si>
    <t>Emotional Support Originating from Dialogue: Empowering Older Adults' Self-Tracking of Sleep-Related Daytime Factors</t>
  </si>
  <si>
    <t>10.1145/3714394.3754418</t>
  </si>
  <si>
    <t>U06316_Du_2025.pdf</t>
  </si>
  <si>
    <t>U06318</t>
  </si>
  <si>
    <t>Emotionally Intelligent Chatbots: Enhancing Human-Machine Interaction using BERT Transformer</t>
  </si>
  <si>
    <t>A. Tiwari</t>
  </si>
  <si>
    <t>2025 6th International Conference on Control, Communication and Computing (ICCC)</t>
  </si>
  <si>
    <t>10.1109/iccc64910.2025.11077345</t>
  </si>
  <si>
    <t>U06318_Tiwari_2025.pdf</t>
  </si>
  <si>
    <t>U06319</t>
  </si>
  <si>
    <t>Emotionally Intelligent Customizable Conversational Agent for Elderly Care: Development and Impact of Chatto</t>
  </si>
  <si>
    <t>Mendes</t>
  </si>
  <si>
    <t>ACM International Conference Proceeding Series</t>
  </si>
  <si>
    <t>10.1145/3696593.3696619</t>
  </si>
  <si>
    <t>U06319_Mendes_2025.pdf</t>
  </si>
  <si>
    <t>U06327</t>
  </si>
  <si>
    <t>EmpathAI: A Trustworthy and Secure Conversational Agent for Mental Healthcare</t>
  </si>
  <si>
    <t>Seth</t>
  </si>
  <si>
    <t>Proceedings - 2025 Annual Computer Security Applications Conference Workshops, ACSACW 2025</t>
  </si>
  <si>
    <t>10.1109/acsacw69556.2025.00038</t>
  </si>
  <si>
    <t>U06327_Seth_2025.pdf</t>
  </si>
  <si>
    <t>U06328</t>
  </si>
  <si>
    <t>Empathetic AI for Mental Health: A Comparative Study of Retrieval-Augmented Language Models in CBT Applications</t>
  </si>
  <si>
    <t>Yahia</t>
  </si>
  <si>
    <t>3rd International Conference on Intelligent Methods, Systems and Applications, IMSA 2025</t>
  </si>
  <si>
    <t>10.1109/imsa65733.2025.11166690</t>
  </si>
  <si>
    <t>U06328_Yahia_2025.pdf</t>
  </si>
  <si>
    <t>U06331</t>
  </si>
  <si>
    <t>Empathetic Conversations in Mental Health: Fine-Tuning LLMs for Supportive AI Interactions</t>
  </si>
  <si>
    <t>Mundargi</t>
  </si>
  <si>
    <t>10.1007/978-981-97-8031-0_12</t>
  </si>
  <si>
    <t>U06331_Mundargi_2025.pdf</t>
  </si>
  <si>
    <t>U06332</t>
  </si>
  <si>
    <t>Empathizing Before Generation: A Double-Layered Framework for Emotional Support LLM</t>
  </si>
  <si>
    <t>10.1007/978-981-97-8490-5_35</t>
  </si>
  <si>
    <t>U06332_Zhu_2025.pdf</t>
  </si>
  <si>
    <t>U06333</t>
  </si>
  <si>
    <t>EmpathVA: An AI-Enhanced Virtual Assistant for Victims of Digital Harassment Using XGBoost and LSTM Modified Technique</t>
  </si>
  <si>
    <t>Rangdale</t>
  </si>
  <si>
    <t>2025 4th OPJU International Technology Conference on Smart Computing for Innovation and Advancement in Industry 5.0, OTCON 2025</t>
  </si>
  <si>
    <t>10.1109/otcon65728.2025.11070768</t>
  </si>
  <si>
    <t>U06333_Rangdale_2025.pdf</t>
  </si>
  <si>
    <t>U06335</t>
  </si>
  <si>
    <t>Empathy Level Alignment via Reinforcement Learning for Empathetic Response Generation</t>
  </si>
  <si>
    <t>10.1109/taffc.2025.3544594</t>
  </si>
  <si>
    <t>U06335_Ma_2025.pdf</t>
  </si>
  <si>
    <t>U06336</t>
  </si>
  <si>
    <t>Empathy-Enhanced Chatbot for Psychological Support: A Retrieval-Augmented and Therapy-Informed Approach</t>
  </si>
  <si>
    <t>ICHMS 2025 - 5th IEEE International Conference on Human-Machine Systems: AI and Large Language Models: Transforming Human-Machine Interactions</t>
  </si>
  <si>
    <t>10.1109/ichms65439.2025.11154144</t>
  </si>
  <si>
    <t>U06336_Chen_2025.pdf</t>
  </si>
  <si>
    <t>U06337</t>
  </si>
  <si>
    <t>EmpLLM: Enhancing Empathy in LLMs Through Psychologist Simulation</t>
  </si>
  <si>
    <t>10.1007/978-981-96-5123-8_14</t>
  </si>
  <si>
    <t>U06337_Wang_2025.pdf</t>
  </si>
  <si>
    <t>U06342</t>
  </si>
  <si>
    <t>Empowering pediatric, adolescent, and young adult patients with cancer utilizing generative AI chatbots to reduce psychological burden and enhance treatment engagement: a pilot study</t>
  </si>
  <si>
    <t>Hasei</t>
  </si>
  <si>
    <t>10.3389/fdgth.2025.1543543</t>
  </si>
  <si>
    <t>U06342_Hasei_2025.pdf</t>
  </si>
  <si>
    <t>U06347</t>
  </si>
  <si>
    <t>EmpowerMind: Accessible Mental Health Support App for Adolescents and PwDs</t>
  </si>
  <si>
    <t>2025 2nd International Conference on New Frontiers in Communication, Automation, Management and Security, ICCAMS 2025</t>
  </si>
  <si>
    <t>10.1109/iccams65118.2025.11234602</t>
  </si>
  <si>
    <t>U06347_Saravanan_2025.pdf</t>
  </si>
  <si>
    <t>U06348</t>
  </si>
  <si>
    <t>2025 2nd International Conference on New Frontiers in Communication, Automation, Management and Security (ICCAMS)</t>
  </si>
  <si>
    <t>U06348_S_2025.pdf</t>
  </si>
  <si>
    <t>U06355</t>
  </si>
  <si>
    <t>Engagement and Disclosures in LLM-Powered Cognitive Behavioral Therapy Exercises: A Factorial Design Comparing the Influence of a Robot vs. Chatbot Over Time</t>
  </si>
  <si>
    <t>10.1109/ro-man63969.2025.11217887</t>
  </si>
  <si>
    <t>U06355_Kian_2025.pdf</t>
  </si>
  <si>
    <t>U06359</t>
  </si>
  <si>
    <t>Enhanced Contextual Comprehension Utilising an Integrated Transformer-BERT Model in a Counselling Chat-Bot</t>
  </si>
  <si>
    <t>Jinu Sophia</t>
  </si>
  <si>
    <t>4th International Conference on Sentiment Analysis and Deep Learning, ICSADL 2025 - Proceedings</t>
  </si>
  <si>
    <t>10.1109/icsadl65848.2025.10933080</t>
  </si>
  <si>
    <t>U06359_Jinu-Sophia_2025.pdf</t>
  </si>
  <si>
    <t>U06367</t>
  </si>
  <si>
    <t>Enhancing academic stress assessment through self-disclosure chatbots: effects on engagement, accuracy, and self-reflection</t>
  </si>
  <si>
    <t>International Journal of Educational Technology in Higher Education</t>
  </si>
  <si>
    <t>10.1186/s41239-025-00527-z</t>
  </si>
  <si>
    <t>U06367_Park_2025.pdf</t>
  </si>
  <si>
    <t>U06370</t>
  </si>
  <si>
    <t>Enhancing AI Chatbots for Mental Health Support: A Comprehensive Approach</t>
  </si>
  <si>
    <t>Vo</t>
  </si>
  <si>
    <t>10.1007/978-981-96-0695-5_25</t>
  </si>
  <si>
    <t>U06370_Vo_2025.pdf</t>
  </si>
  <si>
    <t>U06372</t>
  </si>
  <si>
    <t>Enhancing Artificial Intelligence Empathetic Conversation Generation through Emotion Learning Models</t>
  </si>
  <si>
    <t>Cheong</t>
  </si>
  <si>
    <t>Journal of Information and Communication Convergence Engineering</t>
  </si>
  <si>
    <t>10.56977/jicce.2025.23.4.269</t>
  </si>
  <si>
    <t>U06372_Cheong_2025.pdf</t>
  </si>
  <si>
    <t>U06376</t>
  </si>
  <si>
    <t>Enhancing Chatbot Responsiveness with Integrated NLP and Multimodal Emotion Detection for Human-Centric Applications</t>
  </si>
  <si>
    <t>T. Pratyusha</t>
  </si>
  <si>
    <t>2025 9th International Conference on Electronics, Communication and Aerospace Technology (ICECA)</t>
  </si>
  <si>
    <t>10.1109/iceca66444.2025.11382924</t>
  </si>
  <si>
    <t>U06376_Pratyusha_2025.pdf</t>
  </si>
  <si>
    <t>U06379</t>
  </si>
  <si>
    <t>Enhancing College Student Mental Health Support using LLMs and RAG-Based Chatbot System: A Study Case in Institut Teknologi Bandung</t>
  </si>
  <si>
    <t>Pradnyana</t>
  </si>
  <si>
    <t>2025 International Conference on ICT for Smart Society, ICISS 2025</t>
  </si>
  <si>
    <t>10.1109/iciss66954.2025.11389368</t>
  </si>
  <si>
    <t>U06379_Pradnyana_2025.pdf</t>
  </si>
  <si>
    <t>U06390</t>
  </si>
  <si>
    <t>Enhancing Emotional Support Conversation via Strategy Planner and Chain-of-Thought</t>
  </si>
  <si>
    <t>2025 5th International Conference on Neural Networks, Information and Communication Engineering, NNICE 2025</t>
  </si>
  <si>
    <t>10.1109/nnice64954.2025.11064335</t>
  </si>
  <si>
    <t>U06390_Tao_2025.pdf</t>
  </si>
  <si>
    <t>U06391</t>
  </si>
  <si>
    <t>Enhancing Emotional Support Conversation with Cognitive Chain-of-Thought Reasoning</t>
  </si>
  <si>
    <t>Cao</t>
  </si>
  <si>
    <t>10.1007/978-981-97-9431-7_14</t>
  </si>
  <si>
    <t>U06391_Cao_2025.pdf</t>
  </si>
  <si>
    <t>U06392</t>
  </si>
  <si>
    <t>Enhancing Emotional Support Conversations: A Framework for Dynamic Knowledge Filtering and Persona Extraction</t>
  </si>
  <si>
    <t>Hao</t>
  </si>
  <si>
    <t>Proceedings - International Conference on Computational Linguistics, COLING</t>
  </si>
  <si>
    <t>U06392_Hao_2025.pdf</t>
  </si>
  <si>
    <t>U06406</t>
  </si>
  <si>
    <t>Enhancing Mental Health Support Through Human-AI Collaboration: Toward Secure and Empathetic AI-Enabled Chatbots</t>
  </si>
  <si>
    <t>Almakinah</t>
  </si>
  <si>
    <t>10.1109/cai64502.2025.00038</t>
  </si>
  <si>
    <t>U06406_Almakinah_2025.pdf</t>
  </si>
  <si>
    <t>U06407</t>
  </si>
  <si>
    <t>Enhancing Mental Health Support: An LLM-Based Prompt Engineering Method</t>
  </si>
  <si>
    <t>Kaysar</t>
  </si>
  <si>
    <t>10.1007/978-981-97-9327-3_39</t>
  </si>
  <si>
    <t>U06407_Kaysar_2025.pdf</t>
  </si>
  <si>
    <t>U06409</t>
  </si>
  <si>
    <t>Enhancing Mental Wellbeing Among College Students Using Autogen</t>
  </si>
  <si>
    <t>2025 IEEE International Students' Conference on Electrical, Electronics and Computer Science, SCEECS 2025</t>
  </si>
  <si>
    <t>10.1109/sceecs64059.2025.10940967</t>
  </si>
  <si>
    <t>U06409_Reddy_2025.pdf</t>
  </si>
  <si>
    <t>U06419</t>
  </si>
  <si>
    <t>Enhancing physical activity through a relational artificial intelligence chatbot: A feasibility and usability study</t>
  </si>
  <si>
    <t>Oh</t>
  </si>
  <si>
    <t>DIGITAL HEALTH</t>
  </si>
  <si>
    <t>10.1177/20552076251324445</t>
  </si>
  <si>
    <t>U06419_Oh_2025.pdf</t>
  </si>
  <si>
    <t>U06442</t>
  </si>
  <si>
    <t>ESC-Judge: A Framework for Comparing Emotional Support Conversational Agents</t>
  </si>
  <si>
    <t>Madani</t>
  </si>
  <si>
    <t>10.18653/v1/2025.emnlp-main.811</t>
  </si>
  <si>
    <t>U06442_Madani_2025.pdf</t>
  </si>
  <si>
    <t>U06454</t>
  </si>
  <si>
    <t>Ethically-Constrained Mental Health Chatbot for University Students: A Context-Aware NLP System using LLMs</t>
  </si>
  <si>
    <t>Syakurah</t>
  </si>
  <si>
    <t>EECSI 2025 - Proceedings 2025 12th International Conference on Electrical Engineering, Computer Science and Informatics</t>
  </si>
  <si>
    <t>10.1109/eecsi67060.2025.11290231</t>
  </si>
  <si>
    <t>U06454_Syakurah_2025.pdf</t>
  </si>
  <si>
    <t>U06466</t>
  </si>
  <si>
    <t>Evaluating for Evidence of Sociodemographic Bias in Conversational AI for Mental Health Support</t>
  </si>
  <si>
    <t>Yeo</t>
  </si>
  <si>
    <t>Cyberpsychology, Behavior, and Social Networking</t>
  </si>
  <si>
    <t>10.1089/cyber.2024.0199</t>
  </si>
  <si>
    <t>U06466_Yeo_2025.pdf</t>
  </si>
  <si>
    <t>U06468</t>
  </si>
  <si>
    <t>Evaluating Generative AI Psychotherapy Chatbots Used by Youth: Cross-Sectional Study</t>
  </si>
  <si>
    <t>Sobowale</t>
  </si>
  <si>
    <t>10.2196/79838</t>
  </si>
  <si>
    <t>U06468_Sobowale_2025.pdf</t>
  </si>
  <si>
    <t>U06475</t>
  </si>
  <si>
    <t>Evaluating Large Language Models for Enhancing Live Chat Therapy: A Comparative Study with Psychotherapists</t>
  </si>
  <si>
    <t>Deshpande</t>
  </si>
  <si>
    <t>10.18653/v1/2025.sigdial-1.59</t>
  </si>
  <si>
    <t>U06475_Deshpande_2025.pdf</t>
  </si>
  <si>
    <t>U06491</t>
  </si>
  <si>
    <t>Evaluating the Cultural Sensitivity of Large Language Models in Mental Health Support: A Framework Inspired by Ubuntu Values</t>
  </si>
  <si>
    <t>10.1007/978-3-031-81821-9_18</t>
  </si>
  <si>
    <t>U06491_Forane_2025.pdf</t>
  </si>
  <si>
    <t>U06492</t>
  </si>
  <si>
    <t>EVALUATING THE EFFICACY OF CHATGPT IN PROVIDING EMOTIONAL SUPPORT: A COMPARATIVE STUDY OF AI AND HUMAN COUNSELING ON STUDENT MENTAL HEALTH OUTCOMES</t>
  </si>
  <si>
    <t>Atiyah</t>
  </si>
  <si>
    <t>Proceedings on Engineering Sciences</t>
  </si>
  <si>
    <t>10.24874/pes07.04.008</t>
  </si>
  <si>
    <t>8 (2).pdf</t>
  </si>
  <si>
    <t>U06502</t>
  </si>
  <si>
    <t>Evaluating the Quality of Psychotherapy Conversational Agents: Framework Development and Cross-Sectional Study</t>
  </si>
  <si>
    <t>10.2196/65605</t>
  </si>
  <si>
    <t>U06502_Sobowale_2025.pdf</t>
  </si>
  <si>
    <t>U06507</t>
  </si>
  <si>
    <t>Evaluating the Usability of an HIV Prevention Artificial Intelligence Chatbot in Malaysia: National Observational Study</t>
  </si>
  <si>
    <t>10.2196/70034</t>
  </si>
  <si>
    <t>U06507_Ni_2025.pdf</t>
  </si>
  <si>
    <t>U06513</t>
  </si>
  <si>
    <t>Evaluation of a Guided Chatbot Intervention for Young People in Jordan: Feasibility Randomized Controlled Trial</t>
  </si>
  <si>
    <t>de Graaff</t>
  </si>
  <si>
    <t>10.2196/63515</t>
  </si>
  <si>
    <t>U06513_de-Graaff_2025.pdf</t>
  </si>
  <si>
    <t>U06516</t>
  </si>
  <si>
    <t>Evaluation of an AI-Based Chatbot Providing Real-Time Feedback in Communication Training for Mental Health Care Professionals: Proof-of-Concept Observational Study</t>
  </si>
  <si>
    <t>Herschbach</t>
  </si>
  <si>
    <t>10.2196/82818</t>
  </si>
  <si>
    <t>U06516_Herschbach_2025.pdf</t>
  </si>
  <si>
    <t>U06517</t>
  </si>
  <si>
    <t>Evaluation of BERT and BART in Mental Health Dialogue by Using a Counselling Chatbot</t>
  </si>
  <si>
    <t>10.1109/icoeit63558.2025.11211681</t>
  </si>
  <si>
    <t>U06517_Jinu-Sophia_2025.pdf</t>
  </si>
  <si>
    <t>U06518</t>
  </si>
  <si>
    <t>J. S. J</t>
  </si>
  <si>
    <t>2025 International Conference on Engineering Innovations and Technologies (ICoEIT)</t>
  </si>
  <si>
    <t>U06518_J_2025.pdf</t>
  </si>
  <si>
    <t>U06547</t>
  </si>
  <si>
    <t>Expert and Interdisciplinary Analysis of AI-Driven Chatbots for Mental Health Support: Mixed Methods Study</t>
  </si>
  <si>
    <t>Moylan</t>
  </si>
  <si>
    <t>10.2196/67114</t>
  </si>
  <si>
    <t>U06547_Moylan_2025.pdf</t>
  </si>
  <si>
    <t>U06560</t>
  </si>
  <si>
    <t>Exploratory Research on the Potential of Human–AI Interaction for Mental Health: Building and Verifying an Experimental Environment Based on ChatGPT and Metaverse</t>
  </si>
  <si>
    <t>Chung</t>
  </si>
  <si>
    <t>Applied Sciences (Switzerland)</t>
  </si>
  <si>
    <t>10.3390/app152011209</t>
  </si>
  <si>
    <t>U06560_Chung_2025.pdf</t>
  </si>
  <si>
    <t>U06569</t>
  </si>
  <si>
    <t>Exploring Body Image Awareness With a Large Language Model–Based Conversational Agent: Qualitative Study With Young Adults</t>
  </si>
  <si>
    <t>10.2196/78829</t>
  </si>
  <si>
    <t>U06569_Zhang_2025.pdf</t>
  </si>
  <si>
    <t>U06611</t>
  </si>
  <si>
    <t>Exploring Socio-Cultural Challenges and Opportunities in Designing Mental Health Chatbots for Adolescents in India</t>
  </si>
  <si>
    <t>Sehgal</t>
  </si>
  <si>
    <t>10.1145/3706599.3720137</t>
  </si>
  <si>
    <t>U06611_Sehgal_2025.pdf</t>
  </si>
  <si>
    <t>U06620</t>
  </si>
  <si>
    <t>Exploring the ChatGPT platform with scenario-specific prompts for vaping cessation</t>
  </si>
  <si>
    <t>Amin</t>
  </si>
  <si>
    <t>Tobacco Control</t>
  </si>
  <si>
    <t>10.1136/tc-2023-058009</t>
  </si>
  <si>
    <t>U06620_Amin_2025.pdf</t>
  </si>
  <si>
    <t>U06622</t>
  </si>
  <si>
    <t>Exploring the Design of LLM-based Agent in Enhancing Self-disclosure Among the Older Adults</t>
  </si>
  <si>
    <t>10.1145/3706598.3713639</t>
  </si>
  <si>
    <t>U06622_Guo_2025.pdf</t>
  </si>
  <si>
    <t>U06625</t>
  </si>
  <si>
    <t>Exploring the Effect of Social-nudge Design on People's Compliance with Chatbot-recommended Practices</t>
  </si>
  <si>
    <t>Proceedings of Chinese CHI 2024 - 12th International Symposium of Chinese CHI, Chinese CHI 2024</t>
  </si>
  <si>
    <t>10.1145/3758871.3758882</t>
  </si>
  <si>
    <t>U06625_Lee_2025.pdf</t>
  </si>
  <si>
    <t>U06626</t>
  </si>
  <si>
    <t>Exploring the Efficacy of a Chatbot Training Application in Alleviating Graduate Students' Public-Speaking Anxiety During Q&amp;amp;A</t>
  </si>
  <si>
    <t>Hannah La</t>
  </si>
  <si>
    <t>10.1145/3706599.3720177</t>
  </si>
  <si>
    <t>U06626_La_2025.pdf</t>
  </si>
  <si>
    <t>U06627</t>
  </si>
  <si>
    <t>Exploring the Efficacy of a Chatbot Training Application in Alleviating Graduate Students’ Public-Speaking Anxiety During Q&amp;A</t>
  </si>
  <si>
    <t>La</t>
  </si>
  <si>
    <t>U06627_La_2025.pdf</t>
  </si>
  <si>
    <t>U06649</t>
  </si>
  <si>
    <t>Exploring the Potential of ChatGPT in Developing a Virtual Assistant for Prevention and Support in Cases of School Bullying</t>
  </si>
  <si>
    <t>Mendoza-Pinto</t>
  </si>
  <si>
    <t>CLEI Eletronic Journal (CLEIej)</t>
  </si>
  <si>
    <t>10.19153/cleiej.28.4.6</t>
  </si>
  <si>
    <t>U06649_Mendoza-Pinto_2025.pdf</t>
  </si>
  <si>
    <t>U06651</t>
  </si>
  <si>
    <t>Exploring the potential of lightweight large language models for AI-based mental health counselling task: a novel comparative study</t>
  </si>
  <si>
    <t>Maurya</t>
  </si>
  <si>
    <t>10.1038/s41598-025-05012-1</t>
  </si>
  <si>
    <t>U06651_Maurya_2025.pdf</t>
  </si>
  <si>
    <t>U06654</t>
  </si>
  <si>
    <t>Exploring the role of engagement and adherence in chatbot-based cognitive training for older adults: memory function and mental health outcomes</t>
  </si>
  <si>
    <t>10.1080/0144929x.2024.2362406</t>
  </si>
  <si>
    <t>U06654_Kim_2025.pdf</t>
  </si>
  <si>
    <t>U06661</t>
  </si>
  <si>
    <t>Exploring user characteristics, motives, and expectations and the therapeutic alliance in the mental health conversational AI Clare®: a baseline study</t>
  </si>
  <si>
    <t>Schäfer</t>
  </si>
  <si>
    <t>10.3389/fdgth.2025.1576135</t>
  </si>
  <si>
    <t>U06661_Schafer_2025.pdf</t>
  </si>
  <si>
    <t>U06662</t>
  </si>
  <si>
    <t>Schaefer</t>
  </si>
  <si>
    <t>FRONTIERS IN DIGITAL HEALTH</t>
  </si>
  <si>
    <t>U06662_Schaefer_2025.pdf</t>
  </si>
  <si>
    <t>DUP:U06661</t>
  </si>
  <si>
    <t>Excluded: duplicate record of U06661</t>
  </si>
  <si>
    <t>U06664</t>
  </si>
  <si>
    <t>Expressing stigma and inappropriate responses prevents LLMs from safely replacing mental health providers.</t>
  </si>
  <si>
    <t>ACMF AccT 2025 - Proceedings of the 2025 ACM Conference on Fairness, Accountability,and Transparency</t>
  </si>
  <si>
    <t>10.1145/3715275.3732039</t>
  </si>
  <si>
    <t>U06664_Moore_2025.pdf</t>
  </si>
  <si>
    <t>U06672</t>
  </si>
  <si>
    <t>Facilitating Aboriginal Perinatal Mental Health Information Access with a Retrieval-Augmented LLM-based Chatbot</t>
  </si>
  <si>
    <t>Utami</t>
  </si>
  <si>
    <t>Proceedings of the Annual International Conference of the IEEE Engineering in Medicine and Biology Society, EMBS</t>
  </si>
  <si>
    <t>10.1109/embc58623.2025.11254329</t>
  </si>
  <si>
    <t>U06672_Utami_2025.pdf</t>
  </si>
  <si>
    <t>U06704</t>
  </si>
  <si>
    <t>Fine-Tuned Mistral Model for Multi-Agent Mental Health Counseling System</t>
  </si>
  <si>
    <t>Proceedings - 2025 11th International Conference on Computing and Artificial Intelligence, ICCAI 2025</t>
  </si>
  <si>
    <t>10.1109/iccai66501.2025.00056</t>
  </si>
  <si>
    <t>U06704_Patel_2025.pdf</t>
  </si>
  <si>
    <t>U06706</t>
  </si>
  <si>
    <t>Fine-Tuning Large Language Models for Early Mental Health Intervention in China: A Culturally Adapted Triage and Therapy Framework</t>
  </si>
  <si>
    <t>10.1007/978-981-95-0033-8_9</t>
  </si>
  <si>
    <t>U06706_Shi_2025.pdf</t>
  </si>
  <si>
    <t>U06708</t>
  </si>
  <si>
    <t>Fine-tuning LLM for Counseling Application in Federated Learning Setting</t>
  </si>
  <si>
    <t>Aso</t>
  </si>
  <si>
    <t>10.1145/3714394.3754388</t>
  </si>
  <si>
    <t>U06708_Aso_2025.pdf</t>
  </si>
  <si>
    <t>U06712</t>
  </si>
  <si>
    <t>First-person vs. third-person perspective in AI counselling: the role of immersion, self-disclosure, and social anxiety</t>
  </si>
  <si>
    <t>10.1080/0144929x.2025.2470377</t>
  </si>
  <si>
    <t>U06712_Lee_2025.pdf</t>
  </si>
  <si>
    <t>U06716</t>
  </si>
  <si>
    <t>Flexible Thinking for Multimodal Emotional Support Conversation via Reinforcement Learning</t>
  </si>
  <si>
    <t>10.18653/v1/2025.findings-emnlp.70</t>
  </si>
  <si>
    <t>U06716_Wang_2025.pdf</t>
  </si>
  <si>
    <t>U06745</t>
  </si>
  <si>
    <t>From Generic Empathy to Personalized Emotional Support: A Self-Evolution Framework for User Preference Alignment</t>
  </si>
  <si>
    <t>10.18653/v1/2025.findings-emnlp.1024</t>
  </si>
  <si>
    <t>U06745_Ye_2025.pdf</t>
  </si>
  <si>
    <t>U06751</t>
  </si>
  <si>
    <t>From Lived Experience to Insight: Unpacking the Psychological Risks of Using AI Conversational Agents</t>
  </si>
  <si>
    <t>10.1145/3715275.3732063</t>
  </si>
  <si>
    <t>U06751_Chandra_2025.pdf</t>
  </si>
  <si>
    <t>U06756</t>
  </si>
  <si>
    <t>From Personas to Talks: Revisiting the Impact of Personas on LLM-Synthesized Emotional Support Conversations</t>
  </si>
  <si>
    <t>10.18653/v1/2025.emnlp-main.277</t>
  </si>
  <si>
    <t>U06756_Wu_2025.pdf</t>
  </si>
  <si>
    <t>U06764</t>
  </si>
  <si>
    <t>Frontal Alpha Asymmetry as an Index of Willingness to Interact with Virtual Agents in Users with Depressive Symptoms</t>
  </si>
  <si>
    <t>Milo</t>
  </si>
  <si>
    <t>Proceedings of the International Joint Conference on Neural Networks</t>
  </si>
  <si>
    <t>10.1109/ijcnn64981.2025.11228561</t>
  </si>
  <si>
    <t>U06764_Milo_2025.pdf</t>
  </si>
  <si>
    <t>U06768</t>
  </si>
  <si>
    <t>Future Me, a Prospection-Based Chatbot to Promote Mental Well-Being in Youth: Two Exploratory User Experience Studies</t>
  </si>
  <si>
    <t>Dechant</t>
  </si>
  <si>
    <t>10.2196/74411</t>
  </si>
  <si>
    <t>U06768_Dechant_2025.pdf</t>
  </si>
  <si>
    <t>U06778</t>
  </si>
  <si>
    <t>GenAI-Chatbots as Debriefers: Investigating the Role Conformity and Learner Interaction in Counseling Training</t>
  </si>
  <si>
    <t>Evangelou</t>
  </si>
  <si>
    <t>Lecture Notes in Informatics (LNI), Proceedings - Series of the Gesellschaft fur Informatik (GI)</t>
  </si>
  <si>
    <t>10.18420/delfi2025_05</t>
  </si>
  <si>
    <t>U06778_Evangelou_2025.pdf</t>
  </si>
  <si>
    <t>U06780</t>
  </si>
  <si>
    <t>GenAI-Powered Multilingual Digital Human: An Intelligent Conversational Companion for Enhancing Elderly Mental and Emotional Well-being</t>
  </si>
  <si>
    <t>2025 International Conference on Sustainable Technologies for Humanity and Smart World, HSWTech 2025</t>
  </si>
  <si>
    <t>10.1109/hswtech64936.2025.11278154</t>
  </si>
  <si>
    <t>U06780_Deshpande_2025.pdf</t>
  </si>
  <si>
    <t>U06824</t>
  </si>
  <si>
    <t>Generative AI–Powered Mental Wellness Chatbot for College Student Mental Wellness: Open Trial</t>
  </si>
  <si>
    <t>Reyes-Portillo</t>
  </si>
  <si>
    <t>10.2196/71923</t>
  </si>
  <si>
    <t>U06824_Reyes-Portillo_2025.pdf</t>
  </si>
  <si>
    <t>U06864</t>
  </si>
  <si>
    <t>Going vegan with ChatGPT: Towards designing LLMs for personalized lifestyle changes</t>
  </si>
  <si>
    <t>Okenyi</t>
  </si>
  <si>
    <t>Machine Learning with Applications</t>
  </si>
  <si>
    <t>10.1016/j.mlwa.2025.100659</t>
  </si>
  <si>
    <t>U06864_Okenyi_2025.pdf</t>
  </si>
  <si>
    <t>U06874</t>
  </si>
  <si>
    <t>GREEN: Generative Retrieval-Enhanced Emotional Support Conversations</t>
  </si>
  <si>
    <t>SAGE Open</t>
  </si>
  <si>
    <t>10.1177/21582440251395922</t>
  </si>
  <si>
    <t>U06874_Yang_2025.pdf</t>
  </si>
  <si>
    <t>U06883</t>
  </si>
  <si>
    <t>GymBuddy and Elomia, AI-integrated applications, effects on the mental health of the students with psychological disorders</t>
  </si>
  <si>
    <t>BMC Psychology</t>
  </si>
  <si>
    <t>10.1186/s40359-025-02640-0</t>
  </si>
  <si>
    <t>U06883_Jiang_2025.pdf</t>
  </si>
  <si>
    <t>U06901</t>
  </si>
  <si>
    <t>HEALIO - An AI-Driven Chatbot for Multimodal Mental Health Assistance</t>
  </si>
  <si>
    <t>Devassy</t>
  </si>
  <si>
    <t>ICRTEECT 2025 - 2nd International Conference on Recent Trends in Electrical, Electronics and Computing Technologies</t>
  </si>
  <si>
    <t>10.1109/icrteect67512.2025.11448878</t>
  </si>
  <si>
    <t>U06901_Devassy_2025.pdf</t>
  </si>
  <si>
    <t>U06922</t>
  </si>
  <si>
    <t>How Conversation Type and Presumed Message Source Influence Users' Trust towards Mental Health Conversational Agents: The Mediator Effect of Intentional Stance</t>
  </si>
  <si>
    <t>10.1109/ro-man63969.2025.11217721</t>
  </si>
  <si>
    <t>U06922_Fang_2025.pdf</t>
  </si>
  <si>
    <t>U06934</t>
  </si>
  <si>
    <t>How Self-Disclosing Chatbots Influence Student Engagement, Assessment Accuracy, and Self-Reflection in Academic Stress Assessment</t>
  </si>
  <si>
    <t>10.1145/3706599.3719684</t>
  </si>
  <si>
    <t>U06934_Park_2025.pdf</t>
  </si>
  <si>
    <t>U06936</t>
  </si>
  <si>
    <t>How Social Cues in Depression Intervention AI Chatbots Affect Human-Computer Trust</t>
  </si>
  <si>
    <t>10.1007/978-3-031-93502-2_7</t>
  </si>
  <si>
    <t>U06936_Xu_2025.pdf</t>
  </si>
  <si>
    <t>U06947</t>
  </si>
  <si>
    <t>Human guided empathetic AI agent for mental health support leveraging reinforcement learning-enhanced retrieval-augmented generation</t>
  </si>
  <si>
    <t>Soman</t>
  </si>
  <si>
    <t>Cognitive Systems Research</t>
  </si>
  <si>
    <t>10.1016/j.cogsys.2025.101337</t>
  </si>
  <si>
    <t>U06947_Soman_2025.pdf</t>
  </si>
  <si>
    <t>U06956</t>
  </si>
  <si>
    <t>Human-Human vs Human-AI Therapy: An Empirical Study</t>
  </si>
  <si>
    <t>Kuhail</t>
  </si>
  <si>
    <t>10.1080/10447318.2024.2385001</t>
  </si>
  <si>
    <t>U06956_Kuhail_2025.pdf</t>
  </si>
  <si>
    <t>U06957</t>
  </si>
  <si>
    <t>Human-Machine Differences in Adolescent Emotional Support: A Comparative Study of Responses between a Real Mother and Four AI Language Models</t>
  </si>
  <si>
    <t>Proceedings of 2025 International Conference on AI-enabled Education, AIEE 2025</t>
  </si>
  <si>
    <t>10.1145/3768421.3768505</t>
  </si>
  <si>
    <t>U06957_Chen_2025.pdf</t>
  </si>
  <si>
    <t>U06964</t>
  </si>
  <si>
    <t>I Can't Turn My Brain Off: Exploring Conversational AI for Self-Critical Thoughts in VR</t>
  </si>
  <si>
    <t>CHI PLAY Companion 2025 - Companion Proceedings of the Annual Symposium on Computer-Human Interaction in Play</t>
  </si>
  <si>
    <t>10.1145/3744736.3749350</t>
  </si>
  <si>
    <t>U06964_Lee_2025.pdf</t>
  </si>
  <si>
    <t>U06975</t>
  </si>
  <si>
    <t>If Eleanor Rigby Had Met ChatGPT: A Study on Loneliness in a Post-LLM World</t>
  </si>
  <si>
    <t>de Wynter</t>
  </si>
  <si>
    <t>10.18653/v1/2025.acl-long.976</t>
  </si>
  <si>
    <t>U06975_de-Wynter_2025.pdf</t>
  </si>
  <si>
    <t>U06984</t>
  </si>
  <si>
    <t>Impact of Conversational and Animation Features of a Mental Health App Virtual Agent on Depressive Symptoms and User Experience Among College Students: Randomized Controlled Trial</t>
  </si>
  <si>
    <t>Six</t>
  </si>
  <si>
    <t>10.2196/67381</t>
  </si>
  <si>
    <t>U06984_Six_2025.pdf</t>
  </si>
  <si>
    <t>U07003</t>
  </si>
  <si>
    <t>Improving Emotional Support Conversation with Strategy-Intent Inference</t>
  </si>
  <si>
    <t>Proceedings of 2024 8th International Conference on Electronic Information Technology and Computer Engineering, EITCE 2024</t>
  </si>
  <si>
    <t>10.1145/3711129.3711170</t>
  </si>
  <si>
    <t>U07003_Cao_2025.pdf</t>
  </si>
  <si>
    <t>U07004</t>
  </si>
  <si>
    <t>Improving Emotional Support Delivery in Text-Based Community Safety Reporting Using Large Language Models</t>
  </si>
  <si>
    <t>10.1145/3711012</t>
  </si>
  <si>
    <t>U07004_Liu_2025.pdf</t>
  </si>
  <si>
    <t>U07030</t>
  </si>
  <si>
    <t>Inner Vista-Mental Health Chatbot</t>
  </si>
  <si>
    <t>Thirumal</t>
  </si>
  <si>
    <t>2025 3rd International Conference on Advancements in Electrical, Electronics, Communication, Computing and Automation, ICAECA 2025</t>
  </si>
  <si>
    <t>10.1109/icaeca63854.2025.11012568</t>
  </si>
  <si>
    <t>U07030_Thirumal_2025.pdf</t>
  </si>
  <si>
    <t>U07031</t>
  </si>
  <si>
    <t>T. P C</t>
  </si>
  <si>
    <t>2025 3rd International Conference on Advancements in Electrical, Electronics, Communication, Computing and Automation (ICAECA)</t>
  </si>
  <si>
    <t>U07031_C_2025.pdf</t>
  </si>
  <si>
    <t>U07039</t>
  </si>
  <si>
    <t>Integrating AI chatbots into mental health strategies: Pre-post intervention study on support for unemployed graduates in China</t>
  </si>
  <si>
    <t>Environment and Social Psychology</t>
  </si>
  <si>
    <t>10.59429/esp.v10i5.3742</t>
  </si>
  <si>
    <t>U12363_Gardiner_2017.pdf</t>
  </si>
  <si>
    <t>U07048</t>
  </si>
  <si>
    <t>Integrating Cause-awareness for Improving Emotional Support in Conversational AI</t>
  </si>
  <si>
    <t>Vu</t>
  </si>
  <si>
    <t>Proceedings - International Conference on Knowledge and Systems Engineering, KSE</t>
  </si>
  <si>
    <t>10.1109/kse68178.2025.11309517</t>
  </si>
  <si>
    <t>U07048_Vu_2025.pdf</t>
  </si>
  <si>
    <t>U07052</t>
  </si>
  <si>
    <t>Integrating ChatGPT for smoking cessation counseling practice in pharmacy education: A single group quasi-experimental study</t>
  </si>
  <si>
    <t>Chinwong</t>
  </si>
  <si>
    <t>Tobacco Induced Diseases</t>
  </si>
  <si>
    <t>10.18332/tid/211706</t>
  </si>
  <si>
    <t>U07052_Chinwong_2025.pdf</t>
  </si>
  <si>
    <t>U07056</t>
  </si>
  <si>
    <t>Integrating ELECTRA and BERT models in transformer-based mental healthcare chatbot</t>
  </si>
  <si>
    <t>Zeniarja</t>
  </si>
  <si>
    <t>Indonesian Journal of Electrical Engineering and Computer Science</t>
  </si>
  <si>
    <t>10.11591/ijeecs.v37.i1.pp315-324</t>
  </si>
  <si>
    <t>U07056_Zeniarja_2025.pdf</t>
  </si>
  <si>
    <t>U07068</t>
  </si>
  <si>
    <t>Integrating Psychology Into Supportive Chatbots for Mental Health using NLP</t>
  </si>
  <si>
    <t>Tamil Selvan</t>
  </si>
  <si>
    <t>10.1109/icict64420.2025.11005090</t>
  </si>
  <si>
    <t>U07068_Tamil-Selvan_2025.pdf</t>
  </si>
  <si>
    <t>U07069</t>
  </si>
  <si>
    <t>Integrating Psychology into Supportive Chatbots for Mental Health Using NLP</t>
  </si>
  <si>
    <t>T. S. K</t>
  </si>
  <si>
    <t>U07069_K_2025.pdf</t>
  </si>
  <si>
    <t>U07072</t>
  </si>
  <si>
    <t>Integrating Visual Modalities with Large Language Models for Mental Health Support</t>
  </si>
  <si>
    <t>U07072_Zhu_2025.pdf</t>
  </si>
  <si>
    <t>U07074</t>
  </si>
  <si>
    <t>Integrative diagnosis of psychiatric conditions using ChatGPT and fMRI data</t>
  </si>
  <si>
    <t>10.1186/s12888-025-06586-w</t>
  </si>
  <si>
    <t>U07074_Li_2025.pdf</t>
  </si>
  <si>
    <t>U07084</t>
  </si>
  <si>
    <t>IntentionESC: An Intention-Centered Framework for Enhancing Emotional Support in Dialogue Systems</t>
  </si>
  <si>
    <t>10.18653/v1/2025.findings-acl.1358</t>
  </si>
  <si>
    <t>U07084_Zhang_2025.pdf</t>
  </si>
  <si>
    <t>U07093</t>
  </si>
  <si>
    <t>Introducing CounseLLMe: A dataset of simulated mental health dialogues for comparing LLMs like Haiku, LLaMAntino and ChatGPT against humans</t>
  </si>
  <si>
    <t>De Duro</t>
  </si>
  <si>
    <t>Emerging Trends in Drugs, Addictions, and Health</t>
  </si>
  <si>
    <t>10.1016/j.etdah.2025.100170</t>
  </si>
  <si>
    <t>U07093_De-Duro_2025.pdf</t>
  </si>
  <si>
    <t>U07109</t>
  </si>
  <si>
    <t>Investigating the interpretability of ChatGPT in mental health counseling: An analysis of artificial intelligence generated content differentiation</t>
  </si>
  <si>
    <t>Computer Methods and Programs in Biomedicine</t>
  </si>
  <si>
    <t>10.1016/j.cmpb.2025.108864</t>
  </si>
  <si>
    <t>U07109_Liu_2025.pdf</t>
  </si>
  <si>
    <t>U07111</t>
  </si>
  <si>
    <t>Investigating the Persuasive Potential of Communicating With Generative Artificial Intelligence Chatbots for Mental Health: The Roles of Perceived Message Contingency, Cognitive Elaboration, and Issue Involvement</t>
  </si>
  <si>
    <t>Human-Machine Communication</t>
  </si>
  <si>
    <t>10.30658/hmc.11.7</t>
  </si>
  <si>
    <t>U07111_Kim_2025.pdf</t>
  </si>
  <si>
    <t>U07115</t>
  </si>
  <si>
    <t>iPET: An Interactive Emotional Companion Dialogue System with LLM-Powered Virtual Pet World Simulation</t>
  </si>
  <si>
    <t>Xie</t>
  </si>
  <si>
    <t>10.18653/v1/2025.acl-demo.40</t>
  </si>
  <si>
    <t>U07115_Xie_2025.pdf</t>
  </si>
  <si>
    <t>U07135</t>
  </si>
  <si>
    <t>KMI: A Dataset of Korean Motivational Interviewing Dialogues for Psychotherapy</t>
  </si>
  <si>
    <t>10.18653/v1/2025.naacl-long.541</t>
  </si>
  <si>
    <t>U07135_Kim_2025.pdf</t>
  </si>
  <si>
    <t>U07141</t>
  </si>
  <si>
    <t>Knowledge-Grounded Dialogue Models for Supporting Patient Counseling During Chronic Disease Management</t>
  </si>
  <si>
    <t>Chinnayan</t>
  </si>
  <si>
    <t>Proceedings of the International Conference on Electrical Engineering and Informatics</t>
  </si>
  <si>
    <t>10.1109/iceei68459.2025.11331139</t>
  </si>
  <si>
    <t>U07141_Chinnayan_2025.pdf</t>
  </si>
  <si>
    <t>U07142</t>
  </si>
  <si>
    <t>C. R V</t>
  </si>
  <si>
    <t>2025 International Conference on Electrical Engineering and Informatics (ICEEI)</t>
  </si>
  <si>
    <t>U07142_V_2025.pdf</t>
  </si>
  <si>
    <t>U07145</t>
  </si>
  <si>
    <t>KokoroChat: A Japanese Psychological Counseling Dialogue Dataset Collected via Role-Playing by Trained Counselors</t>
  </si>
  <si>
    <t>Qi</t>
  </si>
  <si>
    <t>10.18653/v1/2025.acl-long.608</t>
  </si>
  <si>
    <t>U07145_Qi_2025.pdf</t>
  </si>
  <si>
    <t>U07154</t>
  </si>
  <si>
    <t>Large Language Model Agents for Improving Engagement with Behavior Change Interventions: Application to Digital Mindfulness</t>
  </si>
  <si>
    <t>PROCEEDINGS OF THE ACM ON HUMAN COMPUTER INTERACTION</t>
  </si>
  <si>
    <t>10.1145/3757619</t>
  </si>
  <si>
    <t>U07154_Kumar_2025.pdf</t>
  </si>
  <si>
    <t>U07168</t>
  </si>
  <si>
    <t>Large language models and retrieval-augmented generation-based chatbot for adolescent mental health</t>
  </si>
  <si>
    <t>Riansyah</t>
  </si>
  <si>
    <t>International Journal of Advances in Applied Sciences</t>
  </si>
  <si>
    <t>10.11591/ijaas.v14.i3.pp849-858</t>
  </si>
  <si>
    <t>U07168_Riansyah_2025.pdf</t>
  </si>
  <si>
    <t>U07178</t>
  </si>
  <si>
    <t>Large Language Models for Mental Health Counselling</t>
  </si>
  <si>
    <t>Farooqui</t>
  </si>
  <si>
    <t>2025 5th International Conference on Intelligent Technologies, CONIT 2025</t>
  </si>
  <si>
    <t>10.1109/conit65521.2025.11167888</t>
  </si>
  <si>
    <t>U07178_Farooqui_2025.pdf</t>
  </si>
  <si>
    <t>U07196</t>
  </si>
  <si>
    <t>Learning Through Simulation: Counselor Trainees’ Interactions with ChatGPT as a Client</t>
  </si>
  <si>
    <t>Akkurt</t>
  </si>
  <si>
    <t>10.3390/bs15121660</t>
  </si>
  <si>
    <t>U07196_Akkurt_2025.pdf</t>
  </si>
  <si>
    <t>U07210</t>
  </si>
  <si>
    <t>Leveraging AI-Driven Bots for Comprehensive Mental Health Support and Predictive Counseling</t>
  </si>
  <si>
    <t>Sambhe</t>
  </si>
  <si>
    <t>Proceedings - 2025 7th International Conference on Artificial Intelligence and Speech Technology, AIST 2025</t>
  </si>
  <si>
    <t>10.1109/aist68591.2025.11441577</t>
  </si>
  <si>
    <t>U07210_Sambhe_2025.pdf</t>
  </si>
  <si>
    <t>U07244</t>
  </si>
  <si>
    <t>Lilobot: A Cognitive Conversational Agent to Train Counsellors at Children's Helplines</t>
  </si>
  <si>
    <t>Grundmann</t>
  </si>
  <si>
    <t>JOURNAL OF MEDICAL SYSTEMS</t>
  </si>
  <si>
    <t>10.1007/s10916-024-02121-8</t>
  </si>
  <si>
    <t>U07244_Grundmann_2025.pdf</t>
  </si>
  <si>
    <t>U07245</t>
  </si>
  <si>
    <t>Lilobot: A Cognitive Conversational Agent to Train Counsellors at Children’s Helplines: Design and Initial Evaluation</t>
  </si>
  <si>
    <t>Journal of Medical Systems</t>
  </si>
  <si>
    <t>U07245_Grundmann_2025.pdf</t>
  </si>
  <si>
    <t>U07247</t>
  </si>
  <si>
    <t>Linguistic Diversity and Mental Well-Being: Co-Designing Custom AI Chatbots with Multilingual Mothers</t>
  </si>
  <si>
    <t>Elwahsh</t>
  </si>
  <si>
    <t>CUI 2025 - Proceedings of the 2025 ACM Conference on Conversational User Interfaces</t>
  </si>
  <si>
    <t>10.1145/3719160.3736615</t>
  </si>
  <si>
    <t>U07247_Elwahsh_2025.pdf</t>
  </si>
  <si>
    <t>U07256</t>
  </si>
  <si>
    <t>LLM-Based Chatbot to Reduce Mental Illness Stigma in Healthcare Providers</t>
  </si>
  <si>
    <t>Reategui-Rivera</t>
  </si>
  <si>
    <t>2025 IEEE 15th Annual Computing and Communication Workshop and Conference, CCWC 2025</t>
  </si>
  <si>
    <t>10.1109/ccwc62904.2025.10903778</t>
  </si>
  <si>
    <t>U07256_Reategui-Rivera_2025.pdf</t>
  </si>
  <si>
    <t>U07257</t>
  </si>
  <si>
    <t>LLM-based conversational agents for behaviour change support: A randomised controlled trial examining efficacy, safety, and the role of user behaviour</t>
  </si>
  <si>
    <t>Meyer</t>
  </si>
  <si>
    <t>10.1016/j.ijhcs.2025.103514</t>
  </si>
  <si>
    <t>U07257_Meyer_2025.pdf</t>
  </si>
  <si>
    <t>U07267</t>
  </si>
  <si>
    <t>LLM-Enriched Finite-State Chatbots for Mental Health Support: A Case Study on Self-Help+</t>
  </si>
  <si>
    <t>10.1007/978-3-031-95838-0_38</t>
  </si>
  <si>
    <t>U07267_Sanna_2025.pdf</t>
  </si>
  <si>
    <t>U07281</t>
  </si>
  <si>
    <t>Look Beyond Feeling: Unveiling Latent Needs from Implicit Expressions for Proactive Emotional Support</t>
  </si>
  <si>
    <t>10.18653/v1/2025.emnlp-main.1094</t>
  </si>
  <si>
    <t>U07281_Fu_2025.pdf</t>
  </si>
  <si>
    <t>U07287</t>
  </si>
  <si>
    <t>Lumina: A Fine-Tuned LLaMA 3.1 Model for Empathetic Psychological Support</t>
  </si>
  <si>
    <t>Baig</t>
  </si>
  <si>
    <t>Proceedings - 2025 12th International Conference on Future Internet of Things and Cloud, FiCloud 2025</t>
  </si>
  <si>
    <t>10.1109/ficloud66139.2025.00066</t>
  </si>
  <si>
    <t>U07287_Baig_2025.pdf</t>
  </si>
  <si>
    <t>U07299</t>
  </si>
  <si>
    <t>MAGO: Multi-Knowledge Aware and Global Strategy Sequence Optimizing Network for Emotional Support Conversation</t>
  </si>
  <si>
    <t>10.1016/j.neucom.2024.128888</t>
  </si>
  <si>
    <t>U07299_Xie_2025.pdf</t>
  </si>
  <si>
    <t>U07300</t>
  </si>
  <si>
    <t>Maintained effectiveness of a smartphone-based chatbot coach (BalanceUP) for mental well-being in headache sufferers: preliminary findings from a single-arm 6-month follow-up study</t>
  </si>
  <si>
    <t>Ulrich</t>
  </si>
  <si>
    <t>mHealth</t>
  </si>
  <si>
    <t>10.21037/mhealth-25-9</t>
  </si>
  <si>
    <t>U07300_Ulrich_2025.pdf</t>
  </si>
  <si>
    <t>U07305</t>
  </si>
  <si>
    <t>Manomitra:Web 3 Enabled Mental Health Chatbot</t>
  </si>
  <si>
    <t>Pandey</t>
  </si>
  <si>
    <t>Proceedings - 3rd International Conference on Artificial Intelligence and Machine Learning Applications: Healthcare and Internet of Things, AIMLA 2025</t>
  </si>
  <si>
    <t>10.1109/aimla63829.2025.11040740</t>
  </si>
  <si>
    <t>U07305_Pandey_2025.pdf</t>
  </si>
  <si>
    <t>U07317</t>
  </si>
  <si>
    <t>MDD-5k: A New Diagnostic Conversation Dataset for Mental Disorders Synthesized via Neuro-Symbolic LLM Agents</t>
  </si>
  <si>
    <t>Yin</t>
  </si>
  <si>
    <t>10.1609/aaai.v39i24.34763</t>
  </si>
  <si>
    <t>U07317_Yin_2025.pdf</t>
  </si>
  <si>
    <t>U07341</t>
  </si>
  <si>
    <t>Mental Health Support Using Gen-AI Shot Prompting Technique and Vector Embeddings</t>
  </si>
  <si>
    <t>Ponmagal</t>
  </si>
  <si>
    <t>2025 International Conference on Data Science and Business Systems, ICDSBS 2025</t>
  </si>
  <si>
    <t>10.1109/icdsbs63635.2025.11031881</t>
  </si>
  <si>
    <t>U07341_Ponmagal_2025.pdf</t>
  </si>
  <si>
    <t>U07346</t>
  </si>
  <si>
    <t>Mental Wellness Assistant using Retrieval-Augmented Generation (RAG)</t>
  </si>
  <si>
    <t>10.1109/icesc65114.2025.11212290</t>
  </si>
  <si>
    <t>U07346_Patil_2025.pdf</t>
  </si>
  <si>
    <t>U07347</t>
  </si>
  <si>
    <t>Mental Wellness ChatBot for Students Using NLP</t>
  </si>
  <si>
    <t>Pbv</t>
  </si>
  <si>
    <t>2nd International Conference on Machine Learning and Autonomous Systems, ICMLAS 2025 - Proceedings</t>
  </si>
  <si>
    <t>10.1109/icmlas64557.2025.10968123</t>
  </si>
  <si>
    <t>U07347_Pbv_2025.pdf</t>
  </si>
  <si>
    <t>U07348</t>
  </si>
  <si>
    <t>MentalChat16K: A Benchmark Dataset for Conversational Mental Health Assistance</t>
  </si>
  <si>
    <t>Proceedings of the ACM SIGKDD International Conference on Knowledge Discovery and Data Mining</t>
  </si>
  <si>
    <t>10.1145/3711896.3737393</t>
  </si>
  <si>
    <t>U07348_Xu_2025.pdf</t>
  </si>
  <si>
    <t>U07350</t>
  </si>
  <si>
    <t>Mentalic Net: Development of RAG-Based Conversational AI and Evaluation Framework for Mental Health Support</t>
  </si>
  <si>
    <t>Dutta</t>
  </si>
  <si>
    <t>Proceedings - 2025 IEEE International Symposium on Emerging Metaverse, ISEMV 2025</t>
  </si>
  <si>
    <t>10.1109/isemv67326.2025.00023</t>
  </si>
  <si>
    <t>U07350_Dutta_2025.pdf</t>
  </si>
  <si>
    <t>U07369</t>
  </si>
  <si>
    <t>MILO: An LLM Multi-Stage Conversational Agent for Fostering Teenagers’ Mental Resilience</t>
  </si>
  <si>
    <t>UIST Adjunct 2025 - Proceedings of the 38th Annual ACM Symposium on User Interface Software and Technology</t>
  </si>
  <si>
    <t>10.1145/3746058.3758411</t>
  </si>
  <si>
    <t>U07369_Bao_2025.pdf</t>
  </si>
  <si>
    <t>U07370</t>
  </si>
  <si>
    <t>Mind Ease: An Empathetic AI Companion for Women's Mental Wellness</t>
  </si>
  <si>
    <t>Monica Subashini</t>
  </si>
  <si>
    <t>5th IEEE International Conference on Innovations in Power and Advanced Computing Technologies, i-PACT 2025</t>
  </si>
  <si>
    <t>10.1109/i-pact65952.2025.11307990</t>
  </si>
  <si>
    <t>U07370_Monica-Subashini_2025.pdf</t>
  </si>
  <si>
    <t>U07371</t>
  </si>
  <si>
    <t>M. S. M</t>
  </si>
  <si>
    <t>2025 Innovations in Power and Advanced Computing Technologies (i-PACT)</t>
  </si>
  <si>
    <t>U07371_M_2025.pdf</t>
  </si>
  <si>
    <t>U07377</t>
  </si>
  <si>
    <t>MIND: Towards Immersive Psychological Healing with Multi-Agent Inner Dialogue</t>
  </si>
  <si>
    <t>10.18653/v1/2025.findings-emnlp.499</t>
  </si>
  <si>
    <t>U07377_Chen_2025.pdf</t>
  </si>
  <si>
    <t>U07378</t>
  </si>
  <si>
    <t>Mindbench.ai: an actionable platform to evaluate the profile and performance of large language models in a mental healthcare context</t>
  </si>
  <si>
    <t>Dwyer B</t>
  </si>
  <si>
    <t>NPP Digit Psychiatry Neurosci</t>
  </si>
  <si>
    <t>10.1038/s44277-025-00049-6</t>
  </si>
  <si>
    <t>U07378_Dwyer-B_2025.pdf</t>
  </si>
  <si>
    <t>U07380</t>
  </si>
  <si>
    <t>MindCare : Federated Machine Learning Chatbot for Mental Health Diagnosis</t>
  </si>
  <si>
    <t>Chopra</t>
  </si>
  <si>
    <t>Conference Proceedings - 2025 IEEE Silchar Subsection Conference, IEEE SILCON 2025</t>
  </si>
  <si>
    <t>10.1109/silcon67893.2025.11327170</t>
  </si>
  <si>
    <t>U07380_Chopra_2025.pdf</t>
  </si>
  <si>
    <t>U07381</t>
  </si>
  <si>
    <t>MindChat-R0: A Large Language Model for Emotionally Supportive Dialogue through Reinforcement Learning</t>
  </si>
  <si>
    <t>10.1145/3714394.3756244</t>
  </si>
  <si>
    <t>U07381_She_2025.pdf</t>
  </si>
  <si>
    <t>U07382</t>
  </si>
  <si>
    <t>MindHaven: Retrieval-Augmented Large Language Models for AI-Powered Mental Health Support</t>
  </si>
  <si>
    <t>Proceedings of the 16th Student Research Conference on Applied Computing: AI Innovations for a Better Tomorrow, SRC 2025</t>
  </si>
  <si>
    <t>10.1109/src65875.2025.11263620</t>
  </si>
  <si>
    <t>U07382_Yahia_2025.pdf</t>
  </si>
  <si>
    <t>U07384</t>
  </si>
  <si>
    <t>MindMate: A Mental Health Support Chatbot with LLM Integration and Emotion Detection</t>
  </si>
  <si>
    <t>Chalwadi</t>
  </si>
  <si>
    <t>2025 IEEE Guwahati Subsection Conference, GCON 2025</t>
  </si>
  <si>
    <t>10.1109/gcon65540.2025.11173385</t>
  </si>
  <si>
    <t>U07384_Chalwadi_2025.pdf</t>
  </si>
  <si>
    <t>U07385</t>
  </si>
  <si>
    <t>MindMate: AI-Powered Multilingual Mental Health Chatbot with Personalized Voice and Text Support using Rasa and Streamlit</t>
  </si>
  <si>
    <t>Giritharan</t>
  </si>
  <si>
    <t>16th International Conference on Advances in Computing, Control, and Telecommunication Technologies, ACT 2025</t>
  </si>
  <si>
    <t>U07385_Giritharan_2025.pdf</t>
  </si>
  <si>
    <t>U07386</t>
  </si>
  <si>
    <t>MindMate: AI-Powered Multilingual Mental Health Chatbot with Personalized Voice and Text Support with Rasa and Streamlit</t>
  </si>
  <si>
    <t>Dharshini</t>
  </si>
  <si>
    <t>Proceedings of the International Conference on Intelligent Computing and Control Systems, ICICCS 2025</t>
  </si>
  <si>
    <t>10.1109/iciccs65191.2025.10985281</t>
  </si>
  <si>
    <t>U07386_Dharshini_2025.pdf</t>
  </si>
  <si>
    <t>U07387</t>
  </si>
  <si>
    <t>D. S</t>
  </si>
  <si>
    <t>2025 International Conference on Intelligent Computing and Control Systems (ICICCS)</t>
  </si>
  <si>
    <t>U07387_S_2025.pdf</t>
  </si>
  <si>
    <t>U07389</t>
  </si>
  <si>
    <t>MindMate: An LLM-Powered Mental Health Companion for Adolescents</t>
  </si>
  <si>
    <t>10.1007/978-3-031-99261-2_8</t>
  </si>
  <si>
    <t>U07389_Chen_2025.pdf</t>
  </si>
  <si>
    <t>U07394</t>
  </si>
  <si>
    <t>MindWell AI Assistant: A Privacy-First Intelligent Mental Health Support System</t>
  </si>
  <si>
    <t>Das</t>
  </si>
  <si>
    <t>IC-DECON 2025 - 2025 International Conference on Data, Energy and Communication Network, Proceedings</t>
  </si>
  <si>
    <t>10.1109/decon67170.2025.11448081</t>
  </si>
  <si>
    <t>U07394_Das_2025.pdf</t>
  </si>
  <si>
    <t>U07395</t>
  </si>
  <si>
    <t>MindWell: A Conversational Agent for Professional Depression Screening on Social Media</t>
  </si>
  <si>
    <t>10.1007/978-3-031-88720-8_9</t>
  </si>
  <si>
    <t>U07395_Bao_2025.pdf</t>
  </si>
  <si>
    <t>U07400</t>
  </si>
  <si>
    <t>MIRROR: Multimodal Cognitive Reframing Therapy for Rolling with Resistance</t>
  </si>
  <si>
    <t>10.18653/v1/2025.emnlp-main.751</t>
  </si>
  <si>
    <t>U07400_Kim_2025.pdf</t>
  </si>
  <si>
    <t>U07408</t>
  </si>
  <si>
    <t>Mobile Virtual Assistant for Multi-Modal Depression-Level Stratification</t>
  </si>
  <si>
    <t>10.1109/taffc.2024.3451114</t>
  </si>
  <si>
    <t>U07408_Wu_2025.pdf</t>
  </si>
  <si>
    <t>U07419</t>
  </si>
  <si>
    <t>Moodulator: An Integrated IoT and Chatbot Solution for Stress Management</t>
  </si>
  <si>
    <t>Rajesh</t>
  </si>
  <si>
    <t>3rd International Conference on Networks and Advances in Computational Technologies, NetACT 2025</t>
  </si>
  <si>
    <t>10.1109/netact65906.2025.11188315</t>
  </si>
  <si>
    <t>U07419_Rajesh_2025.pdf</t>
  </si>
  <si>
    <t>U07442</t>
  </si>
  <si>
    <t>Multi-Tiered RAG-Based Chatbot for Mental Health Support</t>
  </si>
  <si>
    <t>Siddique</t>
  </si>
  <si>
    <t>Proceedings - 2025 8th International Women in Data Science Conference at Prince Sultan University, WiDS-PSU 2025</t>
  </si>
  <si>
    <t>10.1109/wids-psu64963.2025.00041</t>
  </si>
  <si>
    <t>U07442_Siddique_2025.pdf</t>
  </si>
  <si>
    <t>U07443</t>
  </si>
  <si>
    <t>MultiAgentESC: A LLM-based Multi-Agent Collaboration Framework for Emotional Support Conversation</t>
  </si>
  <si>
    <t>10.18653/v1/2025.emnlp-main.232</t>
  </si>
  <si>
    <t>U07443_Xu_2025.pdf</t>
  </si>
  <si>
    <t>U07445</t>
  </si>
  <si>
    <t>Multilingual Conversational AI Chatbot for Mental Health: A Scalable Solution for Personalized and Empathetic Support</t>
  </si>
  <si>
    <t>Proceedings - 2025 IEEE 1st International Conference on Smart Innovations in Systems, Infrastructure, Mechanical, Power, AI and Computing Technologies, SISIMPACT 2025</t>
  </si>
  <si>
    <t>10.1109/sisimpact67725.2025.11439852</t>
  </si>
  <si>
    <t>U07445_Das_2025.pdf</t>
  </si>
  <si>
    <t>U07451</t>
  </si>
  <si>
    <t>Multimodal Cognitive Reframing Therapy via Multi-hop Psychotherapeutic Reasoning</t>
  </si>
  <si>
    <t>10.18653/v1/2025.naacl-long.250</t>
  </si>
  <si>
    <t>U07451_Kim_2025.pdf</t>
  </si>
  <si>
    <t>U07452</t>
  </si>
  <si>
    <t>Multimodal Conversational Agent for Mental Health Support: Integrating Text, Voice, Visual, and Multilingual Emotion-Aware Analysis</t>
  </si>
  <si>
    <t>Chebolu</t>
  </si>
  <si>
    <t>10.1109/icrteect67512.2025.11448924</t>
  </si>
  <si>
    <t>U07452_Chebolu_2025.pdf</t>
  </si>
  <si>
    <t>U07469</t>
  </si>
  <si>
    <t>Natural language processing-based emotion and usage analysis of an AI-powered chatbot for epilepsy support</t>
  </si>
  <si>
    <t>Watanuki</t>
  </si>
  <si>
    <t>Epilepsia Open</t>
  </si>
  <si>
    <t>10.1002/epi4.70186</t>
  </si>
  <si>
    <t>U07469_Watanuki_2025.pdf</t>
  </si>
  <si>
    <t>U07480</t>
  </si>
  <si>
    <t>Navigating “Limerence”: Designing a Customized ChatGPT-Based Assistant System</t>
  </si>
  <si>
    <t>Mei</t>
  </si>
  <si>
    <t>10.1007/978-3-031-94162-7_16</t>
  </si>
  <si>
    <t>U07480_Mei_2025.pdf</t>
  </si>
  <si>
    <t>U07513</t>
  </si>
  <si>
    <t>One Size Fits None: Co-designing the Chatbot Prompting Guide for Personalised Emotion Regulation Assistance</t>
  </si>
  <si>
    <t>BCS HCI 2025 - Human Centred Approaches and their Impact on AI System Design, Application, and Evaluation</t>
  </si>
  <si>
    <t>10.14236/ewic/bcshci2025.38</t>
  </si>
  <si>
    <t>U07513_Vafafar_2025.pdf</t>
  </si>
  <si>
    <t>U07522</t>
  </si>
  <si>
    <t>Opportunities, Requirements, and Risks of a Student Mental Health Chatbot: A Qualitative User-Centered, Multi-Method Approach</t>
  </si>
  <si>
    <t>10.3233/shti250221</t>
  </si>
  <si>
    <t>U07522_Reichenpfader_2025.pdf</t>
  </si>
  <si>
    <t>U07531</t>
  </si>
  <si>
    <t>Optimizing Mental-Health Support via Context-Sensitive Conversational AI</t>
  </si>
  <si>
    <t>Proceedings - 4th International Conference on Computer Applications Technology, CCAT 2025</t>
  </si>
  <si>
    <t>10.1109/ccat68690.2025.00036</t>
  </si>
  <si>
    <t>U07531_Zhang_2025.pdf</t>
  </si>
  <si>
    <t>U07555</t>
  </si>
  <si>
    <t>Path Modeling of Visual Attention, User Perceptions, and Behavior Change Intentions in Conversations With Embodied Agents in VR</t>
  </si>
  <si>
    <t>Vankit</t>
  </si>
  <si>
    <t>10.1002/cav.70028</t>
  </si>
  <si>
    <t>U07555_Vankit_2025.pdf</t>
  </si>
  <si>
    <t>U07568</t>
  </si>
  <si>
    <t>Patients’ and Health Care Professionals’ Expectations of Virtual Therapeutic Agents in Outpatient Aftercare: Qualitative Survey Study</t>
  </si>
  <si>
    <t>Immel</t>
  </si>
  <si>
    <t>10.2196/59527</t>
  </si>
  <si>
    <t>U07568_Immel_2025.pdf</t>
  </si>
  <si>
    <t>U07580</t>
  </si>
  <si>
    <t>Perception of Empathy in Mental Health Care Through Voice-Based Conversational Agent Prototypes: Experimental Study</t>
  </si>
  <si>
    <t>Sanjeewa</t>
  </si>
  <si>
    <t>10.2196/69329</t>
  </si>
  <si>
    <t>U07580_Sanjeewa_2025.pdf</t>
  </si>
  <si>
    <t>U07594</t>
  </si>
  <si>
    <t>Performance of mental health chatbot agents in detecting and managing suicidal ideation</t>
  </si>
  <si>
    <t>Pichowicz</t>
  </si>
  <si>
    <t>10.1038/s41598-025-17242-4</t>
  </si>
  <si>
    <t>U07594_Pichowicz_2025.pdf</t>
  </si>
  <si>
    <t>U07597</t>
  </si>
  <si>
    <t>Persona Drift for Adaptive Flow in Stage-Aware CBT Chatbots</t>
  </si>
  <si>
    <t>Yun</t>
  </si>
  <si>
    <t>10.1145/3714394.3756337</t>
  </si>
  <si>
    <t>U07597_Yun_2025.pdf</t>
  </si>
  <si>
    <t>U07606</t>
  </si>
  <si>
    <t>Personalized Conversation Management with Emotional Memory</t>
  </si>
  <si>
    <t>C. -G. Lim</t>
  </si>
  <si>
    <t>2025 IEEE International Conference on Big Data and Smart Computing (BigComp)</t>
  </si>
  <si>
    <t>10.1109/bigcomp64353.2025.00086</t>
  </si>
  <si>
    <t>U07606_Lim_2025.pdf</t>
  </si>
  <si>
    <t>U07607</t>
  </si>
  <si>
    <t>Personalized Mental Health Assistance with Large Language Models</t>
  </si>
  <si>
    <t>Shafi</t>
  </si>
  <si>
    <t>Proceedings - 2025 IEEE 49th Annual Computers, Software, and Applications Conference, COMPSAC 2025</t>
  </si>
  <si>
    <t>10.1109/compsac65507.2025.00109</t>
  </si>
  <si>
    <t>U07607_Shafi_2025.pdf</t>
  </si>
  <si>
    <t>U07608</t>
  </si>
  <si>
    <t>Personalized Mental Health Assistance: Integrating Emotion Prediction with GPT-Based Chatbot</t>
  </si>
  <si>
    <t>Kifayathullah</t>
  </si>
  <si>
    <t>10.1109/sceecs64059.2025.10940203</t>
  </si>
  <si>
    <t>U07608_Kifayathullah_2025.pdf</t>
  </si>
  <si>
    <t>U07612</t>
  </si>
  <si>
    <t>Personalized Support in Hereditary Breast and Ovarian Cancer After Genetic Counseling by the Chatbot-Based GENIE Mobile App: Proof-of-Concept Wizard of Oz Study</t>
  </si>
  <si>
    <t>Wolff</t>
  </si>
  <si>
    <t>10.2196/69115</t>
  </si>
  <si>
    <t>U07612_Wolff_2025.pdf</t>
  </si>
  <si>
    <t>U07622</t>
  </si>
  <si>
    <t>Phoenix: A Conversational Agent for Emotional Well-Being and Psychological Support</t>
  </si>
  <si>
    <t>Proceedings of the International Conference on Multi-Agent Systems for Collaborative Intelligence, ICMSCI 2025</t>
  </si>
  <si>
    <t>10.1109/icmsci62561.2025.10894579</t>
  </si>
  <si>
    <t>U07622_Benita_2025.pdf</t>
  </si>
  <si>
    <t>U07638</t>
  </si>
  <si>
    <t>POCKET-MIND: Personalized LLM-based Journaling to Support Emotional Awareness and Goal Pursuit</t>
  </si>
  <si>
    <t>10.1145/3714394.3756347</t>
  </si>
  <si>
    <t>U07638_Yang_2025.pdf</t>
  </si>
  <si>
    <t>U07639</t>
  </si>
  <si>
    <t>Poemithy: Leveraging Multimodal LLMs for Emotional Healing through Classical Chinese Poetry</t>
  </si>
  <si>
    <t>10.1145/3714394.3754361</t>
  </si>
  <si>
    <t>U07639_Zhang_2025.pdf</t>
  </si>
  <si>
    <t>U07647</t>
  </si>
  <si>
    <t>Postpartum Depression Prediction Using Machine Learning Models with Chatbot Assistance</t>
  </si>
  <si>
    <t>Advaith</t>
  </si>
  <si>
    <t>2025 17th IEEE International Conference on Computational Intelligence and Communication Networks, CICN 2025</t>
  </si>
  <si>
    <t>10.1109/cicn67655.2025.11368322</t>
  </si>
  <si>
    <t>U07647_Advaith_2025.pdf</t>
  </si>
  <si>
    <t>U07648</t>
  </si>
  <si>
    <t>A. G</t>
  </si>
  <si>
    <t>2025 IEEE 17th International Conference on Computational Intelligence and Communication Networks (CICN)</t>
  </si>
  <si>
    <t>U07648_G_2025.pdf</t>
  </si>
  <si>
    <t>U07651</t>
  </si>
  <si>
    <t>Potential of ChatGPT in youth mental health emergency triage: Comparative analysis with clinicians</t>
  </si>
  <si>
    <t>Thotapalli</t>
  </si>
  <si>
    <t>Psychiatry and Clinical Neurosciences Reports</t>
  </si>
  <si>
    <t>10.1002/pcn5.70159</t>
  </si>
  <si>
    <t>U07651_Thotapalli_2025.pdf</t>
  </si>
  <si>
    <t>U07653</t>
  </si>
  <si>
    <t>PPRSA: A Plug-and-Play Language Model With Rational Speech Act Inference for Generating Empathetic and Engaging Dialogue Responses</t>
  </si>
  <si>
    <t>J. Chang</t>
  </si>
  <si>
    <t>10.1109/taslpro.2025.3578773</t>
  </si>
  <si>
    <t>U07653_Chang_2025.pdf</t>
  </si>
  <si>
    <t>U07672</t>
  </si>
  <si>
    <t>Pretraining a Generative AI Model on CBT Sessions to Emulate Human Therapist Strategies: A Study Using the APA Psyctherapy Database</t>
  </si>
  <si>
    <t>Islam</t>
  </si>
  <si>
    <t>IEEE International Conference on Data Mining Workshops, ICDMW</t>
  </si>
  <si>
    <t>10.1109/icdmw69685.2025.00243</t>
  </si>
  <si>
    <t>U07672_Islam_2025.pdf</t>
  </si>
  <si>
    <t>U07686</t>
  </si>
  <si>
    <t>Private Yet Social: How LLM Chatbots Support and Challenge Eating Disorder Recovery</t>
  </si>
  <si>
    <t>10.1145/3706598.3713485</t>
  </si>
  <si>
    <t>U07686_Choi_2025.pdf</t>
  </si>
  <si>
    <t>U07690</t>
  </si>
  <si>
    <t>Producing Considerate Responses: Progressive Staged Training for Emotional Support Conversation</t>
  </si>
  <si>
    <t>Lv</t>
  </si>
  <si>
    <t>10.1109/tcss.2024.3477531</t>
  </si>
  <si>
    <t>U07690_Lv_2025.pdf</t>
  </si>
  <si>
    <t>U07695</t>
  </si>
  <si>
    <t>Promoting Emotional and Psychological Well-being in Students through a Self-Help ChatGPT Intervention: Artificial Intelligence Powered Support</t>
  </si>
  <si>
    <t>Alshammari</t>
  </si>
  <si>
    <t>INTERNATIONAL JOURNAL OF INSTRUCTION</t>
  </si>
  <si>
    <t>10.29333/iji.2025.18326a</t>
  </si>
  <si>
    <t>U07695_Alshammari_2025.pdf</t>
  </si>
  <si>
    <t>U07696</t>
  </si>
  <si>
    <t>Prompt Engineering an Informational Chatbot for Education on Mental Health Using a Multiagent Approach for Enhanced Compliance With Prompt Instructions: Algorithm Development and Validation</t>
  </si>
  <si>
    <t>Waaler</t>
  </si>
  <si>
    <t>10.2196/69820</t>
  </si>
  <si>
    <t>U07696_Waaler_2025.pdf</t>
  </si>
  <si>
    <t>U07697</t>
  </si>
  <si>
    <t>Prompt Learning With Multiperspective Cues for Emotional Support Conversation Systems</t>
  </si>
  <si>
    <t>10.1109/tcss.2025.3539915</t>
  </si>
  <si>
    <t>U07697_Xu_2025.pdf</t>
  </si>
  <si>
    <t>U07708</t>
  </si>
  <si>
    <t>PsyAdvisor: A Plug-and-Play Strategy Advice Planner with Proactive Questioning in Psychological Conversations</t>
  </si>
  <si>
    <t>10.18653/v1/2025.acl-long.596</t>
  </si>
  <si>
    <t>U07708_Hu_2025.pdf</t>
  </si>
  <si>
    <t>U07709</t>
  </si>
  <si>
    <t>PsyBART: A Large-Model-Based Dialogue System for Depression Therapy</t>
  </si>
  <si>
    <t>2025 8th International Conference on Big Data and Artificial Intelligence, BDAI 2025</t>
  </si>
  <si>
    <t>10.1109/bdai66031.2025.11325493</t>
  </si>
  <si>
    <t>U07709_Wu_2025.pdf</t>
  </si>
  <si>
    <t>U07710</t>
  </si>
  <si>
    <t>PsyBot: A randomized controlled trial of WhatsApp-based psychological first aid to reduce loneliness among 18–22-year-old students in Yogyakarta, Indonesia</t>
  </si>
  <si>
    <t>Indrayanti</t>
  </si>
  <si>
    <t>SSM - Mental Health</t>
  </si>
  <si>
    <t>10.1016/j.ssmmh.2025.100504</t>
  </si>
  <si>
    <t>U07710_Indrayanti_2025.pdf</t>
  </si>
  <si>
    <t>U07715</t>
  </si>
  <si>
    <t>Psychological Assistance Model Based on Fine-Tuning and Knowledge Base Technology</t>
  </si>
  <si>
    <t>2025 International Conference on Computational Intelligence and Robotics, CIR 2025</t>
  </si>
  <si>
    <t>10.1109/cir65373.2025.11257373</t>
  </si>
  <si>
    <t>U07715_Wu_2025.pdf</t>
  </si>
  <si>
    <t>U07716</t>
  </si>
  <si>
    <t>Psychological Consultation Dialogue Generation Based on Multi-label Classification Model and GPT</t>
  </si>
  <si>
    <t>10.1007/978-981-97-7007-6_10</t>
  </si>
  <si>
    <t>U07716_Xu_2025.pdf</t>
  </si>
  <si>
    <t>U07717</t>
  </si>
  <si>
    <t>Psychological First Aid by AI: Proof-of-Concept and Comparative Performance of ChatGPT-4 and Gemini in Different Disaster Scenarios</t>
  </si>
  <si>
    <t>Journal of Clinical Psychology</t>
  </si>
  <si>
    <t>10.1002/jclp.23808</t>
  </si>
  <si>
    <t>U07717_Tan_2025.pdf</t>
  </si>
  <si>
    <t>U07719</t>
  </si>
  <si>
    <t>Psychological Health Chatbot, Detecting and Assisting Patients in their Path to Recovery</t>
  </si>
  <si>
    <t>Jafari</t>
  </si>
  <si>
    <t>U07719_Jafari_2025.pdf</t>
  </si>
  <si>
    <t>U07722</t>
  </si>
  <si>
    <t>Psychology student and mental health practitioner experiences of and perspectives on Client101, a virtual client chatbot training tool</t>
  </si>
  <si>
    <t>Schmidt</t>
  </si>
  <si>
    <t>10.1186/s12909-025-07668-9</t>
  </si>
  <si>
    <t>U07722_Schmidt_2025.pdf</t>
  </si>
  <si>
    <t>U07725</t>
  </si>
  <si>
    <t>PsyDial: A Large-scale Long-term Conversational Dataset for Mental Health Support</t>
  </si>
  <si>
    <t>10.18653/v1/2025.acl-long.1049</t>
  </si>
  <si>
    <t>U07725_Qiu_2025.pdf</t>
  </si>
  <si>
    <t>U07726</t>
  </si>
  <si>
    <t>PsyDT: Using LLMs to Construct the Digital Twin of Psychological Counselor with Personalized Counseling Style for Psychological Counseling</t>
  </si>
  <si>
    <t>10.18653/v1/2025.acl-long.55</t>
  </si>
  <si>
    <t>U07726_Xie_2025.pdf</t>
  </si>
  <si>
    <t>U07746</t>
  </si>
  <si>
    <t>RAG-Based Chatbot System for Mental Health Severity Detection</t>
  </si>
  <si>
    <t>Jarange</t>
  </si>
  <si>
    <t>2025 9th International Conference on Computing, Communication, Control and Automation, ICCCBEA 2025</t>
  </si>
  <si>
    <t>10.1109/iccubea65967.2025.11284217</t>
  </si>
  <si>
    <t>U07746_Jarange_2025.pdf</t>
  </si>
  <si>
    <t>U07747</t>
  </si>
  <si>
    <t>RAG-TPC: Retrieval Augmented Generation for Teenager Psychological Counseling Using DeepSeek</t>
  </si>
  <si>
    <t>EAI Endorsed Transactions on Pervasive Health and Technology</t>
  </si>
  <si>
    <t>10.4108/eetpht.11.11669</t>
  </si>
  <si>
    <t>U07747_Li_2025.pdf</t>
  </si>
  <si>
    <t>U07758</t>
  </si>
  <si>
    <t>Real-Time Emotion Recognition and Response Generation via LLM-Embedded Multimodal Interfaces</t>
  </si>
  <si>
    <t>2025 IEEE 7th International Conference on Computing, Communication and Automation, ICCCA 2025</t>
  </si>
  <si>
    <t>10.1109/iccca66364.2025.11325440</t>
  </si>
  <si>
    <t>U07758_Verma_2025.pdf</t>
  </si>
  <si>
    <t>U07760</t>
  </si>
  <si>
    <t>Real-Time Mental Health Prediction Using An AI Chatbot Powered By SVM</t>
  </si>
  <si>
    <t>Natania</t>
  </si>
  <si>
    <t>Proceedings of 3rd International Conference on Augmented Intelligence and Sustainable Systems, ICAISS 2025</t>
  </si>
  <si>
    <t>10.1109/icaiss61471.2025.11042009</t>
  </si>
  <si>
    <t>U07760_Natania_2025.pdf</t>
  </si>
  <si>
    <t>U07789</t>
  </si>
  <si>
    <t>Reframe Your Life Story: Interactive Narrative Therapist and Innovative Moment Assessment with Large Language Models</t>
  </si>
  <si>
    <t>10.18653/v1/2025.emnlp-main.1245</t>
  </si>
  <si>
    <t>U07789_Feng_2025.pdf</t>
  </si>
  <si>
    <t>U07807</t>
  </si>
  <si>
    <t>Research on a Mental Health Service System Based on an Improved RAG Algorithm</t>
  </si>
  <si>
    <t>2025 IEEE 3rd International Conference on Electrical, Automation and Computer Engineering, ICEACE 2025</t>
  </si>
  <si>
    <t>10.1109/iceace67491.2025.11439659</t>
  </si>
  <si>
    <t>U07807_Chen_2025.pdf</t>
  </si>
  <si>
    <t>U07808</t>
  </si>
  <si>
    <t>Research on an Emotion Soothing System Based on Virtual Reality and Multimodal Interaction</t>
  </si>
  <si>
    <t>ICTC 2025 - 2025 6th Information Communication Technologies Conference</t>
  </si>
  <si>
    <t>10.1109/ictc67375.2025.11291968</t>
  </si>
  <si>
    <t>U07808_Zhao_2025.pdf</t>
  </si>
  <si>
    <t>U07857</t>
  </si>
  <si>
    <t>Role-Play Large Language Models for Short Behavior Change Interventions: An Exploratory Study on Brief Action Planning</t>
  </si>
  <si>
    <t>10.1007/978-3-031-95841-0_9</t>
  </si>
  <si>
    <t>U07857_Bolpagni_2025.pdf</t>
  </si>
  <si>
    <t>U07867</t>
  </si>
  <si>
    <t>Safety and User Experience of a Generative Artificial Intelligence Digital Mental Health Intervention: Exploratory Randomized Controlled Trial</t>
  </si>
  <si>
    <t>Campellone</t>
  </si>
  <si>
    <t>10.2196/67365</t>
  </si>
  <si>
    <t>U07867_Campellone_2025.pdf</t>
  </si>
  <si>
    <t>U07872</t>
  </si>
  <si>
    <t>Sanity-LLM: Enhancing Mental Health Chatbots with Retrieval-Augmented Generation (RAG)</t>
  </si>
  <si>
    <t>Christiawan</t>
  </si>
  <si>
    <t>Proceedings - 7th International Conference on Informatics, Multimedia, Cyber and Information System, ICIMCIS 2025</t>
  </si>
  <si>
    <t>10.1109/icimcis68501.2025.11327020</t>
  </si>
  <si>
    <t>U07872_Christiawan_2025.pdf</t>
  </si>
  <si>
    <t>U07877</t>
  </si>
  <si>
    <t>Scaffolding Empathy: Training Counselors with Simulated Patients and Utterance-level Performance Visualizations</t>
  </si>
  <si>
    <t>10.1145/3706598.3714014</t>
  </si>
  <si>
    <t>U07877_Steenstra_2025.pdf</t>
  </si>
  <si>
    <t>U07882</t>
  </si>
  <si>
    <t>Screening for common mental health disorders: a psychometric evaluation of a chatbot system</t>
  </si>
  <si>
    <t>Podina</t>
  </si>
  <si>
    <t>10.1080/0144929x.2023.2275164</t>
  </si>
  <si>
    <t>U07882_Podina_2025.pdf</t>
  </si>
  <si>
    <t>U07883</t>
  </si>
  <si>
    <t>Script-Strategy Aligned Generation: Aligning LLMs with Expert-Crafted Dialogue Scripts and Therapeutic Strategies for Psychotherapy</t>
  </si>
  <si>
    <t>Sun</t>
  </si>
  <si>
    <t>10.1145/3757655</t>
  </si>
  <si>
    <t>U07883_Sun_2025.pdf</t>
  </si>
  <si>
    <t>U07887</t>
  </si>
  <si>
    <t>Seeking Emotional and Mental Health Support From Generative AI: Mixed-Methods Study of ChatGPT User Experiences</t>
  </si>
  <si>
    <t>10.2196/77951</t>
  </si>
  <si>
    <t>U07887_Luo_2025.pdf</t>
  </si>
  <si>
    <t>U07893</t>
  </si>
  <si>
    <t>Self-help psychological intervention for young individuals during the post-COVID-19 era: development of a PST chatbot using GPT-4</t>
  </si>
  <si>
    <t>Mo</t>
  </si>
  <si>
    <t>10.3389/fdgth.2025.1627268</t>
  </si>
  <si>
    <t>U07893_Mo_2025.pdf</t>
  </si>
  <si>
    <t>U07904</t>
  </si>
  <si>
    <t>Sentiment Analysis-Based Model for Monitoring User Engagement With Mental Health Chatbots</t>
  </si>
  <si>
    <t>Mmbayi</t>
  </si>
  <si>
    <t>Engineering Reports</t>
  </si>
  <si>
    <t>10.1002/eng2.70247</t>
  </si>
  <si>
    <t>U07904_Mmbayi_2025.pdf</t>
  </si>
  <si>
    <t>U07911</t>
  </si>
  <si>
    <t>Serencoach: an Ai-Driven Persuasive Digital Coach for Anxiety and Depression Management</t>
  </si>
  <si>
    <t>SeGAH 2025 - 2025 IEEE 13th Conference on Serious Games and Applications for Health</t>
  </si>
  <si>
    <t>10.1109/segah65397.2025.11168296</t>
  </si>
  <si>
    <t>U07911_Patel_2025.pdf</t>
  </si>
  <si>
    <t>U07912</t>
  </si>
  <si>
    <t>Sex differences in PTSD speech biomarkers assessed by virtual agent-induced conversations</t>
  </si>
  <si>
    <t>Menne</t>
  </si>
  <si>
    <t>FRONTIERS IN PSYCHOLOGY</t>
  </si>
  <si>
    <t>10.3389/fpsyg.2025.1509206</t>
  </si>
  <si>
    <t>U07912_Menne_2025.pdf</t>
  </si>
  <si>
    <t>U07920</t>
  </si>
  <si>
    <t>Sibyl: Empowering Empathetic Dialogue Generation in Large Language Models via Sensible and Visionary Commonsense Inference</t>
  </si>
  <si>
    <t>U07920_Wang_2025.pdf</t>
  </si>
  <si>
    <t>U07921</t>
  </si>
  <si>
    <t>SilentCare: A Trust-Aware and Explainable AI Companion for Mental Health Support Through Adaptive Multichannel Dialogue Management</t>
  </si>
  <si>
    <t>Fazal</t>
  </si>
  <si>
    <t>Proceedings of 10th International Conference on Communication and Electronics Systems, ICCES 2025</t>
  </si>
  <si>
    <t>10.1109/icces67310.2025.11336240</t>
  </si>
  <si>
    <t>U07921_Fazal_2025.pdf</t>
  </si>
  <si>
    <t>U07926</t>
  </si>
  <si>
    <t>Single online self-compassion writing intervention reduces anxiety: With the feedback of ChatGPT</t>
  </si>
  <si>
    <t>Kishimoto</t>
  </si>
  <si>
    <t>INTERNET INTERVENTIONS-THE APPLICATION OF INFORMATION TECHNOLOGY IN MENTAL AND BEHAVIOURAL HEALTH</t>
  </si>
  <si>
    <t>10.1016/j.invent.2025.100810</t>
  </si>
  <si>
    <t>U07926_Kishimoto_2025.pdf</t>
  </si>
  <si>
    <t>U07936</t>
  </si>
  <si>
    <t>SkillSet Sherpa: Career Counseling with Large Language Models</t>
  </si>
  <si>
    <t>Arya</t>
  </si>
  <si>
    <t>10.1007/978-981-97-9523-9_23</t>
  </si>
  <si>
    <t>U07936_Arya_2025.pdf</t>
  </si>
  <si>
    <t>U07943</t>
  </si>
  <si>
    <t>Smart Chatbots for Mental Health Support: AI-Based Screening and Early Identification of Depression</t>
  </si>
  <si>
    <t>Devi</t>
  </si>
  <si>
    <t>2025 IEEE 6th Global Conference for Advancement in Technology, GCAT 2025</t>
  </si>
  <si>
    <t>10.1109/gcat66372.2025.11368476</t>
  </si>
  <si>
    <t>U07943_Devi_2025.pdf</t>
  </si>
  <si>
    <t>U07953</t>
  </si>
  <si>
    <t>Smart Wellness through Conversational AI: Building FitVore with Gemini for Personalized Health Coaching</t>
  </si>
  <si>
    <t>Tyagi</t>
  </si>
  <si>
    <t>Proceedings of the 2025 International Conference on Artificial Intelligence and Emerging Technology, Global AI Summit 2025</t>
  </si>
  <si>
    <t>10.1109/aisummit66170.2025.11411641</t>
  </si>
  <si>
    <t>U07953_Tyagi_2025.pdf</t>
  </si>
  <si>
    <t>U07954</t>
  </si>
  <si>
    <t>SMART-DREAM: To Condition or Not to Condition; A Study on the Impact of LLM Conditioning on Motivational Interview Dialog Virtual Agent</t>
  </si>
  <si>
    <t>10.1145/3717511.3747062</t>
  </si>
  <si>
    <t>U07954_Galland_2025.pdf</t>
  </si>
  <si>
    <t>U07969</t>
  </si>
  <si>
    <t>SocialSim: Towards Socialized Simulation of Emotional Support Conversation</t>
  </si>
  <si>
    <t>10.1609/aaai.v39i2.32116</t>
  </si>
  <si>
    <t>U07969_Chen_2025.pdf</t>
  </si>
  <si>
    <t>U07977</t>
  </si>
  <si>
    <t>Soulbot: Chatbots for Mental Health Support using Gemini</t>
  </si>
  <si>
    <t>Rakhma</t>
  </si>
  <si>
    <t>ICoCSETI 2025 - International Conference on Computer Sciences, Engineering, and Technology Innovation, Proceeding</t>
  </si>
  <si>
    <t>10.1109/icocseti63724.2025.11020143</t>
  </si>
  <si>
    <t>U07977_Rakhma_2025.pdf</t>
  </si>
  <si>
    <t>U07985</t>
  </si>
  <si>
    <t>Speech-Based Virtual Assistant for Mental Health Support Through Natural Interaction</t>
  </si>
  <si>
    <t>Kurniawan</t>
  </si>
  <si>
    <t>Jurnal RESTI</t>
  </si>
  <si>
    <t>10.29207/resti.v9i6.6585</t>
  </si>
  <si>
    <t>U07985_Kurniawan_2025.pdf</t>
  </si>
  <si>
    <t>U07990</t>
  </si>
  <si>
    <t>STAMPsy: Towards SpatioTemporal-Aware Mixed-Type Dialogues for Psychological Counseling</t>
  </si>
  <si>
    <t>10.1609/aaai.v39i24.34725</t>
  </si>
  <si>
    <t>U07990_Wang_2025.pdf</t>
  </si>
  <si>
    <t>U07998</t>
  </si>
  <si>
    <t>Stress and Depression Detection by Chatbot</t>
  </si>
  <si>
    <t>Shaik</t>
  </si>
  <si>
    <t>10.1007/978-981-97-9926-8_36</t>
  </si>
  <si>
    <t>U07998_Shaik_2025.pdf</t>
  </si>
  <si>
    <t>U08000</t>
  </si>
  <si>
    <t>Stress Detection Using SVM and Virtual Assistant</t>
  </si>
  <si>
    <t>Amale</t>
  </si>
  <si>
    <t>10.1109/sceecs64059.2025.10940886</t>
  </si>
  <si>
    <t>U08000_Amale_2025.pdf</t>
  </si>
  <si>
    <t>U08007</t>
  </si>
  <si>
    <t>Structured Dialogue System for Mental Health: An LLM Chatbot Leveraging the PM+ Guidelines</t>
  </si>
  <si>
    <t>10.1007/978-981-96-1151-5_27</t>
  </si>
  <si>
    <t>U08007_Chen_2025.pdf</t>
  </si>
  <si>
    <t>U08009</t>
  </si>
  <si>
    <t>Student Mental Health Support Bot using Natural Language Processing with Crisis Intervention Alerts and Therapeutic Music Suggestions</t>
  </si>
  <si>
    <t>Mathew</t>
  </si>
  <si>
    <t>Proceedings of International Conference on Sustainable Communication Networks and Application, ICSCN 2025</t>
  </si>
  <si>
    <t>10.1109/icscn67106.2025.11308358</t>
  </si>
  <si>
    <t>U08009_Mathew_2025.pdf</t>
  </si>
  <si>
    <t>U08046</t>
  </si>
  <si>
    <t>Tailored Virtual Agent Guidance for Stress Management: Comparing Directive and Non-Directive Approaches by Alexithymia Status</t>
  </si>
  <si>
    <t>10.1145/3706599.3719824</t>
  </si>
  <si>
    <t>U08046_You_2025.pdf</t>
  </si>
  <si>
    <t>U08071</t>
  </si>
  <si>
    <t>TeenEmpath: Towards Adolescent Psychological Counseling With Multiple Personas and Strategies</t>
  </si>
  <si>
    <t>10.1109/taffc.2025.3638958</t>
  </si>
  <si>
    <t>U08071_Zhang_2025.pdf</t>
  </si>
  <si>
    <t>U08080</t>
  </si>
  <si>
    <t>Text or talk? The impact of chatbot identity disclosure, emotional support, and interaction modality on users’ emotional reactions and neural activity</t>
  </si>
  <si>
    <t>Ergonomics</t>
  </si>
  <si>
    <t>10.1080/00140139.2025.2605058</t>
  </si>
  <si>
    <t>U08080_Chen_2025.pdf</t>
  </si>
  <si>
    <t>U08084</t>
  </si>
  <si>
    <t>The Ability of AI Therapy Bots to Set Limits With Distressed Adolescents: Simulation-Based Comparison Study</t>
  </si>
  <si>
    <t>Clark</t>
  </si>
  <si>
    <t>10.2196/78414</t>
  </si>
  <si>
    <t>U08084_Clark_2025.pdf</t>
  </si>
  <si>
    <t>U08087</t>
  </si>
  <si>
    <t>The Alongside Digital Wellness Program for Youth: Longitudinal Pre-Post Outcomes Study</t>
  </si>
  <si>
    <t>Cohen</t>
  </si>
  <si>
    <t>10.2196/73180</t>
  </si>
  <si>
    <t>U08087_Cohen_2025.pdf</t>
  </si>
  <si>
    <t>U08104</t>
  </si>
  <si>
    <t>The ChatGPT Effect: Investigating Shifting Discourse Patterns, Sentiment, and Benefit–Challenge Framing in AI Mental Health Support</t>
  </si>
  <si>
    <t>10.3390/bs15091172</t>
  </si>
  <si>
    <t>U08104_Lee_2025.pdf</t>
  </si>
  <si>
    <t>U08107</t>
  </si>
  <si>
    <t>The development of a World Health Organization transdiagnostic chatbot intervention for distressed adolescents and young adults</t>
  </si>
  <si>
    <t>Keyan</t>
  </si>
  <si>
    <t>10.3389/fdgth.2025.1528580</t>
  </si>
  <si>
    <t>U08107_Keyan_2025.pdf</t>
  </si>
  <si>
    <t>U08110</t>
  </si>
  <si>
    <t>The Digital Therapeutic Alliance With Mental Health Chatbots: Diary Study and Thematic Analysis</t>
  </si>
  <si>
    <t>10.2196/76642</t>
  </si>
  <si>
    <t>U08110_Xu_2025.pdf</t>
  </si>
  <si>
    <t>U08114</t>
  </si>
  <si>
    <t>The Educational Guidance Platform via Artificial Intelligence Chatbot to Promote Vocational Aptitude for Vocational Students</t>
  </si>
  <si>
    <t>Manus Phuttawong</t>
  </si>
  <si>
    <t>Canadian Center of Science and Education. 1595 Sixteenth Ave Suite 301, Richmond Hill, Ontario, L4B 3N9
Canada. Tel: 416-642-2606; Fax: 416-642-2608; e-mail: hes@ccsenet.org; Web site: http://www.ccsenet.org/journal/index.php/hes</t>
  </si>
  <si>
    <t>U08114_Manus-Phuttawong_2025.pdf</t>
  </si>
  <si>
    <t>U08117</t>
  </si>
  <si>
    <t>The effect of artificial intelligence applications GymBuddy &amp; Elomia on the mental health and physical activities of teachers and learners exposed to e-learning platforms</t>
  </si>
  <si>
    <t>CURRENT PSYCHOLOGY</t>
  </si>
  <si>
    <t>10.1007/s12144-025-08015-3</t>
  </si>
  <si>
    <t>U08117_Zhang_2025.pdf</t>
  </si>
  <si>
    <t>U08125</t>
  </si>
  <si>
    <t>The Effectiveness of a Chatbot Single-Session Intervention for People on Waitlists for Eating Disorder Treatment: Randomized Controlled Trial</t>
  </si>
  <si>
    <t>10.2196/70874</t>
  </si>
  <si>
    <t>U08125_Sharp_2025.pdf</t>
  </si>
  <si>
    <t>U08136</t>
  </si>
  <si>
    <t>The Efficacy of Conversational AI in Rectifying the Theory-of-Mind and Autonomy Biases: Comparative Analysis</t>
  </si>
  <si>
    <t>Rządeczka</t>
  </si>
  <si>
    <t>10.2196/64396</t>
  </si>
  <si>
    <t>U08136_Rzadeczka_2025.pdf</t>
  </si>
  <si>
    <t>U08138</t>
  </si>
  <si>
    <t>The efficacy, feasibility, and technical outcomes of a GPT-4o-based chatbot Amanda for relationship support: A randomized controlled trial</t>
  </si>
  <si>
    <t>Vowels</t>
  </si>
  <si>
    <t>PLOS Mental Health</t>
  </si>
  <si>
    <t>10.1371/journal.pmen.0000411</t>
  </si>
  <si>
    <t>U08138_Vowels_2025.pdf</t>
  </si>
  <si>
    <t>U08148</t>
  </si>
  <si>
    <t>The FAIIR conversational AI agent assistant for youth mental health service provision</t>
  </si>
  <si>
    <t>Obadinma</t>
  </si>
  <si>
    <t>10.1038/s41746-025-01647-6</t>
  </si>
  <si>
    <t>U08148_Obadinma_2025.pdf</t>
  </si>
  <si>
    <t>U08166</t>
  </si>
  <si>
    <t>The Impact of AI-Enhanced Chatbots on Psychological Support for Higher Education Students</t>
  </si>
  <si>
    <t>Baksi</t>
  </si>
  <si>
    <t>10.1007/978-981-96-3420-0_36</t>
  </si>
  <si>
    <t>U08166_Baksi_2025.pdf</t>
  </si>
  <si>
    <t>U08170</t>
  </si>
  <si>
    <t>The Impact of ChatGPT Exposure on User Interactions With a Motivational Interviewing Chatbot: Quasi-Experimental Study</t>
  </si>
  <si>
    <t>10.2196/56973</t>
  </si>
  <si>
    <t>U08170_Zhu_2025.pdf</t>
  </si>
  <si>
    <t>U08174</t>
  </si>
  <si>
    <t>The impact of fine-tuning LLMs on the quality of automated therapy assessed by digital patients</t>
  </si>
  <si>
    <t>Yosef</t>
  </si>
  <si>
    <t>npj Mental Health Research</t>
  </si>
  <si>
    <t>10.1038/s44184-025-00159-1</t>
  </si>
  <si>
    <t>U08174_Yosef_2025.pdf</t>
  </si>
  <si>
    <t>U08203</t>
  </si>
  <si>
    <t>The management of mental health in a smart medical dialogue system based on a two-stage attention speech enhancement module</t>
  </si>
  <si>
    <t>Quan</t>
  </si>
  <si>
    <t>Computer Speech and Language</t>
  </si>
  <si>
    <t>10.1016/j.csl.2025.101778</t>
  </si>
  <si>
    <t>U08203_Quan_2025.pdf</t>
  </si>
  <si>
    <t>U08213</t>
  </si>
  <si>
    <t>The PDC30 Chatbot—Development of a Psychoeducational Resource on Dementia Caregiving Among Family Caregivers: Mixed Methods Acceptability Study</t>
  </si>
  <si>
    <t>10.2196/63715</t>
  </si>
  <si>
    <t>U08213_Cheng_2025.pdf</t>
  </si>
  <si>
    <t>U08217</t>
  </si>
  <si>
    <t>The Potential of AI Chatbots as Diagnostic Tools in Mental Health: Evaluating Exercise Dependence Symptoms</t>
  </si>
  <si>
    <t>Saraç</t>
  </si>
  <si>
    <t>10.1007/s41347-025-00567-2</t>
  </si>
  <si>
    <t>U08217_Sarac_2025.pdf</t>
  </si>
  <si>
    <t>U08223</t>
  </si>
  <si>
    <t>The Pursuit of Empathy: Evaluating Small Language Models for PTSD Dialogue Support</t>
  </si>
  <si>
    <t>Suhas</t>
  </si>
  <si>
    <t>10.18653/v1/2025.emnlp-main.1573</t>
  </si>
  <si>
    <t>U08223_Suhas_2025.pdf</t>
  </si>
  <si>
    <t>U08257</t>
  </si>
  <si>
    <t>The Typing Cure: Experiences with Large Language Model Chatbots for Mental Health Support</t>
  </si>
  <si>
    <t>10.1145/3757430</t>
  </si>
  <si>
    <t>U08257_Song_2025.pdf</t>
  </si>
  <si>
    <t>U08260</t>
  </si>
  <si>
    <t>The usability and feasibility of a self-compassion chatbot (COMPASS) for youth living with type 1 diabetes</t>
  </si>
  <si>
    <t>Boggiss</t>
  </si>
  <si>
    <t>Diabetic Medicine</t>
  </si>
  <si>
    <t>10.1111/dme.70115</t>
  </si>
  <si>
    <t>U08260_Boggiss_2025.pdf</t>
  </si>
  <si>
    <t>U08276</t>
  </si>
  <si>
    <t>TherapEase: A Chatbot for Student Mental Health</t>
  </si>
  <si>
    <t>Zeeshan</t>
  </si>
  <si>
    <t>10.1007/978-981-96-2182-8_23</t>
  </si>
  <si>
    <t>U08276_Zeeshan_2025.pdf</t>
  </si>
  <si>
    <t>U08277</t>
  </si>
  <si>
    <t>Therapeutic Chatbot for Suicidal Risk Teens Using Large Language Models</t>
  </si>
  <si>
    <t>Romero-Florida</t>
  </si>
  <si>
    <t>Proceedings of the 2025 IEEE 32nd International Conference on Electronics, Electrical Engineering and Computing, INTERCON 2025</t>
  </si>
  <si>
    <t>10.1109/intercon67304.2025.11244711</t>
  </si>
  <si>
    <t>U08277_Romero-Florida_2025.pdf</t>
  </si>
  <si>
    <t>U08278</t>
  </si>
  <si>
    <t>Therapeutic Potential of Social Chatbots in Alleviating Loneliness and Social Anxiety: Quasi-Experimental Mixed Methods Study</t>
  </si>
  <si>
    <t>10.2196/65589</t>
  </si>
  <si>
    <t>U08278_Kim_2025.pdf</t>
  </si>
  <si>
    <t>U08279</t>
  </si>
  <si>
    <t>Therapying Outside the Box: Innovating the Implementation and Evaulation of CBT in Therapeutic Artificial Agents</t>
  </si>
  <si>
    <t>10.1007/978-981-96-0573-6_15</t>
  </si>
  <si>
    <t>U08279_Tahir_2025.pdf</t>
  </si>
  <si>
    <t>U08282</t>
  </si>
  <si>
    <t>Think FAST: a novel framework to evaluate fidelity, accuracy, safety, and tone in conversational AI health coach dialogues</t>
  </si>
  <si>
    <t>Neary</t>
  </si>
  <si>
    <t>10.3389/fdgth.2025.1460236</t>
  </si>
  <si>
    <t>U08282_Neary_2025.pdf</t>
  </si>
  <si>
    <t>U08295</t>
  </si>
  <si>
    <t>Toward a Smartphone-Based and Conversational Agent–Delivered Just-in-Time Adaptive Holistic Lifestyle Intervention for Older Adults Affected by Cognitive Decline: Two-Week Proof-of-Concept Study</t>
  </si>
  <si>
    <t>Brill</t>
  </si>
  <si>
    <t>10.2196/66885</t>
  </si>
  <si>
    <t>U08295_Brill_2025.pdf</t>
  </si>
  <si>
    <t>U08297</t>
  </si>
  <si>
    <t>Toward Emotion-Aware and Personality-Driven Mental Health Chatbots Using Large Language Models</t>
  </si>
  <si>
    <t>Arismana</t>
  </si>
  <si>
    <t>Proceedings - 2025 8th International Seminar on Research of Information Technology and Intelligent Systems, ISRITI 2025</t>
  </si>
  <si>
    <t>10.1109/isriti68345.2025.11393172</t>
  </si>
  <si>
    <t>U08297_Arismana_2025.pdf</t>
  </si>
  <si>
    <t>U08312</t>
  </si>
  <si>
    <t>Towards an LLM-Based Multilingual CBT Chatbot for Anxiety Management: A Comparative Study and Preliminary Development</t>
  </si>
  <si>
    <t>Abdelkefi</t>
  </si>
  <si>
    <t>2025 IEEE 9th International Forum on Research and Technologies for Society and Industry, RTSI 2025 - Conference Proceedings</t>
  </si>
  <si>
    <t>10.1109/rtsi64020.2025.11212603</t>
  </si>
  <si>
    <t>U08312_Abdelkefi_2025.pdf</t>
  </si>
  <si>
    <t>U08314</t>
  </si>
  <si>
    <t>Towards a Deep Learning Post-traumatic Stress Disorder Dialogue System Based on Transformers</t>
  </si>
  <si>
    <t>Ouerhani</t>
  </si>
  <si>
    <t>10.1007/978-3-031-78925-0_10</t>
  </si>
  <si>
    <t>U08314_Ouerhani_2025.pdf</t>
  </si>
  <si>
    <t>U08325</t>
  </si>
  <si>
    <t>Towards Multimodal Emotional Support Conversation Systems</t>
  </si>
  <si>
    <t>10.1109/tmm.2025.3604951</t>
  </si>
  <si>
    <t>U08325_Chu_2025.pdf</t>
  </si>
  <si>
    <t>U08341</t>
  </si>
  <si>
    <t>Transforming Mental Health Care with Autonomous LLM Agents at the Edge</t>
  </si>
  <si>
    <t>Ji</t>
  </si>
  <si>
    <t>ACM SenSys 2025 - 23rd ACM Conference on Embedded Networked Sensor Systems, In Transactions to Conference Embedded Artificial Intelligence and Sensing Systems</t>
  </si>
  <si>
    <t>10.1145/3715014.3724073</t>
  </si>
  <si>
    <t>U08341_Ji_2025.pdf</t>
  </si>
  <si>
    <t>U08356</t>
  </si>
  <si>
    <t>Trustworthy AI Psychotherapy: Multi-Agent LLM Workflow for Counseling and Explainable Mental Disorder Diagnosis</t>
  </si>
  <si>
    <t>Ozgun</t>
  </si>
  <si>
    <t>CIKM 2025 - Proceedings of the 34th ACM International Conference on Information and Knowledge Management</t>
  </si>
  <si>
    <t>10.1145/3746252.3761164</t>
  </si>
  <si>
    <t>U08356_Ozgun_2025.pdf</t>
  </si>
  <si>
    <t>U08358</t>
  </si>
  <si>
    <t>TunTun Diary: Exploring AI-Generated Storytelling and Virtual Companionship for Nightmare Relief</t>
  </si>
  <si>
    <t>Proceedings - SIGGRAPH Asia 2025 Posters, SA 2025</t>
  </si>
  <si>
    <t>10.1145/3757374.3771484</t>
  </si>
  <si>
    <t>U08358_Wang_2025.pdf</t>
  </si>
  <si>
    <t>U08359</t>
  </si>
  <si>
    <t>Tweaking the Messages and Approaching the Glass Box: Using AI Chatbots to Promote Help-Seeking for Depressive Symptoms</t>
  </si>
  <si>
    <t>Journal of Health Communication</t>
  </si>
  <si>
    <t>10.1080/10810730.2025.2569563</t>
  </si>
  <si>
    <t>U08359_Shi_2025.pdf</t>
  </si>
  <si>
    <t>U08362</t>
  </si>
  <si>
    <t>Ubuntu-Centered AI Dialogue: A Decolonial Approach to Cognitive Behavioral Therapy</t>
  </si>
  <si>
    <t>2025 2nd International Generative AI and Computational Language Modelling Conference, GACLM 2025</t>
  </si>
  <si>
    <t>10.1109/gaclm67198.2025.11231859</t>
  </si>
  <si>
    <t>U08362_Forane_2025.pdf</t>
  </si>
  <si>
    <t>U08427</t>
  </si>
  <si>
    <t>User-Centered Design for Emotional Well-being of Family Caregivers Helping Older People with Dementia: The Care-Ly Chatbot Interface</t>
  </si>
  <si>
    <t>Clarizia</t>
  </si>
  <si>
    <t>CHItaly 2025 - Proceedings of the 16th Biannual Conference of the Italian SIGCHI Chapter</t>
  </si>
  <si>
    <t>10.1145/3750069.3755949</t>
  </si>
  <si>
    <t>U08427_Clarizia_2025.pdf</t>
  </si>
  <si>
    <t>U08435</t>
  </si>
  <si>
    <t>Using a Secondary Channel to Display the Internal Empathic Resonance of LLM-Driven Agents for Mental Health Support</t>
  </si>
  <si>
    <t>Schmidmaier</t>
  </si>
  <si>
    <t>10.1145/3716553.3750759</t>
  </si>
  <si>
    <t>U08435_Schmidmaier_2025.pdf</t>
  </si>
  <si>
    <t>U08444</t>
  </si>
  <si>
    <t>Using cognitive behavioral therapy-based chatbots to alleviate symptoms of insomnia, depression, and anxiety: A randomized controlled trial</t>
  </si>
  <si>
    <t>Chiu</t>
  </si>
  <si>
    <t>Health Informatics Journal</t>
  </si>
  <si>
    <t>10.1177/14604582251396428</t>
  </si>
  <si>
    <t>U08444_Chiu_2025.pdf</t>
  </si>
  <si>
    <t>U08461</t>
  </si>
  <si>
    <t>Using Linguistic Entrainment to Evaluate Large Language Models for Use in Cognitive Behavioral Therapy</t>
  </si>
  <si>
    <t>2025 Annual Conference of the Nations of the Americas Chapter of the Association for Computational Linguistics: Proceedings of the Conference Findings, NAACL 2025</t>
  </si>
  <si>
    <t>10.18653/v1/2025.findings-naacl.430</t>
  </si>
  <si>
    <t>U08461_Kian_2025.pdf</t>
  </si>
  <si>
    <t>U08462</t>
  </si>
  <si>
    <t>Using LLMs for self-care: User and counsellor perspectives</t>
  </si>
  <si>
    <t>Wester</t>
  </si>
  <si>
    <t>10.1016/j.ijhcs.2025.103589</t>
  </si>
  <si>
    <t>U08462_Wester_2025.pdf</t>
  </si>
  <si>
    <t>U08464</t>
  </si>
  <si>
    <t>Using Nonverbal Cues in Empathic Multi-Modal LLM-Driven Chatbots for Mental Health Support</t>
  </si>
  <si>
    <t>10.1145/3743724</t>
  </si>
  <si>
    <t>U08464_Schmidmaier_2025.pdf</t>
  </si>
  <si>
    <t>U08467</t>
  </si>
  <si>
    <t>Using speech analysis in virtual agent conversations to differentiate PTSD patients from control participants</t>
  </si>
  <si>
    <t>10.1016/j.psychres.2025.116486</t>
  </si>
  <si>
    <t>U08467_Menne_2025.pdf</t>
  </si>
  <si>
    <t>U08469</t>
  </si>
  <si>
    <t>Using the Kano Method to Evaluate Features of Chatbot-Based Technological Support for Recovery from Alcohol Use Disorder</t>
  </si>
  <si>
    <t>10.1145/3706599.3720128</t>
  </si>
  <si>
    <t>U08469_Lin_2025.pdf</t>
  </si>
  <si>
    <t>U08481</t>
  </si>
  <si>
    <t>VChater: Exploring Generative Conversational Agents for Simulating Exposure Therapy to Reduce Social Anxiety</t>
  </si>
  <si>
    <t>10.1145/3758871.3758900</t>
  </si>
  <si>
    <t>U08481_Zhang_2025.pdf</t>
  </si>
  <si>
    <t>U08483</t>
  </si>
  <si>
    <t>vER: Virtual Human Companionship for Patients in Preoperative Care</t>
  </si>
  <si>
    <t>Pandhare</t>
  </si>
  <si>
    <t>IMX 2025 - Proceedings of the 2025 ACM International Conference on Interactive Media Experiences</t>
  </si>
  <si>
    <t>10.1145/3706370.3731639</t>
  </si>
  <si>
    <t>U08483_Pandhare_2025.pdf</t>
  </si>
  <si>
    <t>U08490</t>
  </si>
  <si>
    <t>Virtual Agent for Real-Time Motivational Interviewing by Integrating Adaptive Nonverbal Behavior and Language Models</t>
  </si>
  <si>
    <t>Journal of Visualized Experiments</t>
  </si>
  <si>
    <t>10.3791/69254</t>
  </si>
  <si>
    <t>U08490_Galland_2025.pdf</t>
  </si>
  <si>
    <t>U08493</t>
  </si>
  <si>
    <t>Virtual assistants as a means of communication with older people suffering from loneliness; [Los asistentes virtuales como medio de comunicación con personas mayores que sufren soledad]</t>
  </si>
  <si>
    <t>Figueroa</t>
  </si>
  <si>
    <t>Historia y Comunicacion Social</t>
  </si>
  <si>
    <t>10.5209/hics.100643</t>
  </si>
  <si>
    <t>U08493_Figueroa_2025.pdf</t>
  </si>
  <si>
    <t>U08502</t>
  </si>
  <si>
    <t>VITA: A Multi-Modal LLM-Based System for Longitudinal, Autonomous and Adaptive Robotic Mental Well-Being Coaching</t>
  </si>
  <si>
    <t>Spitale</t>
  </si>
  <si>
    <t>ACM Transactions on Human-Robot Interaction</t>
  </si>
  <si>
    <t>10.1145/3712265</t>
  </si>
  <si>
    <t>U08502_Spitale_2025.pdf</t>
  </si>
  <si>
    <t>U08513</t>
  </si>
  <si>
    <t>Wearable Meets LLM for Stress Management: A Duoethnographic Study Integrating Wearable-Triggered Stressors and LLM Chatbots for Personalized Interventions</t>
  </si>
  <si>
    <t>Neupane</t>
  </si>
  <si>
    <t>10.1145/3706599.3720197</t>
  </si>
  <si>
    <t>U08513_Neupane_2025.pdf</t>
  </si>
  <si>
    <t>U08515</t>
  </si>
  <si>
    <t>Web-Based Intelligent Chatbot for Depression Therapy</t>
  </si>
  <si>
    <t>10.1007/978-3-031-90577-3_4</t>
  </si>
  <si>
    <t>U08515_Agrawal_2025.pdf</t>
  </si>
  <si>
    <t>U08531</t>
  </si>
  <si>
    <t>What People Share With a Robot When Feeling Lonely and Stressed and How It Helps Over Time</t>
  </si>
  <si>
    <t>10.1109/ro-man63969.2025.11217573</t>
  </si>
  <si>
    <t>U08531_Laban_2025.pdf</t>
  </si>
  <si>
    <t>U08536</t>
  </si>
  <si>
    <t>When ELIZA meets therapists: A Turing test for the heart and mind</t>
  </si>
  <si>
    <t>Hatch</t>
  </si>
  <si>
    <t>10.1371/journal.pmen.0000145</t>
  </si>
  <si>
    <t>U08536_Hatch_2025.pdf</t>
  </si>
  <si>
    <t>U08565</t>
  </si>
  <si>
    <t>Zenify.me—Your AI Companion for a Happier, Healthier You</t>
  </si>
  <si>
    <t>10.1007/978-981-96-4430-8_16</t>
  </si>
  <si>
    <t>U08565_Bharadwaj_2025.pdf</t>
  </si>
  <si>
    <t>U08579</t>
  </si>
  <si>
    <t>“Do You Need the Sage’s Tea or the Friend’s Cola” Exploring the Differential Healing Effects of Generative AI Conversational Styles</t>
  </si>
  <si>
    <t>U08579_Song_2025.pdf</t>
  </si>
  <si>
    <t>U08584</t>
  </si>
  <si>
    <t>“Like Someone Is Paying Attention to You, Listening to You, and Guiding You”: Acceptability of a Mental Health Chatbot Among Caregivers of Adolescents Living With HIV</t>
  </si>
  <si>
    <t>Rupani</t>
  </si>
  <si>
    <t>Journal of the International Association of Providers of AIDS Care</t>
  </si>
  <si>
    <t>10.1177/23259582251327911</t>
  </si>
  <si>
    <t>U08584_Rupani_2025.pdf</t>
  </si>
  <si>
    <t>U08585</t>
  </si>
  <si>
    <t>“Poker with Play Money”: Exploring Psychotherapist Training with Virtual Patients</t>
  </si>
  <si>
    <t>Baseman</t>
  </si>
  <si>
    <t>10.1145/3757450</t>
  </si>
  <si>
    <t>U08585_Baseman_2025.pdf</t>
  </si>
  <si>
    <t>U08586</t>
  </si>
  <si>
    <t>“Shaping ChatGPT into my Digital Therapist”: A thematic analysis of social media discourse on using generative artificial intelligence for mental health</t>
  </si>
  <si>
    <t>10.1177/20552076251351088</t>
  </si>
  <si>
    <t>U08586_Luo_2025.pdf</t>
  </si>
  <si>
    <t>U08587</t>
  </si>
  <si>
    <t>“She has become my best friend”: a qualitative study on the perspective of elderly with type 2 diabetes regarding the use of an interactive virtual assistant device for diabetes care and mental health promotion</t>
  </si>
  <si>
    <t>da Costa</t>
  </si>
  <si>
    <t>Acta Diabetologica</t>
  </si>
  <si>
    <t>10.1007/s00592-024-02377-z</t>
  </si>
  <si>
    <t>U08587_da-Costa_2025.pdf</t>
  </si>
  <si>
    <t>U08590</t>
  </si>
  <si>
    <t>“Un amigo secreto”: perceived acceptability of a chatbot for depression education, self-help and linkage to care among adolescents living with HIV in Peru</t>
  </si>
  <si>
    <t>AIDS Care - Psychological and Socio-Medical Aspects of AIDS/HIV</t>
  </si>
  <si>
    <t>10.1080/09540121.2025.2518731</t>
  </si>
  <si>
    <t>U08590_Rupani_2025.pdf</t>
  </si>
  <si>
    <t>U08592</t>
  </si>
  <si>
    <t>"I Don't Want to be Pitied by a Bot": Understand How to Design Chatbots to Support People Being Ghosted on Dating Applications</t>
  </si>
  <si>
    <t>10.1145/3613905.3650957</t>
  </si>
  <si>
    <t>U08592_Wang_2024.pdf</t>
  </si>
  <si>
    <t>U08595</t>
  </si>
  <si>
    <t>"You tell me": A Dataset of GPT-4-Based Behaviour Change Support Conversations</t>
  </si>
  <si>
    <t>CHIIR 2024 - Proceedings of the 2024 Conference on Human Information Interaction and Retrieval</t>
  </si>
  <si>
    <t>10.1145/3627508.3638330</t>
  </si>
  <si>
    <t>U08595_Meyer_2024.pdf</t>
  </si>
  <si>
    <t>U08601</t>
  </si>
  <si>
    <t>3D Multimodal Socially Interactive Robot with ChatGPT Active Listening</t>
  </si>
  <si>
    <t>Pasternak</t>
  </si>
  <si>
    <t>10.1007/978-3-031-55015-7_4</t>
  </si>
  <si>
    <t>U08601_Pasternak_2024.pdf</t>
  </si>
  <si>
    <t>U08604</t>
  </si>
  <si>
    <t>A Bi-Lingual Counselling Chatbot Application for Support of Gender Based Violence Victims in Kenya</t>
  </si>
  <si>
    <t>Mutinda</t>
  </si>
  <si>
    <t>2024 5th International Conference on Smart Sensors and Application: Shaping the Future of Intelligent Innovation, ICSSA 2024</t>
  </si>
  <si>
    <t>10.1109/icssa62312.2024.10788649</t>
  </si>
  <si>
    <t>U08604_Mutinda_2024.pdf</t>
  </si>
  <si>
    <t>U08610</t>
  </si>
  <si>
    <t>A Chatbot (Juno) Prototype to Deploy a Behavioral Activation Intervention to Pregnant Women: Qualitative Evaluation Using a Multiple Case Study</t>
  </si>
  <si>
    <t>Mancinelli</t>
  </si>
  <si>
    <t>10.2196/58653</t>
  </si>
  <si>
    <t>U08610_Mancinelli_2024.pdf</t>
  </si>
  <si>
    <t>U08611</t>
  </si>
  <si>
    <t>A chatbot to improve adherence to internet-based cognitive–behavioural therapy among workers with subthreshold depression: a randomised controlled trial</t>
  </si>
  <si>
    <t>Yasukawa</t>
  </si>
  <si>
    <t>BMJ Mental Health</t>
  </si>
  <si>
    <t>10.1136/bmjment-2023-300881</t>
  </si>
  <si>
    <t>U08611_Yasukawa_2024.pdf</t>
  </si>
  <si>
    <t>U08613</t>
  </si>
  <si>
    <t>A Chatbot-Based Version of the World Health Organization–Validated Self-Help Plus Intervention for Stress Management: Co-Design and Usability Testing</t>
  </si>
  <si>
    <t>Fietta</t>
  </si>
  <si>
    <t>10.2196/64614</t>
  </si>
  <si>
    <t>U08613_Fietta_2024.pdf</t>
  </si>
  <si>
    <t>U08614</t>
  </si>
  <si>
    <t>A Chatbot-Delivered Stress Management Coaching for Students (MISHA App): Pilot Randomized Controlled Trial</t>
  </si>
  <si>
    <t>10.2196/54945</t>
  </si>
  <si>
    <t>U08614_Ulrich_2024.pdf</t>
  </si>
  <si>
    <t>U08620</t>
  </si>
  <si>
    <t>A Comprehensive Approach to Stress Detection and Management Using Machine Learning, Deep Learning, and Chatbot Integration</t>
  </si>
  <si>
    <t>2024 15th International Conference on Computing Communication and Networking Technologies, ICCCNT 2024</t>
  </si>
  <si>
    <t>10.1109/icccnt61001.2024.10725990</t>
  </si>
  <si>
    <t>U08620_Singh_2024.pdf</t>
  </si>
  <si>
    <t>U08625</t>
  </si>
  <si>
    <t>A Conversational Application for Insomnia Treatment: Leveraging the ChatGLM-LoRA Model for Cognitive Behavioral Therapy</t>
  </si>
  <si>
    <t>Proceedings of the IEEE International Conference on Cybernetics and Intelligent Systems, CIS</t>
  </si>
  <si>
    <t>10.1109/cis-ram61939.2024.10673360</t>
  </si>
  <si>
    <t>U08625_Chen_2024.pdf</t>
  </si>
  <si>
    <t>U08628</t>
  </si>
  <si>
    <t>A Data-Driven Insight to Enhancing Stress Management Through Chatbot Interaction Among Undergraduate Students</t>
  </si>
  <si>
    <t>Zaman</t>
  </si>
  <si>
    <t>2024 27th International Conference on Computer and Information Technology, ICCIT 2024 - Proceedings</t>
  </si>
  <si>
    <t>10.1109/iccit64611.2024.11022394</t>
  </si>
  <si>
    <t>U08628_Zaman_2024.pdf</t>
  </si>
  <si>
    <t>U08629</t>
  </si>
  <si>
    <t>A Dialogue System for Emotional Support Based on a Heterogeneous Neural Network</t>
  </si>
  <si>
    <t>Proceedings - 2024 International Conference on Ubiquitous Computing and Communications, 23rd International Conference on Computer and Information Technology and 7th International Conference on Data Science and Computational Intelligence, IUCC-CIT-DSCI 2024</t>
  </si>
  <si>
    <t>10.1109/iucc65928.2024.00119</t>
  </si>
  <si>
    <t>U08629_Zhang_2024.pdf</t>
  </si>
  <si>
    <t>U08648</t>
  </si>
  <si>
    <t>A mobile messaging-based conversational agent-led stress mindset intervention for New Zealand small-to-medium-sized enterprise owner-managers: effectiveness and acceptability study</t>
  </si>
  <si>
    <t>Allan</t>
  </si>
  <si>
    <t>10.1080/0144929x.2023.2259500</t>
  </si>
  <si>
    <t>U08648_Allan_2024.pdf</t>
  </si>
  <si>
    <t>U08656</t>
  </si>
  <si>
    <t>A Novel System for Conversational AI Therapist</t>
  </si>
  <si>
    <t>Koul</t>
  </si>
  <si>
    <t>10.1063/5.0184167</t>
  </si>
  <si>
    <t>U08656_Koul_2024.pdf</t>
  </si>
  <si>
    <t>U08665</t>
  </si>
  <si>
    <t>A proof of concept study on the use of large language models as a client in typed role plays for training therapists</t>
  </si>
  <si>
    <t>Fung</t>
  </si>
  <si>
    <t>Discover Psychology</t>
  </si>
  <si>
    <t>10.1007/s44202-024-00302-7</t>
  </si>
  <si>
    <t>U08665_Fung_2024.pdf</t>
  </si>
  <si>
    <t>U08694</t>
  </si>
  <si>
    <t>Activating the Mobile User Interface with a Rule-Based Chatbot and EEG-Based Emotion Recognition to Aid in Coping with Negative Emotions</t>
  </si>
  <si>
    <t>Banjar</t>
  </si>
  <si>
    <t>Human Behavior and Emerging Technologies</t>
  </si>
  <si>
    <t>10.1155/2024/7499554</t>
  </si>
  <si>
    <t>U08694_Banjar_2024.pdf</t>
  </si>
  <si>
    <t>U08698</t>
  </si>
  <si>
    <t>Adapting the Number of Questions Based on Detected Psychological Distress for Cognitive Behavioral Therapy With an Embodied Conversational Agent: Comparative Study</t>
  </si>
  <si>
    <t>Shidara</t>
  </si>
  <si>
    <t>10.2196/50056</t>
  </si>
  <si>
    <t>U08698_Shidara_2024.pdf</t>
  </si>
  <si>
    <t>U08706</t>
  </si>
  <si>
    <t>AdMISC: Advanced Multi-Task Learning and Feature-Fusion for Emotional Support Conversation</t>
  </si>
  <si>
    <t>10.3390/electronics13081484</t>
  </si>
  <si>
    <t>U08706_Jia_2024.pdf</t>
  </si>
  <si>
    <t>U08729</t>
  </si>
  <si>
    <t>AI based Mental Health Assisted Chatbot System</t>
  </si>
  <si>
    <t>Prathaban</t>
  </si>
  <si>
    <t>4th International Conference on Power, Energy, Control and Transmission Systems: Harnessing Power and Energy for an Affordable Electrification of India, ICPECTS 2024</t>
  </si>
  <si>
    <t>10.1109/icpects62210.2024.10780017</t>
  </si>
  <si>
    <t>U08729_Prathaban_2024.pdf</t>
  </si>
  <si>
    <t>U08730</t>
  </si>
  <si>
    <t>AI BOT: Mental Health Detection and Counselling</t>
  </si>
  <si>
    <t>J. Barkhade</t>
  </si>
  <si>
    <t>2024 International Conference on Big Data Analytics in Bioinformatics (DABCon)</t>
  </si>
  <si>
    <t>10.1109/dabcon63472.2024.10919413</t>
  </si>
  <si>
    <t>U08730_Barkhade_2024.pdf</t>
  </si>
  <si>
    <t>U08741</t>
  </si>
  <si>
    <t>AI Powered Chatbot For Mental Health Treatment</t>
  </si>
  <si>
    <t>Jayabhaduri</t>
  </si>
  <si>
    <t>Proceedings - 2024 1st International Conference on Technological Innovations and Advance Computing, TIACOMP 2024</t>
  </si>
  <si>
    <t>10.1109/tiacomp64125.2024.00037</t>
  </si>
  <si>
    <t>U08741_Jayabhaduri_2024.pdf</t>
  </si>
  <si>
    <t>U08742</t>
  </si>
  <si>
    <t>Ai Powered Chatbot for Mental Health Treatment</t>
  </si>
  <si>
    <t>J. R</t>
  </si>
  <si>
    <t>2024 First International Conference on Technological Innovations and Advance Computing (TIACOMP)</t>
  </si>
  <si>
    <t>U08742_R_2024.pdf</t>
  </si>
  <si>
    <t>U08754</t>
  </si>
  <si>
    <t>AI-Enhanced Cognitive Therapy: Personalized Guidance via Adaptive Agents with Voice Analysis and Stress Detection</t>
  </si>
  <si>
    <t>Venkataraman</t>
  </si>
  <si>
    <t>Proceedings of the 9th International Conference on Communication and Electronics Systems, ICCES 2024</t>
  </si>
  <si>
    <t>10.1109/icces63552.2024.10859531</t>
  </si>
  <si>
    <t>U08754_Venkataraman_2024.pdf</t>
  </si>
  <si>
    <t>U08756</t>
  </si>
  <si>
    <t>AI-Powered Chatbots for Health Counseling and Support</t>
  </si>
  <si>
    <t>Nanotechnology Perceptions</t>
  </si>
  <si>
    <t>10.62441/nano-ntp.v20is2.82</t>
  </si>
  <si>
    <t>U08756_Sinha_2024.pdf</t>
  </si>
  <si>
    <t>U08772</t>
  </si>
  <si>
    <t>An Active Listening Dialogue Model Focued on “Open Questions” Using Reinforcement Learning</t>
  </si>
  <si>
    <t>N. Matsumoto</t>
  </si>
  <si>
    <t>2024 16th IIAI International Congress on Advanced Applied Informatics (IIAI-AAI)</t>
  </si>
  <si>
    <t>10.1109/iiai-aai63651.2024.00096</t>
  </si>
  <si>
    <t>U08772_Matsumoto_2024.pdf</t>
  </si>
  <si>
    <t>U08774</t>
  </si>
  <si>
    <t>An AI chatbot for talking therapy referrals</t>
  </si>
  <si>
    <t>10.1038/s41591-023-02773-y</t>
  </si>
  <si>
    <t>U08774_Sin_2024.pdf</t>
  </si>
  <si>
    <t>U08778</t>
  </si>
  <si>
    <t>An Architecture Towards Building a Reliable Suicide Information Chatbot</t>
  </si>
  <si>
    <t>Ascorbe</t>
  </si>
  <si>
    <t>10.1007/978-3-031-62799-6_4</t>
  </si>
  <si>
    <t>U08778_Ascorbe_2024.pdf</t>
  </si>
  <si>
    <t>U08779</t>
  </si>
  <si>
    <t>An Artificial Intelligence-Based Virtual Human Avatar Application to Assess the Mental Health of Health Care Professionals: A Validation Study</t>
  </si>
  <si>
    <t>DeTore</t>
  </si>
  <si>
    <t>Journal of Medical Extended Reality</t>
  </si>
  <si>
    <t>10.1089/jmxr.2024.0016</t>
  </si>
  <si>
    <t>U08779_DeTore_2024.pdf</t>
  </si>
  <si>
    <t>U08780</t>
  </si>
  <si>
    <t>An Automated Conversational Agent Self-Help Program: Randomized Controlled Trial</t>
  </si>
  <si>
    <t>Foran</t>
  </si>
  <si>
    <t>10.2196/53829</t>
  </si>
  <si>
    <t>U08780_Foran_2024.pdf</t>
  </si>
  <si>
    <t>U08781</t>
  </si>
  <si>
    <t>An Empathetic Social Robot with Modular Anxiety Interventions for Autistic Adolescents</t>
  </si>
  <si>
    <t>10.1109/ro-man60168.2024.10731248</t>
  </si>
  <si>
    <t>U08781_Xie_2024.pdf</t>
  </si>
  <si>
    <t>U08787</t>
  </si>
  <si>
    <t>An experimental study of integrating fine-tuned large language models and prompts for enhancing mental health support chatbot system</t>
  </si>
  <si>
    <t>10.21037/jmai-23-136</t>
  </si>
  <si>
    <t>U08787_Yu_2024.pdf</t>
  </si>
  <si>
    <t>U08793</t>
  </si>
  <si>
    <t>An Intelligent Psychological Emotion Management System based on Multi-turn Voice Dialogue</t>
  </si>
  <si>
    <t>2024 5th International Seminar on Artificial Intelligence, Networking and Information Technology, AINIT 2024</t>
  </si>
  <si>
    <t>10.1109/ainit61980.2024.10581755</t>
  </si>
  <si>
    <t>U08793_Lin_2024.pdf</t>
  </si>
  <si>
    <t>U08802</t>
  </si>
  <si>
    <t>Analyze and Implement a Reinforced AI Chatbot in Guayaquil to Improve Mental Health in Adolescents with the Use of the Neural Generative Models</t>
  </si>
  <si>
    <t>Wong Delacruz</t>
  </si>
  <si>
    <t>10.1007/978-3-031-58956-0_5</t>
  </si>
  <si>
    <t>U08802_Wong-Delacruz_2024.pdf</t>
  </si>
  <si>
    <t>U08812</t>
  </si>
  <si>
    <t>Applying Reinforcement Learning and Multi-Generators for Stage Transition in an Emotional Support Dialogue System</t>
  </si>
  <si>
    <t>Proceedings of the Annual Conference of the International Speech Communication Association, INTERSPEECH</t>
  </si>
  <si>
    <t>10.21437/interspeech.2024-882</t>
  </si>
  <si>
    <t>U08812_Chang_2024.pdf</t>
  </si>
  <si>
    <t>U08813</t>
  </si>
  <si>
    <t>Appropriateness of LLM-equipped Robotic Well-being Coach Language in the Workplace: A Qualitative Evaluation</t>
  </si>
  <si>
    <t>10.1109/ro-man60168.2024.10731269</t>
  </si>
  <si>
    <t>U08813_Spitale_2024.pdf</t>
  </si>
  <si>
    <t>U08815</t>
  </si>
  <si>
    <t>APTNESS: Incorporating Appraisal Theory and Emotion Support Strategies for Empathetic Response Generation</t>
  </si>
  <si>
    <t>International Conference on Information and Knowledge Management, Proceedings</t>
  </si>
  <si>
    <t>10.1145/3627673.3679687</t>
  </si>
  <si>
    <t>U08815_Hu_2024.pdf</t>
  </si>
  <si>
    <t>U08817</t>
  </si>
  <si>
    <t>Are Large Language Models Possible to Conduct Cognitive Behavioral Therapy?</t>
  </si>
  <si>
    <t>Proceedings - 2024 IEEE International Conference on Bioinformatics and Biomedicine, BIBM 2024</t>
  </si>
  <si>
    <t>10.1109/bibm62325.2024.10821773</t>
  </si>
  <si>
    <t>U08817_Shen_2024.pdf</t>
  </si>
  <si>
    <t>U08818</t>
  </si>
  <si>
    <t>ARIEL: Brain-Computer Interfaces meet Large Language Models for Emotional Support Conversation</t>
  </si>
  <si>
    <t>Sorino</t>
  </si>
  <si>
    <t>UMAP 2024 - Adjunct Proceedings of the 32nd ACM Conference on User Modeling, Adaptation and Personalization</t>
  </si>
  <si>
    <t>10.1145/3631700.3665193</t>
  </si>
  <si>
    <t>U08818_Sorino_2024.pdf</t>
  </si>
  <si>
    <t>U08835</t>
  </si>
  <si>
    <t>Artificial Intelligence in Mental Health Care: The T5 Chatbot Project</t>
  </si>
  <si>
    <t>Alathamneh</t>
  </si>
  <si>
    <t>International Conference on Social Networks Analysis, Management and Security, SNAMS</t>
  </si>
  <si>
    <t>10.1109/snams64316.2024.10883804</t>
  </si>
  <si>
    <t>U08835_Alathamneh_2024.pdf</t>
  </si>
  <si>
    <t>U08851</t>
  </si>
  <si>
    <t>Assessing acceptance and feasibility of a conversational agent to support individuals living with post-traumatic stress disorder</t>
  </si>
  <si>
    <t>10.1177/20552076241286133</t>
  </si>
  <si>
    <t>U08851_Han_2024.pdf</t>
  </si>
  <si>
    <t>U08857</t>
  </si>
  <si>
    <t>Assessing Empathy in Mental Health Caregivers using Conversational AI</t>
  </si>
  <si>
    <t>Naswa</t>
  </si>
  <si>
    <t>Proceedings - 2024 IEEE 12th International Conference on Healthcare Informatics, ICHI 2024</t>
  </si>
  <si>
    <t>10.1109/ichi61247.2024.00079</t>
  </si>
  <si>
    <t>U08857_Naswa_2024.pdf</t>
  </si>
  <si>
    <t>U08861</t>
  </si>
  <si>
    <t>Assessing Synthetic Voices for Mental Health Chatbots</t>
  </si>
  <si>
    <t>Amorese</t>
  </si>
  <si>
    <t>10.1007/978-981-99-3043-2_6</t>
  </si>
  <si>
    <t>U08861_Amorese_2024.pdf</t>
  </si>
  <si>
    <t>U08865</t>
  </si>
  <si>
    <t>Assessing the Effectiveness of ChatGPT in Delivering Mental Health Support: A Qualitative Study</t>
  </si>
  <si>
    <t>Alanezi</t>
  </si>
  <si>
    <t>10.2147/jmdh.s447368</t>
  </si>
  <si>
    <t>U08865_Alanezi_2024.pdf</t>
  </si>
  <si>
    <t>U08903</t>
  </si>
  <si>
    <t>Automating Theory of Mind Assessment with a LLaMA-3-Powered Chatbot: Enhancing Faux Pas Detection in Autism</t>
  </si>
  <si>
    <t>A. Fallah</t>
  </si>
  <si>
    <t>2024 14th International Conference on Computer and Knowledge Engineering (ICCKE)</t>
  </si>
  <si>
    <t>10.1109/iccke65377.2024.10874775</t>
  </si>
  <si>
    <t>U08903_Fallah_2024.pdf</t>
  </si>
  <si>
    <t>U08920</t>
  </si>
  <si>
    <t>BlissBot: Mental Health Chatbot</t>
  </si>
  <si>
    <t>Jaybhaye</t>
  </si>
  <si>
    <t>2024 IEEE Region 10 Symposium, TENSYMP 2024</t>
  </si>
  <si>
    <t>10.1109/tensymp61132.2024.10752315</t>
  </si>
  <si>
    <t>U08920_Jaybhaye_2024.pdf</t>
  </si>
  <si>
    <t>U08924</t>
  </si>
  <si>
    <t>Breaking the Silence: Whisper-Driven Emotion Recognition in AI Mental Support Models</t>
  </si>
  <si>
    <t>Qu</t>
  </si>
  <si>
    <t>Proceedings - 2024 IEEE Conference on Artificial Intelligence, CAI 2024</t>
  </si>
  <si>
    <t>10.1109/cai59869.2024.00063</t>
  </si>
  <si>
    <t>U08924_Qu_2024.pdf</t>
  </si>
  <si>
    <t>U08926</t>
  </si>
  <si>
    <t>Building Empathic Chabot using LSTM and NLP</t>
  </si>
  <si>
    <t>J. Jeyalakshmi</t>
  </si>
  <si>
    <t>2024 4th International Conference on Innovative Practices in Technology and Management (ICIPTM)</t>
  </si>
  <si>
    <t>10.1109/iciptm59628.2024.10563763</t>
  </si>
  <si>
    <t>U08926_Jeyalakshmi_2024.pdf</t>
  </si>
  <si>
    <t>U08927</t>
  </si>
  <si>
    <t>Building Personality-Adaptive Conversational AI for Mental Health Therapy</t>
  </si>
  <si>
    <t>Sugam Jaiswal</t>
  </si>
  <si>
    <t>Proceedings of the 15th ACM International Conference on Bioinformatics, Computational Biology and Health Informatics</t>
  </si>
  <si>
    <t>10.1145/3698587.3701489</t>
  </si>
  <si>
    <t>U08927_Jaiswal_2024.pdf</t>
  </si>
  <si>
    <t>U08929</t>
  </si>
  <si>
    <t>CACTUS: Towards Psychological Counseling Conversations using Cognitive Behavioral Theory</t>
  </si>
  <si>
    <t>EMNLP 2024 - 2024 Conference on Empirical Methods in Natural Language Processing, Findings of EMNLP 2024</t>
  </si>
  <si>
    <t>10.18653/v1/2024.findings-emnlp.832</t>
  </si>
  <si>
    <t>U08929_Lee_2024.pdf</t>
  </si>
  <si>
    <t>U08931</t>
  </si>
  <si>
    <t>Can AI Digital Personas for Well-Being Provide Social Support? A Mixed-Method Analysis of User Reviews</t>
  </si>
  <si>
    <t>Heissler</t>
  </si>
  <si>
    <t>10.1155/2024/6738001</t>
  </si>
  <si>
    <t>U08931_Heissler_2024.pdf</t>
  </si>
  <si>
    <t>U08933</t>
  </si>
  <si>
    <t>Can AI Relate: Testing Large Language Model Response for Mental Health Support</t>
  </si>
  <si>
    <t>Gabriel</t>
  </si>
  <si>
    <t>10.18653/v1/2024.findings-emnlp.120</t>
  </si>
  <si>
    <t>U08933_Gabriel_2024.pdf</t>
  </si>
  <si>
    <t>U08941</t>
  </si>
  <si>
    <t>Can ChatGPT provide a better support: a comparative analysis of ChatGPT and dataset responses in mental health dialogues</t>
  </si>
  <si>
    <t>Naher</t>
  </si>
  <si>
    <t>10.1007/s12144-024-06140-z</t>
  </si>
  <si>
    <t>U08941_Naher_2024.pdf</t>
  </si>
  <si>
    <t>U08945</t>
  </si>
  <si>
    <t>Can Large Language Models be Good Emotional Supporter? Mitigating Preference Bias on Emotional Support Conversation</t>
  </si>
  <si>
    <t>10.18653/v1/2024.acl-long.813</t>
  </si>
  <si>
    <t>U08945_Kang_2024.pdf</t>
  </si>
  <si>
    <t>U08949</t>
  </si>
  <si>
    <t>Can Large Language Models Replace Therapists? Evaluating Performance at Simple Cognitive Behavioral Therapy Tasks</t>
  </si>
  <si>
    <t>Hodson</t>
  </si>
  <si>
    <t>10.2196/52500</t>
  </si>
  <si>
    <t>U08949_Hodson_2024.pdf</t>
  </si>
  <si>
    <t>U08954</t>
  </si>
  <si>
    <t>CareBot: A Mental Health Chatbot</t>
  </si>
  <si>
    <t>Naik</t>
  </si>
  <si>
    <t>2024 5th International Conference on Innovative Trends in Information Technology, ICITIIT 2024</t>
  </si>
  <si>
    <t>10.1109/icitiit61487.2024.10580805</t>
  </si>
  <si>
    <t>U08954_Naik_2024.pdf</t>
  </si>
  <si>
    <t>U08959</t>
  </si>
  <si>
    <t>CautionSuicide: A Deep Learning Based Approach for Detecting Suicidal Ideation in Real Time Chatbot Conversation</t>
  </si>
  <si>
    <t>Elsayed</t>
  </si>
  <si>
    <t>2024 IEEE 3rd International Conference on Computing and Machine Intelligence, ICMI 2024 - Proceedings</t>
  </si>
  <si>
    <t>10.1109/icmi60790.2024.10585805</t>
  </si>
  <si>
    <t>U08959_Elsayed_2024.pdf</t>
  </si>
  <si>
    <t>U08960</t>
  </si>
  <si>
    <t>CBT-LLM: A Chinese Large Language Model for Cognitive Behavioral Therapy-based Mental Health Question Answering</t>
  </si>
  <si>
    <t>Na</t>
  </si>
  <si>
    <t>2024 Joint International Conference on Computational Linguistics, Language Resources and Evaluation, LREC-COLING 2024 - Main Conference Proceedings</t>
  </si>
  <si>
    <t>10.63317/3bgf5o6ze4k6</t>
  </si>
  <si>
    <t>U08960_Na_2024.pdf</t>
  </si>
  <si>
    <t>U08969</t>
  </si>
  <si>
    <t>Chat GPT and suicide prevention – can it work? A conversation analysis; [Czat GPT i zapobieganie samobójstwom – czy to działa? Analiza konwersacji]</t>
  </si>
  <si>
    <t>Waszak</t>
  </si>
  <si>
    <t>Psychiatria i Psychologia Kliniczna</t>
  </si>
  <si>
    <t>10.15557/pipk.2024.0036</t>
  </si>
  <si>
    <t>U08969_Waszak_2024.pdf</t>
  </si>
  <si>
    <t>U08970</t>
  </si>
  <si>
    <t>Chat GPT and suicide prevention-can it work? A conversation analysis</t>
  </si>
  <si>
    <t>PSYCHIATRIA I PSYCHOLOGIA KLINICZNA-JOURNAL OF PSYCHIATRY AND CLINICAL PSYCHOLOGY</t>
  </si>
  <si>
    <t>U08970_Waszak_2024.pdf</t>
  </si>
  <si>
    <t>U08971</t>
  </si>
  <si>
    <t>Chat, Summary and Diagnosis: A LLM - Enhanced Conversational Agent for Interactive Depression Detection</t>
  </si>
  <si>
    <t>Proceedings - 2024 4th International Conference on Industrial Automation, Robotics and Control Engineering, IARCE 2024</t>
  </si>
  <si>
    <t>10.1109/iarce64300.2024.00070</t>
  </si>
  <si>
    <t>U08971_Zhang_2024.pdf</t>
  </si>
  <si>
    <t>U08972</t>
  </si>
  <si>
    <t>ChatASD: LLM-Based AI Therapist for ASD</t>
  </si>
  <si>
    <t>Ren</t>
  </si>
  <si>
    <t>10.1007/978-981-97-3626-3_23</t>
  </si>
  <si>
    <t>U08972_Ren_2024.pdf</t>
  </si>
  <si>
    <t>U08974</t>
  </si>
  <si>
    <t>Chatbot for the Detection of Depression in University Students in Peru using Sentiment Analysis</t>
  </si>
  <si>
    <t>Saldana Condori</t>
  </si>
  <si>
    <t>Proceedings of the 2024 IEEE 4th International Conference on Advanced Learning Technologies for Education and Research, ICALTER 2024</t>
  </si>
  <si>
    <t>10.1109/icalter65499.2024.10819245</t>
  </si>
  <si>
    <t>U08974_Saldana-Condori_2024.pdf</t>
  </si>
  <si>
    <t>U08978</t>
  </si>
  <si>
    <t>Chatbot with ChatGPT technology for mental wellbeing and emotional management</t>
  </si>
  <si>
    <t>Andrade-Arenas</t>
  </si>
  <si>
    <t>IAES International Journal of Artificial Intelligence</t>
  </si>
  <si>
    <t>10.11591/ijai.v13.i3.pp2635-2644</t>
  </si>
  <si>
    <t>U08978_Andrade-Arenas_2024.pdf</t>
  </si>
  <si>
    <t>U08979</t>
  </si>
  <si>
    <t>Chatbot-Based Mood and Activity Journaling for Resource-Oriented CBT Support of Students</t>
  </si>
  <si>
    <t>10.1007/978-3-031-61063-9_12</t>
  </si>
  <si>
    <t>U08979_Striegl_2024.pdf</t>
  </si>
  <si>
    <t>U08984</t>
  </si>
  <si>
    <t>Chatbots and mental health: Insights into the safety of generative AI</t>
  </si>
  <si>
    <t>De Freitas</t>
  </si>
  <si>
    <t>Journal of Consumer Psychology</t>
  </si>
  <si>
    <t>10.1002/jcpy.1393</t>
  </si>
  <si>
    <t>U08984_De-Freitas_2024.pdf</t>
  </si>
  <si>
    <t>U08987</t>
  </si>
  <si>
    <t>Chatbots for Mental Health: Leveraging LSTM and Seq2Seq Architectures to Enhance User Well-being</t>
  </si>
  <si>
    <t>Ansari</t>
  </si>
  <si>
    <t>2024 IEEE International Conference on Information Technology, Electronics and Intelligent Communication Systems, ICITEICS 2024</t>
  </si>
  <si>
    <t>10.1109/iciteics61368.2024.10624828</t>
  </si>
  <si>
    <t>U08987_Ansari_2024.pdf</t>
  </si>
  <si>
    <t>U08995</t>
  </si>
  <si>
    <t>ChatGPT as a Complementary Mental Health Resource: A Boon or a Bane</t>
  </si>
  <si>
    <t>Farhat</t>
  </si>
  <si>
    <t>ANNALS OF BIOMEDICAL ENGINEERING</t>
  </si>
  <si>
    <t>10.1007/s10439-023-03326-7</t>
  </si>
  <si>
    <t>U08995_Farhat_2024.pdf</t>
  </si>
  <si>
    <t>U09019</t>
  </si>
  <si>
    <t>ChatGPT-4: Alcohol use disorder responses</t>
  </si>
  <si>
    <t>Russell AM</t>
  </si>
  <si>
    <t>Addiction</t>
  </si>
  <si>
    <t>10.1111/add.16650</t>
  </si>
  <si>
    <t>U09019_Russell-AM_2024.pdf</t>
  </si>
  <si>
    <t>U09028</t>
  </si>
  <si>
    <t>CIRG-SL: Commonsense Inductive Relation Graph framework with Soft Labels for Empathetic Response Generation</t>
  </si>
  <si>
    <t>10.1016/j.knosys.2024.112584</t>
  </si>
  <si>
    <t>U09028_Zhang_2024.pdf</t>
  </si>
  <si>
    <t>U09036</t>
  </si>
  <si>
    <t>Closing the accessibility gap to mental health treatment with a personalized self-referral chatbot</t>
  </si>
  <si>
    <t>Habicht</t>
  </si>
  <si>
    <t>10.1038/s41591-023-02766-x</t>
  </si>
  <si>
    <t>U09036_Habicht_2024.pdf</t>
  </si>
  <si>
    <t>U09044</t>
  </si>
  <si>
    <t>Collaborative School Mental Health System: Leveraging a Conversational Agent for Enhancing Children's Executive Function</t>
  </si>
  <si>
    <t>10.1145/3613904.3642593</t>
  </si>
  <si>
    <t>U09044_Park_2024.pdf</t>
  </si>
  <si>
    <t>U09061</t>
  </si>
  <si>
    <t>Comparative Study on the Performance of LLM-based Psychological Counseling Chatbots via Prompt Engineering Techniques</t>
  </si>
  <si>
    <t>10.1109/bibm62325.2024.10822158</t>
  </si>
  <si>
    <t>U09061_Lee_2024.pdf</t>
  </si>
  <si>
    <t>U09070</t>
  </si>
  <si>
    <t>ComPeer: A Generative Conversational Agent for Proactive Peer Support</t>
  </si>
  <si>
    <t>UIST 2024 - Proceedings of the 37th Annual ACM Symposium on User Interface Software and Technology</t>
  </si>
  <si>
    <t>10.1145/3654777.3676430</t>
  </si>
  <si>
    <t>U09070_Liu_2024.pdf</t>
  </si>
  <si>
    <t>U09076</t>
  </si>
  <si>
    <t>Computational Psychotherapy System for Mental Health Prediction and Behavior Change with a Conversational Agent</t>
  </si>
  <si>
    <t>Kolenik</t>
  </si>
  <si>
    <t>NEUROPSYCHIATRIC DISEASE AND TREATMENT</t>
  </si>
  <si>
    <t>10.2147/ndt.s417695</t>
  </si>
  <si>
    <t>U09076_Kolenik_2024.pdf</t>
  </si>
  <si>
    <t>U09083</t>
  </si>
  <si>
    <t>Contextual AI Journaling: Integrating LLM and Time Series Behavioral Sensing Technology to Promote Self-Reflection and Well-being using the MindScape App</t>
  </si>
  <si>
    <t>Nepal</t>
  </si>
  <si>
    <t>10.1145/3613905.3650767</t>
  </si>
  <si>
    <t>U09083_Nepal_2024.pdf</t>
  </si>
  <si>
    <t>U09085</t>
  </si>
  <si>
    <t>Convcounsel: A Conversational Dataset for Student Counseling</t>
  </si>
  <si>
    <t>2024 27th Conference on the Oriental COCOSDA International Committee for the Co-Ordination and Standardisation of Speech Databases and Assessment Techniques, O-COCOSDA 2024 - Proceedings</t>
  </si>
  <si>
    <t>10.1109/o-cocosda64382.2024.10800282</t>
  </si>
  <si>
    <t>U09085_Chen_2024.pdf</t>
  </si>
  <si>
    <t>U09087</t>
  </si>
  <si>
    <t>Conversation Analysis of Remote Dialogue System for Mental Health Interventions</t>
  </si>
  <si>
    <t>Yi</t>
  </si>
  <si>
    <t>10.1007/978-3-031-67278-1_22</t>
  </si>
  <si>
    <t>U09087_Yi_2024.pdf</t>
  </si>
  <si>
    <t>U09089</t>
  </si>
  <si>
    <t>Conversational Agent Utilization Patterns of Individuals with Autism Spectrum Disorder</t>
  </si>
  <si>
    <t>Aghakhani</t>
  </si>
  <si>
    <t>10.1007/s41347-024-00451-5</t>
  </si>
  <si>
    <t>U09089_Aghakhani_2024.pdf</t>
  </si>
  <si>
    <t>U09091</t>
  </si>
  <si>
    <t>Conversational AI facilitates mental health assessments and is associated with improved recovery rates</t>
  </si>
  <si>
    <t>BMJ Innovations</t>
  </si>
  <si>
    <t>10.1136/bmjinnov-2023-001110</t>
  </si>
  <si>
    <t>U09091_Rollwage_2024.pdf</t>
  </si>
  <si>
    <t>U09094</t>
  </si>
  <si>
    <t>Conversational AI for Mental Health Support</t>
  </si>
  <si>
    <t>2024 MIT Art, Design and Technology School of Computing International Conference, MITADTSoCiCon 2024</t>
  </si>
  <si>
    <t>10.1109/mitadtsocicon60330.2024.10575117</t>
  </si>
  <si>
    <t>U09094_Kulkarni_2024.pdf</t>
  </si>
  <si>
    <t>U09097</t>
  </si>
  <si>
    <t>Conversational Chatbot for Cigarette Smoking Cessation:ResultsFrom the 11-Step User-Centered Design Development Processand Randomized Controlled Trial</t>
  </si>
  <si>
    <t>Bricker</t>
  </si>
  <si>
    <t>JMIR MHEALTH AND UHEALTH</t>
  </si>
  <si>
    <t>10.2196/57318</t>
  </si>
  <si>
    <t>U09097_Bricker_2024.pdf</t>
  </si>
  <si>
    <t>U09100</t>
  </si>
  <si>
    <t>Conversational Topic Recommendation in Counseling and Psychotherapy with Decision Transformer and Large Language Models</t>
  </si>
  <si>
    <t>Gunal</t>
  </si>
  <si>
    <t>ClinicalNLP 2024 - 6th Workshop on Clinical Natural Language Processing, Proceedings of the Workshop</t>
  </si>
  <si>
    <t>10.18653/v1/2024.clinicalnlp-1.16</t>
  </si>
  <si>
    <t>U09100_Gunal_2024.pdf</t>
  </si>
  <si>
    <t>U09113</t>
  </si>
  <si>
    <t>CPsyCoun: A Report-based Multi-turn Dialogue Reconstruction and Evaluation Framework for Chinese Psychological Counseling</t>
  </si>
  <si>
    <t>10.18653/v1/2024.findings-acl.830</t>
  </si>
  <si>
    <t>U09113_Zhang_2024.pdf</t>
  </si>
  <si>
    <t>U09141</t>
  </si>
  <si>
    <t>Deep learning-based dimensional emotion recognition for conversational agent-based cognitive behavioral therapy</t>
  </si>
  <si>
    <t>PeerJ Computer Science</t>
  </si>
  <si>
    <t>10.7717/peerj-cs.2104</t>
  </si>
  <si>
    <t>U09141_Striegl_2024.pdf</t>
  </si>
  <si>
    <t>U09146</t>
  </si>
  <si>
    <t>Demographic and clinical characteristics associated with anxiety and depressive symptom outcomes in users of a digital mental health intervention incorporating a relational agent</t>
  </si>
  <si>
    <t>Chiauzzi</t>
  </si>
  <si>
    <t>10.1186/s12888-024-05532-6</t>
  </si>
  <si>
    <t>U09146_Chiauzzi_2024.pdf</t>
  </si>
  <si>
    <t>U09152</t>
  </si>
  <si>
    <t>Depression Detection Using Multimodal Analysis with Chatbot Support</t>
  </si>
  <si>
    <t>2024 2nd International Conference on Disruptive Technologies, ICDT 2024</t>
  </si>
  <si>
    <t>10.1109/icdt61202.2024.10489080</t>
  </si>
  <si>
    <t>U09152_Sharma_2024.pdf</t>
  </si>
  <si>
    <t>U09160</t>
  </si>
  <si>
    <t>Design and Evaluation of an AI-Powered Conversational Agent for Personalized Mental Health Support and Intervention (MindBot)</t>
  </si>
  <si>
    <t>Kambare</t>
  </si>
  <si>
    <t>5th International Conference on Sustainable Communication Networks and Application, ICSCNA 2024 - Proceedings</t>
  </si>
  <si>
    <t>10.1109/icscna63714.2024.10863855</t>
  </si>
  <si>
    <t>U09160_Kambare_2024.pdf</t>
  </si>
  <si>
    <t>U09162</t>
  </si>
  <si>
    <t>Design and Implementation of an AI-Driven Mental Health Chatbot: A Generative AI Model</t>
  </si>
  <si>
    <t>Proceedings of the 2024 International Conference on Innovative Computing, Intelligent Communication and Smart Electrical Systems, ICSES 2024</t>
  </si>
  <si>
    <t>10.1109/icses63760.2024.10910363</t>
  </si>
  <si>
    <t>U09162_Gupta_2024.pdf</t>
  </si>
  <si>
    <t>U09163</t>
  </si>
  <si>
    <t>Design and Implementation of Counseling Chatbot using Knowledge Graph-Based RAG</t>
  </si>
  <si>
    <t>International Conference on ICT Convergence</t>
  </si>
  <si>
    <t>10.1109/ictc62082.2024.10826816</t>
  </si>
  <si>
    <t>U09163_Lee_2024.pdf</t>
  </si>
  <si>
    <t>U09164</t>
  </si>
  <si>
    <t>Design and Implementation of Therapist Chatbot Using Encoder-Decoder LSTM</t>
  </si>
  <si>
    <t>Debray</t>
  </si>
  <si>
    <t>10.1007/978-981-97-4149-6_28</t>
  </si>
  <si>
    <t>U09164_Debray_2024.pdf</t>
  </si>
  <si>
    <t>U09165</t>
  </si>
  <si>
    <t>Design of a Chatbot for Relieving Academic Stress in Adolescent Students</t>
  </si>
  <si>
    <t>Malik</t>
  </si>
  <si>
    <t>10.1007/978-981-97-1329-5_8</t>
  </si>
  <si>
    <t>U09165_Malik_2024.pdf</t>
  </si>
  <si>
    <t>U09168</t>
  </si>
  <si>
    <t>Design Proposal for a Chatbot with Mental Support Functionalities Based on Artificial Intelligence</t>
  </si>
  <si>
    <t>Hernandez Collante</t>
  </si>
  <si>
    <t>10.1007/978-3-031-60012-8_2</t>
  </si>
  <si>
    <t>U09168_Hernandez-Collante_2024.pdf</t>
  </si>
  <si>
    <t>U09169</t>
  </si>
  <si>
    <t>Design Science Research in Developing a Bible-Based Chatbot for Holistic Counseling</t>
  </si>
  <si>
    <t>Loekito</t>
  </si>
  <si>
    <t>2024 3rd International Conference on Creative Communication and Innovative Technology, ICCIT 2024</t>
  </si>
  <si>
    <t>10.1109/iccit62134.2024.10701146</t>
  </si>
  <si>
    <t>U09169_Loekito_2024.pdf</t>
  </si>
  <si>
    <t>U09171</t>
  </si>
  <si>
    <t>Designing a Large Language Model-Based Coaching Intervention for Lifestyle Behavior Change</t>
  </si>
  <si>
    <t>Meywirth</t>
  </si>
  <si>
    <t>10.1007/978-3-031-61175-9_6</t>
  </si>
  <si>
    <t>U09171_Meywirth_2024.pdf</t>
  </si>
  <si>
    <t>U09181</t>
  </si>
  <si>
    <t>Detecting Depressive Symptoms: Activity Tracking and Chatbot Intervention</t>
  </si>
  <si>
    <t>Shaker</t>
  </si>
  <si>
    <t>SeGAH 2024 - 2024 IEEE 12th International Conference on Serious Games and Applications for Health</t>
  </si>
  <si>
    <t>10.1109/segah61285.2024.10639580</t>
  </si>
  <si>
    <t>U09181_Shaker_2024.pdf</t>
  </si>
  <si>
    <t>U09187</t>
  </si>
  <si>
    <t>Developing a Chatbot to Support Individuals With Neurodevelopmental Disorders: Tutorial</t>
  </si>
  <si>
    <t>Singla A</t>
  </si>
  <si>
    <t>10.2196/50182</t>
  </si>
  <si>
    <t>U09187_Singla-A_2024.pdf</t>
  </si>
  <si>
    <t>U09192</t>
  </si>
  <si>
    <t>Development and Evaluation of a Smartphone-Based Chatbot Coach to Facilitate a Balanced Lifestyle in Individuals With Headaches (BalanceUP App): Randomized Controlled Trial</t>
  </si>
  <si>
    <t>10.2196/50132</t>
  </si>
  <si>
    <t>U09192_Ulrich_2024.pdf</t>
  </si>
  <si>
    <t>U09196</t>
  </si>
  <si>
    <t>Development of a Chatbot Called Baymax to Support Suicidal People with Severe Depression, using Natural Language Processing and the DNN Neural Model</t>
  </si>
  <si>
    <t>C. S. C. Vega</t>
  </si>
  <si>
    <t>2024 13th International Conference On Software Process Improvement (CIMPS)</t>
  </si>
  <si>
    <t>10.1109/cimps65195.2024.11095927</t>
  </si>
  <si>
    <t>U09196_Vega_2024.pdf</t>
  </si>
  <si>
    <t>U09197</t>
  </si>
  <si>
    <t>Development of a chatbot for mental health support using ai-intelligent; [Desarrollo de un chatbot para apoyo en salud mental utilizando inteligencia artificial]</t>
  </si>
  <si>
    <t>Sa’dulloyeva</t>
  </si>
  <si>
    <t>Health Leadership and Quality of Life</t>
  </si>
  <si>
    <t>10.56294/hl2024.178</t>
  </si>
  <si>
    <t>U09197_Sadulloyeva_2024.pdf</t>
  </si>
  <si>
    <t>U09198</t>
  </si>
  <si>
    <t>Development of a Chatbot Powered by Artificial Intelligence to Diagnose and Improve Stress and Anxiety Levels in University Students</t>
  </si>
  <si>
    <t>De La Puente</t>
  </si>
  <si>
    <t>Proceedings of the 2024 IEEE 31st International Conference on Electronics, Electrical Engineering and Computing, INTERCON 2024</t>
  </si>
  <si>
    <t>10.1109/intercon63140.2024.10833503</t>
  </si>
  <si>
    <t>U09198_De-La-Puente_2024.pdf</t>
  </si>
  <si>
    <t>U09201</t>
  </si>
  <si>
    <t>Development of a Mental Health Chatbot Using Large Language Models for Indonesian Undergraduates</t>
  </si>
  <si>
    <t>Gumilang</t>
  </si>
  <si>
    <t>International Conference on Computer, Control, Informatics and its Applications, IC3INA</t>
  </si>
  <si>
    <t>10.1109/ic3ina64086.2024.10732708</t>
  </si>
  <si>
    <t>U09201_Gumilang_2024.pdf</t>
  </si>
  <si>
    <t>U09202</t>
  </si>
  <si>
    <t>Development Of A Multi-Lingual Chatbot For Physical and Mental Health Monitoring Of Children</t>
  </si>
  <si>
    <t>PACLIC - Pacific Asia Conference on Language Information and Computation</t>
  </si>
  <si>
    <t>U09202_Azcarraga_2024.pdf</t>
  </si>
  <si>
    <t>U09204</t>
  </si>
  <si>
    <t>DEVELOPMENT OF A VIRTUAL PSYCHOLOGICAL ASSISTANT WITH ARTIFICIAL INTELLIGENCE IN THE HEALTHCARE SECTOR</t>
  </si>
  <si>
    <t>Shevchenko</t>
  </si>
  <si>
    <t>Clinical and Preventive Medicine</t>
  </si>
  <si>
    <t>10.31612/2616-4868.8.2024.02</t>
  </si>
  <si>
    <t>U09204_Shevchenko_2024.pdf</t>
  </si>
  <si>
    <t>U09210</t>
  </si>
  <si>
    <t>DiagESC: Dialogue Synthesis for Integrating Depression Diagnosis into Emotional Support Conversation</t>
  </si>
  <si>
    <t>Seo</t>
  </si>
  <si>
    <t>SIGDIAL 2024 - 25th Annual Meeting of the Special Interest Group on Discourse and Dialogue, Proceedings of the Conference</t>
  </si>
  <si>
    <t>10.18653/v1/2024.sigdial-1.59</t>
  </si>
  <si>
    <t>U09210_Seo_2024.pdf</t>
  </si>
  <si>
    <t>U09214</t>
  </si>
  <si>
    <t>Dialogue System for Early Mental Illness Detection: Toward a Digital Twin Solution</t>
  </si>
  <si>
    <t>Abilkaiyrkyzy</t>
  </si>
  <si>
    <t>10.1109/access.2023.3348783</t>
  </si>
  <si>
    <t>U09214_Abilkaiyrkyzy_2024.pdf</t>
  </si>
  <si>
    <t>U09216</t>
  </si>
  <si>
    <t>Diffusion models for virtual agent facial expression generation in Motivational interviewing</t>
  </si>
  <si>
    <t>10.1145/3656650.3656673</t>
  </si>
  <si>
    <t>U09216_Younsi_2024.pdf</t>
  </si>
  <si>
    <t>U09238</t>
  </si>
  <si>
    <t>Domain-Specific Improvement on Psychotherapy Chatbot Using Assistant</t>
  </si>
  <si>
    <t>2024 IEEE International Conference on Acoustics, Speech, and Signal Processing Workshops, ICASSPW 2024 - Proceedings</t>
  </si>
  <si>
    <t>10.1109/icasspw62465.2024.10626529</t>
  </si>
  <si>
    <t>U09238_Kang_2024.pdf</t>
  </si>
  <si>
    <t>U09239</t>
  </si>
  <si>
    <t>Dopamiini: Real-Time Interaction to Combating Loneliness with Smart Wheelchair Integrated Chatbot Support Model</t>
  </si>
  <si>
    <t>Oeishee</t>
  </si>
  <si>
    <t>2024 International Conference on Innovations in Science, Engineering and Technology: Innovative Technologies for Global Solutions, ICISET 2024</t>
  </si>
  <si>
    <t>10.1109/iciset62123.2024.10939577</t>
  </si>
  <si>
    <t>U09239_Oeishee_2024.pdf</t>
  </si>
  <si>
    <t>U09248</t>
  </si>
  <si>
    <t>Dynamic Demonstration Retrieval and Cognitive Understanding for Emotional Support Conversation</t>
  </si>
  <si>
    <t>SIGIR 2024 - Proceedings of the 47th International ACM SIGIR Conference on Research and Development in Information Retrieval</t>
  </si>
  <si>
    <t>10.1145/3626772.3657695</t>
  </si>
  <si>
    <t>U09248_Xu_2024.pdf</t>
  </si>
  <si>
    <t>U09249</t>
  </si>
  <si>
    <t>E&amp;S-Gainer: An Emotion Aware and Strategy Enhanced Model for Emotional Support Conversation</t>
  </si>
  <si>
    <t>10.1007/978-981-97-5569-1_5</t>
  </si>
  <si>
    <t>U09249_Yang_2024.pdf</t>
  </si>
  <si>
    <t>U09257</t>
  </si>
  <si>
    <t>Effectiveness and User Experience of a Smoking Cessation Chatbot: Mixed Methods Study Comparing Motivational Interviewing and Confrontational Counseling</t>
  </si>
  <si>
    <t>10.2196/53134</t>
  </si>
  <si>
    <t>U09257_He_2024.pdf</t>
  </si>
  <si>
    <t>U09259</t>
  </si>
  <si>
    <t>Effectiveness of a chatbot in improving the mental wellbeing of health workers in Malawi during the COVID-19 pandemic: A randomized, controlled trial</t>
  </si>
  <si>
    <t>Kleinau</t>
  </si>
  <si>
    <t>PLoS ONE</t>
  </si>
  <si>
    <t>10.1371/journal.pone.0303370</t>
  </si>
  <si>
    <t>U09259_Kleinau_2024.pdf</t>
  </si>
  <si>
    <t>U09260</t>
  </si>
  <si>
    <t>Effectiveness of a Mental Health Chatbot for People With Chronic Diseases: Randomized Controlled Trial</t>
  </si>
  <si>
    <t>MacNeill</t>
  </si>
  <si>
    <t>10.2196/50025</t>
  </si>
  <si>
    <t>U09260_MacNeill_2024.pdf</t>
  </si>
  <si>
    <t>U09261</t>
  </si>
  <si>
    <t>Effectiveness of a Web-based and Mobile Therapy Chatbot on Anxiety and Depressive Symptoms in Subclinical Young Adults: Randomized Controlled Trial</t>
  </si>
  <si>
    <t>Karkosz</t>
  </si>
  <si>
    <t>10.2196/47960</t>
  </si>
  <si>
    <t>U09261_Karkosz_2024.pdf</t>
  </si>
  <si>
    <t>U09266</t>
  </si>
  <si>
    <t>Effects of a Chatbot-Based Intervention on Stress and Health-Related Parameters in a Stressed Sample: Randomized Controlled Trial</t>
  </si>
  <si>
    <t>Schillings</t>
  </si>
  <si>
    <t>10.2196/50454</t>
  </si>
  <si>
    <t>U09266_Schillings_2024.pdf</t>
  </si>
  <si>
    <t>U09267</t>
  </si>
  <si>
    <t>Effects of Chatbot Components to Facilitate Mental Health Services Use in Individuals With Eating Disorders Following Online Screening: An Optimization Randomized Controlled Trial</t>
  </si>
  <si>
    <t>Fitzsimmons-Craft</t>
  </si>
  <si>
    <t>10.1002/eat.24260</t>
  </si>
  <si>
    <t>U09267_Fitzsimmons-Craft_2024.pdf</t>
  </si>
  <si>
    <t>U09269</t>
  </si>
  <si>
    <t>Effects of Gender Synchrony in User-Agent Interactions: Integrating the Designer as a Product Cue in Virtual Human Design for Mental Health Support</t>
  </si>
  <si>
    <t>Feijóo-García</t>
  </si>
  <si>
    <t>HAI 2024 - Proceedings of the 12th International Conference on Human-Agent Interaction</t>
  </si>
  <si>
    <t>10.1145/3687272.3688326</t>
  </si>
  <si>
    <t>U09269_Feijoo-Garcia_2024.pdf</t>
  </si>
  <si>
    <t>U09274</t>
  </si>
  <si>
    <t>Effects of Virtual Agents' Social Support for Social Sharing of Negative Emotions on Attachment Function and Trust</t>
  </si>
  <si>
    <t>Matsumoto</t>
  </si>
  <si>
    <t>10.1145/3687272.3688321</t>
  </si>
  <si>
    <t>U09274_Matsumoto_2024.pdf</t>
  </si>
  <si>
    <t>U09279</t>
  </si>
  <si>
    <t>Efficient Mental Health Therapist Chatbot Assisted by Artificial Intelligence</t>
  </si>
  <si>
    <t>Asha</t>
  </si>
  <si>
    <t>10th International Conference on Advanced Computing and Communication Systems, ICACCS 2024</t>
  </si>
  <si>
    <t>10.1109/icaccs60874.2024.10716823</t>
  </si>
  <si>
    <t>U09279_Asha_2024.pdf</t>
  </si>
  <si>
    <t>U09280</t>
  </si>
  <si>
    <t>A. P</t>
  </si>
  <si>
    <t>2024 10th International Conference on Advanced Computing and Communication Systems (ICACCS)</t>
  </si>
  <si>
    <t>U09280_P_2024.pdf</t>
  </si>
  <si>
    <t>U09282</t>
  </si>
  <si>
    <t>ELEVATE: An AI-Driven Virtual Companion for Nurturing Mental Health Support for Students</t>
  </si>
  <si>
    <t>R. Angeline</t>
  </si>
  <si>
    <t>2024 2nd International Conference on Advances in Computation, Communication and Information Technology (ICAICCIT)</t>
  </si>
  <si>
    <t>10.1109/icaiccit64383.2024.10912402</t>
  </si>
  <si>
    <t>U09282_Angeline_2024.pdf</t>
  </si>
  <si>
    <t>U09288</t>
  </si>
  <si>
    <t>Eminder: Mental Health Companion Bot for Daily Monitoring and Notifications</t>
  </si>
  <si>
    <t>L. M. C. Escoto</t>
  </si>
  <si>
    <t>2024 International Conference on Sustainable Communication Networks and Application (ICSCNA)</t>
  </si>
  <si>
    <t>10.1109/icscna63714.2024.10863922</t>
  </si>
  <si>
    <t>U09288_Escoto_2024.pdf</t>
  </si>
  <si>
    <t>U09290</t>
  </si>
  <si>
    <t>EmoAda: A Multimodal Emotion Interaction and Psychological Adaptation System</t>
  </si>
  <si>
    <t>10.1007/978-3-031-53302-0_25</t>
  </si>
  <si>
    <t>U09290_Dong_2024.pdf</t>
  </si>
  <si>
    <t>U09304</t>
  </si>
  <si>
    <t>Emotional Support Dialog System Through Recursive Interactions Among Large Language Models</t>
  </si>
  <si>
    <t>10.1007/978-981-97-0601-3_13</t>
  </si>
  <si>
    <t>U09304_Chen_2024.pdf</t>
  </si>
  <si>
    <t>U09305</t>
  </si>
  <si>
    <t>Emotional valence and gender effects on willingness to interact with virtual agents in people with depressive symptoms</t>
  </si>
  <si>
    <t>2024 IEEE 15th International Conference on Cognitive Infocommunications, CogInfoCom 2024</t>
  </si>
  <si>
    <t>10.1109/coginfocom63007.2024.10894710</t>
  </si>
  <si>
    <t>U09305_Milo_2024.pdf</t>
  </si>
  <si>
    <t>U09306</t>
  </si>
  <si>
    <t>Empathetic Reflective Response Generation: Towards Conversation Models for Online Mental Health Support</t>
  </si>
  <si>
    <t>Giyahchi</t>
  </si>
  <si>
    <t>Proceedings - 2024 International Conference on Machine Learning and Applications, ICMLA 2024</t>
  </si>
  <si>
    <t>10.1109/icmla61862.2024.00259</t>
  </si>
  <si>
    <t>U09306_Giyahchi_2024.pdf</t>
  </si>
  <si>
    <t>U09307</t>
  </si>
  <si>
    <t>Empathetic Response Generation with Relation-Aware Commonsense Knowledge</t>
  </si>
  <si>
    <t>WSDM 2024 - Proceedings of the 17th ACM International Conference on Web Search and Data Mining</t>
  </si>
  <si>
    <t>10.1145/3616855.3635836</t>
  </si>
  <si>
    <t>U09307_Chen_2024.pdf</t>
  </si>
  <si>
    <t>U09308</t>
  </si>
  <si>
    <t>Empathic Dialog Systems for Patient Intake: Balancing Task-Completion and Emotional Support using RAGs</t>
  </si>
  <si>
    <t>Proceedings of the 24th ACM International Conference on Intelligent Virtual Agents, IVA 2024</t>
  </si>
  <si>
    <t>10.1145/3652988.3673968</t>
  </si>
  <si>
    <t>U09308_Shayaninasab_2024.pdf</t>
  </si>
  <si>
    <t>U09316</t>
  </si>
  <si>
    <t>Empowering Alzheimer's caregivers with conversational AI: a novel approach for enhanced communication and personalized support</t>
  </si>
  <si>
    <t>Hasan WU</t>
  </si>
  <si>
    <t>NPJ Biomed Innov</t>
  </si>
  <si>
    <t>10.1038/s44385-024-00004-8</t>
  </si>
  <si>
    <t>U09316_Hasan-WU_2024.pdf</t>
  </si>
  <si>
    <t>U09323</t>
  </si>
  <si>
    <t>Empowerment of Large Language Models in Psychological Counseling through Prompt Engineering</t>
  </si>
  <si>
    <t>2024 4th IEEE International Conference on Software Engineering and Artificial Intelligence, SEAI 2024</t>
  </si>
  <si>
    <t>10.1109/seai62072.2024.10674052</t>
  </si>
  <si>
    <t>U09323_Huang_2024.pdf</t>
  </si>
  <si>
    <t>U09324</t>
  </si>
  <si>
    <t>Enabling Mental Wellness Through Interactive Platforms</t>
  </si>
  <si>
    <t>Umanandhini</t>
  </si>
  <si>
    <t>10.1109/icces63552.2024.10859837</t>
  </si>
  <si>
    <t>U09324_Umanandhini_2024.pdf</t>
  </si>
  <si>
    <t>U09325</t>
  </si>
  <si>
    <t>U. D</t>
  </si>
  <si>
    <t>2024 9th International Conference on Communication and Electronics Systems (ICCES)</t>
  </si>
  <si>
    <t>U09325_D_2024.pdf</t>
  </si>
  <si>
    <t>U09336</t>
  </si>
  <si>
    <t>Enhancing Emotion Detection in Chatbots for Improved Mental Health Support: Addressing Limitations in Mental Disorders and Emotion Detection</t>
  </si>
  <si>
    <t>Krabashini</t>
  </si>
  <si>
    <t>Proceedings - 2024 17th International Congress on Image and Signal Processing, BioMedical Engineering and Informatics, CISP-BMEI 2024</t>
  </si>
  <si>
    <t>10.1109/cisp-bmei64163.2024.10906280</t>
  </si>
  <si>
    <t>U09336_Krabashini_2024.pdf</t>
  </si>
  <si>
    <t>U09337</t>
  </si>
  <si>
    <t>Enhancing Emotional Support Chatbots Using Deep Learning &amp; NLP: A Study on Personalization and Effectiveness</t>
  </si>
  <si>
    <t>Proceedings - IEEE 2024 1st International Conference on Advances in Computing, Communication and Networking, ICAC2N 2024</t>
  </si>
  <si>
    <t>10.1109/icac2n63387.2024.10894854</t>
  </si>
  <si>
    <t>U09337_Kaushik_2024.pdf</t>
  </si>
  <si>
    <t>U09338</t>
  </si>
  <si>
    <t>Enhancing Emotional Support Conversation System via Integrating Mental State-Strategy Reasoning</t>
  </si>
  <si>
    <t>2024 6th International Conference on Machine Learning, Big Data and Business Intelligence, MLBDBI 2024</t>
  </si>
  <si>
    <t>10.1109/mlbdbi63974.2024.10823858</t>
  </si>
  <si>
    <t>U09338_Cao_2024.pdf</t>
  </si>
  <si>
    <t>U09348</t>
  </si>
  <si>
    <t>Enhancing Patient Intake Process in Mental Health Consultations Using RAG-Driven Chatbot</t>
  </si>
  <si>
    <t>Proceedings - 2024 12th International Conference on Affective Computing and Intelligent Interaction Workshops and Demos, ACIIW 2024</t>
  </si>
  <si>
    <t>10.1109/aciiw63320.2024.00053</t>
  </si>
  <si>
    <t>U09348_Shayaninasab_2024.pdf</t>
  </si>
  <si>
    <t>U09359</t>
  </si>
  <si>
    <t>ESC-Eval: Evaluating Emotion Support Conversations in Large Language Models</t>
  </si>
  <si>
    <t>EMNLP 2024 - 2024 Conference on Empirical Methods in Natural Language Processing, Proceedings of the Conference</t>
  </si>
  <si>
    <t>10.18653/v1/2024.emnlp-main.883</t>
  </si>
  <si>
    <t>U09359_Zhao_2024.pdf</t>
  </si>
  <si>
    <t>U09360</t>
  </si>
  <si>
    <t>ESCoT: Towards Interpretable Emotional Support Dialogue Systems</t>
  </si>
  <si>
    <t>10.18653/v1/2024.acl-long.723</t>
  </si>
  <si>
    <t>U09360_Zhang_2024.pdf</t>
  </si>
  <si>
    <t>U09377</t>
  </si>
  <si>
    <t>Evaluating the Experience of LGBTQ+ People Using Large Language Model Based Chatbots for Mental Health Support</t>
  </si>
  <si>
    <t>10.1145/3613904.3642482</t>
  </si>
  <si>
    <t>U09377_Ma_2024.pdf</t>
  </si>
  <si>
    <t>U09383</t>
  </si>
  <si>
    <t>Evaluating the Feasibility and Acceptability of a GPT-Based Chatbot for Depression Screening: A Mixed-Methods Study</t>
  </si>
  <si>
    <t>10.1007/978-3-031-67278-1_20</t>
  </si>
  <si>
    <t>U09383_Guo_2024.pdf</t>
  </si>
  <si>
    <t>U09384</t>
  </si>
  <si>
    <t>Evaluation of a CBT-Based Program for Mental Health in the General Population During the COVID-19 Pandemic: A Stepped-Care Approach Using a Chatbot and Digitized Group Intervention</t>
  </si>
  <si>
    <t>Langhammer</t>
  </si>
  <si>
    <t>Depression and Anxiety</t>
  </si>
  <si>
    <t>10.1155/2024/8950388</t>
  </si>
  <si>
    <t>U09384_Langhammer_2024.pdf</t>
  </si>
  <si>
    <t>U09394</t>
  </si>
  <si>
    <t>Examining a brief web and longitudinal app-based intervention [Wysa] for mental health support in Singapore during the COVID-19 pandemic: mixed-methods retrospective observational study</t>
  </si>
  <si>
    <t>10.3389/fdgth.2024.1443598</t>
  </si>
  <si>
    <t>U09394_Sinha_2024.pdf</t>
  </si>
  <si>
    <t>U09399</t>
  </si>
  <si>
    <t>Examining the Effects of Cognitive Behavioral Therapy With a Virtual Agent on User Motivation and Improvement in Psychological Distress and Anxiety: Two-Session Experimental Study</t>
  </si>
  <si>
    <t>Frischholz</t>
  </si>
  <si>
    <t>10.2196/55234</t>
  </si>
  <si>
    <t>U09399_Frischholz_2024.pdf</t>
  </si>
  <si>
    <t>U09403</t>
  </si>
  <si>
    <t>Expert Patient Interaction Language Model (EPILM)</t>
  </si>
  <si>
    <t>P. Gala</t>
  </si>
  <si>
    <t>2024 1st International Conference on Advances in Computing, Communication and Networking (ICAC2N)</t>
  </si>
  <si>
    <t>10.1109/icac2n63387.2024.10895249</t>
  </si>
  <si>
    <t>U09403_Gala_2024.pdf</t>
  </si>
  <si>
    <t>U09412</t>
  </si>
  <si>
    <t>Exploring Effects of Chatbot's Interpretation and Self-disclosure on Mental Illness Stigma</t>
  </si>
  <si>
    <t>10.1145/3637329</t>
  </si>
  <si>
    <t>U09412_Cui_2024.pdf</t>
  </si>
  <si>
    <t>U09416</t>
  </si>
  <si>
    <t>Exploring how politeness impacts the user experience of chatbots for mental health support</t>
  </si>
  <si>
    <t>Bowman</t>
  </si>
  <si>
    <t>10.1016/j.ijhcs.2023.103181</t>
  </si>
  <si>
    <t>U09416_Bowman_2024.pdf</t>
  </si>
  <si>
    <t>U09426</t>
  </si>
  <si>
    <t>Exploring the Effects of User-Agent and User-Designer Similarity in Virtual Human Design to Promote Mental Health Intentions for College Students</t>
  </si>
  <si>
    <t>ACM Transactions on Applied Perception</t>
  </si>
  <si>
    <t>10.1145/3689822</t>
  </si>
  <si>
    <t>U09426_Feijoo-Garcia_2024.pdf</t>
  </si>
  <si>
    <t>U09466</t>
  </si>
  <si>
    <t>FEEL: A Framework for Evaluating Emotional Support Capability with Large Language Models</t>
  </si>
  <si>
    <t>10.1007/978-981-97-5618-6_9</t>
  </si>
  <si>
    <t>U09466_Zhang_2024.pdf</t>
  </si>
  <si>
    <t>U09468</t>
  </si>
  <si>
    <t>Few-shot Dialogue Strategy Learning for Motivational Interviewing via Inductive Reasoning</t>
  </si>
  <si>
    <t>10.18653/v1/2024.findings-acl.782</t>
  </si>
  <si>
    <t>U09468_Xie_2024.pdf</t>
  </si>
  <si>
    <t>U09483</t>
  </si>
  <si>
    <t>From Hidden Care to Being Aware: Designing a Conversational Agent to Support Informal Caregivers in Seeking Assistance During Role Transition</t>
  </si>
  <si>
    <t>10.18420/inf2024_67</t>
  </si>
  <si>
    <t>U09483_Walter_2024.pdf</t>
  </si>
  <si>
    <t>U09494</t>
  </si>
  <si>
    <t>Future You: A Conversation with an AI-Generated Future Self Reduces Anxiety, Negative Emotions, and Increases Future Self-Continuity</t>
  </si>
  <si>
    <t>Pataranutaporn</t>
  </si>
  <si>
    <t>Proceedings - Frontiers in Education Conference, FIE</t>
  </si>
  <si>
    <t>10.1109/fie61694.2024.10893443</t>
  </si>
  <si>
    <t>U09494_Pataranutaporn_2024.pdf</t>
  </si>
  <si>
    <t>U09507</t>
  </si>
  <si>
    <t>Generation of Backward-Looking Complex Reflections for a Motivational Interviewing–Based Smoking Cessation Chatbot Using GPT-4: Algorithm Development and Validation</t>
  </si>
  <si>
    <t>10.2196/53778</t>
  </si>
  <si>
    <t>U09507_Kumar_2024.pdf</t>
  </si>
  <si>
    <t>U09508</t>
  </si>
  <si>
    <t>Generation, Distillation and Evaluation of Motivational Interviewing-Style Reflections with a Foundational Language Model</t>
  </si>
  <si>
    <t>Brown</t>
  </si>
  <si>
    <t>EACL 2024 - 18th Conference of the European Chapter of the Association for Computational Linguistics, Proceedings of the Conference</t>
  </si>
  <si>
    <t>10.18653/v1/2024.eacl-long.75</t>
  </si>
  <si>
    <t>U09508_Brown_2024.pdf</t>
  </si>
  <si>
    <t>U09541</t>
  </si>
  <si>
    <t>GRACE: Towards an Embodied Voice Assistant for Improving Quality of Life by Leveraging Elements of Cognitive Stimulation Therapy</t>
  </si>
  <si>
    <t>10.1145/3670653.3677521</t>
  </si>
  <si>
    <t>U09541_Vinay_2024.pdf</t>
  </si>
  <si>
    <t>U09544</t>
  </si>
  <si>
    <t>Grow with Your AI Buddy: Designing an LLMs-based Conversational Agent for the Measurement and Cultivation of Children?s Mental Resilience</t>
  </si>
  <si>
    <t>Proceedings of ACM Interaction Design and Children Conference: Inclusive Happiness, IDC 2024</t>
  </si>
  <si>
    <t>10.1145/3628516.3659399</t>
  </si>
  <si>
    <t>U09544_Hu_2024.pdf</t>
  </si>
  <si>
    <t>U09546</t>
  </si>
  <si>
    <t>Guided versus unguided chatbot-delivered cognitive behavioral intervention for individuals with moderate-risk and problem gambling: A randomized controlled trial (GAMBOT2 study)</t>
  </si>
  <si>
    <t>Addictive Behaviors</t>
  </si>
  <si>
    <t>10.1016/j.addbeh.2023.107889</t>
  </si>
  <si>
    <t>U09546_So_2024.pdf</t>
  </si>
  <si>
    <t>U09550</t>
  </si>
  <si>
    <t>Harnessing AI in Anxiety Management: A Chatbot-Based Intervention for Personalized Mental Health Support</t>
  </si>
  <si>
    <t>Manole</t>
  </si>
  <si>
    <t>Information (Switzerland)</t>
  </si>
  <si>
    <t>10.3390/info15120768</t>
  </si>
  <si>
    <t>U09550_Manole_2024.pdf</t>
  </si>
  <si>
    <t>U09557</t>
  </si>
  <si>
    <t>HealMe: Harnessing Cognitive Reframing in Large Language Models for Psychotherapy</t>
  </si>
  <si>
    <t>Xiao</t>
  </si>
  <si>
    <t>10.18653/v1/2024.acl-long.93</t>
  </si>
  <si>
    <t>U09557_Xiao_2024.pdf</t>
  </si>
  <si>
    <t>U09564</t>
  </si>
  <si>
    <t>HelpBot: A Web-Based Chatbot to Handle Depression among Adolescents</t>
  </si>
  <si>
    <t>Jusoh</t>
  </si>
  <si>
    <t>10.1145/3669754.3669777</t>
  </si>
  <si>
    <t>U09564_Jusoh_2024.pdf</t>
  </si>
  <si>
    <t>U09565</t>
  </si>
  <si>
    <t>HICON AI: Higher Education Counseling Bot</t>
  </si>
  <si>
    <t>Singla</t>
  </si>
  <si>
    <t>Proceedings - 2024 4th International Conference on Pervasive Computing and Social Networking, ICPCSN 2024</t>
  </si>
  <si>
    <t>10.1109/icpcsn62568.2024.00131</t>
  </si>
  <si>
    <t>U09565_Singla_2024.pdf</t>
  </si>
  <si>
    <t>U09567</t>
  </si>
  <si>
    <t>How Can Client Motivational Language Inform Psychotherapy Agents?</t>
  </si>
  <si>
    <t>Hoang</t>
  </si>
  <si>
    <t>CLPsych 2024 - 9th Workshop on Computational Linguistics and Clinical Psychology, Proceedings of the Workshop</t>
  </si>
  <si>
    <t>10.18653/v1/2024.clpsych-1.3</t>
  </si>
  <si>
    <t>U09567_Hoang_2024.pdf</t>
  </si>
  <si>
    <t>U09591</t>
  </si>
  <si>
    <t>Human vs. machine-like representation in chatbot mental health counseling: the serial mediation of psychological distance and trust on compliance intention</t>
  </si>
  <si>
    <t>10.1007/s12144-023-04653-7</t>
  </si>
  <si>
    <t>U09591_Park_2024.pdf</t>
  </si>
  <si>
    <t>U09599</t>
  </si>
  <si>
    <t>iCare - An AI - Powered Virtual Assistant for Mental Health</t>
  </si>
  <si>
    <t>Mavila</t>
  </si>
  <si>
    <t>10.1109/ichi61247.2024.00066</t>
  </si>
  <si>
    <t>U09599_Mavila_2024.pdf</t>
  </si>
  <si>
    <t>U09600</t>
  </si>
  <si>
    <t>iCare: Harnessing AI and Emotional Intelligence to Revolutionize Accessible Mental Health Support</t>
  </si>
  <si>
    <t>Kaviyaraj</t>
  </si>
  <si>
    <t>2nd International Conference on Emerging Research in Computational Science, ICERCS 2024</t>
  </si>
  <si>
    <t>10.1109/icercs63125.2024.10895094</t>
  </si>
  <si>
    <t>U09600_Kaviyaraj_2024.pdf</t>
  </si>
  <si>
    <t>U09601</t>
  </si>
  <si>
    <t>K. R</t>
  </si>
  <si>
    <t>2024 International Conference on Emerging Research in Computational Science (ICERCS)</t>
  </si>
  <si>
    <t>U09601_R_2024.pdf</t>
  </si>
  <si>
    <t>U09614</t>
  </si>
  <si>
    <t>Implementation of Anxiety UK's Ask Anxia Chatbot Service: Lessons Learned</t>
  </si>
  <si>
    <t>JMIR HUMAN FACTORS</t>
  </si>
  <si>
    <t>10.2196/53897</t>
  </si>
  <si>
    <t>U09614_Collins_2024.pdf</t>
  </si>
  <si>
    <t>U09616</t>
  </si>
  <si>
    <t>Implementing Cognitive Behavioral Therapy in Chatbots to Reduce Students' Exam Stress using ChatGPT</t>
  </si>
  <si>
    <t>Indumini</t>
  </si>
  <si>
    <t>2024 8th SLAAI - International Conference on Artificial Intelligence, SLAAI-ICAI 2024</t>
  </si>
  <si>
    <t>10.1109/slaai-icai63667.2024.10844930</t>
  </si>
  <si>
    <t>U09616_Indumini_2024.pdf</t>
  </si>
  <si>
    <t>U09628</t>
  </si>
  <si>
    <t>Increasing Realism and Variety of Virtual Patient Dialogues for Prenatal Counseling Education Through a Novel Application of ChatGPT: Exploratory Observational Study</t>
  </si>
  <si>
    <t>Gray</t>
  </si>
  <si>
    <t>10.2196/50705</t>
  </si>
  <si>
    <t>U09628_Gray_2024.pdf</t>
  </si>
  <si>
    <t>U09635</t>
  </si>
  <si>
    <t>Innovative Approaches to Mental Health: Chatbot Engagement and NLP for Detection and Support</t>
  </si>
  <si>
    <t>Vitthalkar</t>
  </si>
  <si>
    <t>10.1007/978-981-97-8537-7_27</t>
  </si>
  <si>
    <t>U09635_Vitthalkar_2024.pdf</t>
  </si>
  <si>
    <t>U09648</t>
  </si>
  <si>
    <t>Integrating Sentiment Analysis to Enhance Mental Health Support Chatbots</t>
  </si>
  <si>
    <t>Murase</t>
  </si>
  <si>
    <t>2024 2nd International Conference on Computing and Data Analytics, ICCDA 2024 - Proceedings</t>
  </si>
  <si>
    <t>10.1109/iccda64887.2024.10867341</t>
  </si>
  <si>
    <t>U09648_Murase_2024.pdf</t>
  </si>
  <si>
    <t>U09663</t>
  </si>
  <si>
    <t>Introducing Quin:The Design and Development of a Prototype Chatbot to Support Smoking Cessation</t>
  </si>
  <si>
    <t>Bendotti</t>
  </si>
  <si>
    <t>Nicotine and Tobacco Research</t>
  </si>
  <si>
    <t>10.1093/ntr/ntad217</t>
  </si>
  <si>
    <t>U09663_Bendotti_2024.pdf</t>
  </si>
  <si>
    <t>U09684</t>
  </si>
  <si>
    <t>Komorebi: Enhancing Mental Wellness with Sentiment Analysis and Cognitive Behavior Therapy</t>
  </si>
  <si>
    <t>International Conference on Electrical, Computer, Communications and Mechatronics Engineering, ICECCME 2024</t>
  </si>
  <si>
    <t>10.1109/iceccme62383.2024.10797013</t>
  </si>
  <si>
    <t>U09684_Lee_2024.pdf</t>
  </si>
  <si>
    <t>U09686</t>
  </si>
  <si>
    <t>Language adaptations of mental health interventions: User interaction comparisons with an AI-enabled conversational agent (Wysa) in English and Spanish</t>
  </si>
  <si>
    <t>Dinesh</t>
  </si>
  <si>
    <t>10.1177/20552076241255616</t>
  </si>
  <si>
    <t>U09686_Dinesh_2024.pdf</t>
  </si>
  <si>
    <t>U09719</t>
  </si>
  <si>
    <t>Lecter-A Large Language Model Chatbot for Cognitive Behavioral Therapy</t>
  </si>
  <si>
    <t>Sham Sundhar</t>
  </si>
  <si>
    <t>10.1007/978-3-031-69982-5_4</t>
  </si>
  <si>
    <t>U09719_Sham-Sundhar_2024.pdf</t>
  </si>
  <si>
    <t>U09745</t>
  </si>
  <si>
    <t>LLM-Based Empathetic Response Through Psychologist-Agent Debate</t>
  </si>
  <si>
    <t>10.1007/978-981-97-7232-2_14</t>
  </si>
  <si>
    <t>U09745_Wu_2024.pdf</t>
  </si>
  <si>
    <t>U09748</t>
  </si>
  <si>
    <t>LLM-Therapist: A RAG-Based Multimodal Behavioral Therapist as Healthcare Assistant</t>
  </si>
  <si>
    <t>Proceedings - IEEE Global Communications Conference, GLOBECOM</t>
  </si>
  <si>
    <t>10.1109/globecom52923.2024.10901139</t>
  </si>
  <si>
    <t>U09748_Shafi_2024.pdf</t>
  </si>
  <si>
    <t>U09752</t>
  </si>
  <si>
    <t>Loneliness and suicide mitigation for students using GPT3-enabled chatbots</t>
  </si>
  <si>
    <t>Maples</t>
  </si>
  <si>
    <t>10.1038/s44184-023-00047-6</t>
  </si>
  <si>
    <t>U09752_Maples_2024.pdf</t>
  </si>
  <si>
    <t>U09759</t>
  </si>
  <si>
    <t>Maturity Model Based on a Suitability Approach for the Evaluation of Chatbots Used in Depression Detection</t>
  </si>
  <si>
    <t>David Mori Muñoz</t>
  </si>
  <si>
    <t>10.18687/laccei2024.1.1.1547</t>
  </si>
  <si>
    <t>U09759_David-Mori-Munoz_2024.pdf</t>
  </si>
  <si>
    <t>U09764</t>
  </si>
  <si>
    <t>Mello: A Large Language Model for Mental Health Counselling Conversations</t>
  </si>
  <si>
    <t>George</t>
  </si>
  <si>
    <t>2024 3rd International Conference for Advancement in Technology, ICONAT 2024</t>
  </si>
  <si>
    <t>10.1109/iconat61936.2024.10774623</t>
  </si>
  <si>
    <t>U09764_George_2024.pdf</t>
  </si>
  <si>
    <t>U09766</t>
  </si>
  <si>
    <t>Memory-Enhanced Emotional Support Conversations with Motivation-Driven Strategy Inference</t>
  </si>
  <si>
    <t>10.1007/978-3-031-70362-1_13</t>
  </si>
  <si>
    <t>U09766_Wang_2024.pdf</t>
  </si>
  <si>
    <t>U09768</t>
  </si>
  <si>
    <t>Mental Chatbot Application Using Retrieval Augmented Generation</t>
  </si>
  <si>
    <t>Ngoc-Thanh Nguyen</t>
  </si>
  <si>
    <t>10.1007/978-981-97-7710-5_27</t>
  </si>
  <si>
    <t>U09768_Ngoc-Thanh-Nguyen_2024.pdf</t>
  </si>
  <si>
    <t>U09773</t>
  </si>
  <si>
    <t>Mental Health Analysis Using RASA and BERT: Mindful</t>
  </si>
  <si>
    <t>Gandhi</t>
  </si>
  <si>
    <t>10.1007/978-3-031-56703-2_20</t>
  </si>
  <si>
    <t>U09773_Gandhi_2024.pdf</t>
  </si>
  <si>
    <t>U09776</t>
  </si>
  <si>
    <t>Mental Health Chatbot</t>
  </si>
  <si>
    <t>2024 IEEE Students Conference on Engineering and Systems: Interdisciplinary Technologies for Sustainable Future, SCES 2024</t>
  </si>
  <si>
    <t>10.1109/sces61914.2024.10652390</t>
  </si>
  <si>
    <t>U09776_Harini_2024.pdf</t>
  </si>
  <si>
    <t>U09777</t>
  </si>
  <si>
    <t>H. V K</t>
  </si>
  <si>
    <t>2024 IEEE Students Conference on Engineering and Systems (SCES)</t>
  </si>
  <si>
    <t>U09777_K_2024.pdf</t>
  </si>
  <si>
    <t>U09778</t>
  </si>
  <si>
    <t>Mental Health Chatbot Using Deep Learning and Natural Language Processing</t>
  </si>
  <si>
    <t>Oguntimilehin</t>
  </si>
  <si>
    <t>IEEE International Conference on Emerging and Sustainable Technologies for Power and ICT in a Developing Society, NIGERCON</t>
  </si>
  <si>
    <t>10.1109/nigercon62786.2024.10927008</t>
  </si>
  <si>
    <t>U09778_Oguntimilehin_2024.pdf</t>
  </si>
  <si>
    <t>U09783</t>
  </si>
  <si>
    <t>Mental Health Therapist Chatbot Using NLP</t>
  </si>
  <si>
    <t>Vuyyuru</t>
  </si>
  <si>
    <t>2024 International Conference on Artificial Intelligence and Quantum Computation-Based Sensor Applications, ICAIQSA 2024 - Proceedings</t>
  </si>
  <si>
    <t>10.1109/icaiqsa64000.2024.10882362</t>
  </si>
  <si>
    <t>U09783_Vuyyuru_2024.pdf</t>
  </si>
  <si>
    <t>U09784</t>
  </si>
  <si>
    <t>Mental Health with Machine Learning: A Prediction-Based Intervention Chatbot for Mental Health Conversations</t>
  </si>
  <si>
    <t>Hermawan</t>
  </si>
  <si>
    <t>International Conference on Electrical Engineering, Computer Science and Informatics (EECSI)</t>
  </si>
  <si>
    <t>10.1109/eecsi63442.2024.10776244</t>
  </si>
  <si>
    <t>U09784_Hermawan_2024.pdf</t>
  </si>
  <si>
    <t>U09785</t>
  </si>
  <si>
    <t>Mental Healthcare Chatbot Based on Custom Diagnosis Documents Using a Quantized Large Language Model</t>
  </si>
  <si>
    <t>A. Kumar</t>
  </si>
  <si>
    <t>2024 11th International Conference on Reliability, Infocom Technologies and Optimization (Trends and Future Directions) (ICRITO)</t>
  </si>
  <si>
    <t>10.1109/icrito61523.2024.10522371</t>
  </si>
  <si>
    <t>U09785_Kumar_2024.pdf</t>
  </si>
  <si>
    <t>U09786</t>
  </si>
  <si>
    <t>Mental State-Based Dialogue System for Mental Health Care by Using GPT-3</t>
  </si>
  <si>
    <t>10.1007/978-981-99-3043-2_74</t>
  </si>
  <si>
    <t>U09786_Kaysar_2024.pdf</t>
  </si>
  <si>
    <t>U09790</t>
  </si>
  <si>
    <t>MENTALER: Toward Professional Mental Health Support with LLMs via Multi-Role Collaboration</t>
  </si>
  <si>
    <t>Gu</t>
  </si>
  <si>
    <t>10.1109/bibm62325.2024.10822643</t>
  </si>
  <si>
    <t>U09790_Gu_2024.pdf</t>
  </si>
  <si>
    <t>U09793</t>
  </si>
  <si>
    <t>MetaESC: Enhancing Emotional Support Conversation through Metacognition</t>
  </si>
  <si>
    <t>10.1007/978-981-97-5569-1_21</t>
  </si>
  <si>
    <t>U09793_Li_2024.pdf</t>
  </si>
  <si>
    <t>U09800</t>
  </si>
  <si>
    <t>MindfulDiary: Harnessing Large Language Model to Support Psychiatric Patients' Journaling</t>
  </si>
  <si>
    <t>10.1145/3613904.3642937</t>
  </si>
  <si>
    <t>U09800_Kim_2024.pdf</t>
  </si>
  <si>
    <t>U09802</t>
  </si>
  <si>
    <t>MindLift-A Conversational AI Chatbot for Enhancing Mental Health</t>
  </si>
  <si>
    <t>Dolas</t>
  </si>
  <si>
    <t>10.1109/mitadtsocicon60330.2024.10575017</t>
  </si>
  <si>
    <t>U09802_Dolas_2024.pdf</t>
  </si>
  <si>
    <t>U09804</t>
  </si>
  <si>
    <t>MindScape Continuum: Advancing Online Counseling with Bert-Based Strategy Classification and Professional Helping Skills</t>
  </si>
  <si>
    <t>Proceedings - International Conference on Digital Technology and Intelligent Education, ICDTIE 2024</t>
  </si>
  <si>
    <t>10.1109/icdtie65977.2024.00014</t>
  </si>
  <si>
    <t>U09804_Yu_2024.pdf</t>
  </si>
  <si>
    <t>U09805</t>
  </si>
  <si>
    <t>MindScape Study: Integrating LLM and Behavioral Sensing for Personalized AI-Driven Journaling Experiences</t>
  </si>
  <si>
    <t>Proceedings of the ACM on Interactive, Mobile, Wearable and Ubiquitous Technologies</t>
  </si>
  <si>
    <t>10.1145/3699761</t>
  </si>
  <si>
    <t>U09805_Nepal_2024.pdf</t>
  </si>
  <si>
    <t>U09808</t>
  </si>
  <si>
    <t>MindWell Solace: Your Mental Health Companion</t>
  </si>
  <si>
    <t>Bhave</t>
  </si>
  <si>
    <t>2024 4th Asian Conference on Innovation in Technology, ASIANCON 2024</t>
  </si>
  <si>
    <t>10.1109/asiancon62057.2024.10837922</t>
  </si>
  <si>
    <t>U09808_Bhave_2024.pdf</t>
  </si>
  <si>
    <t>U09809</t>
  </si>
  <si>
    <t>Minimal Yet Big Impact: How AI Agent Back-channeling Enhances Conversational Engagement through Conversation Persistence and Context Richness</t>
  </si>
  <si>
    <t>Jang</t>
  </si>
  <si>
    <t>10.18653/v1/2024.findings-emnlp.849</t>
  </si>
  <si>
    <t>U09809_Jang_2024.pdf</t>
  </si>
  <si>
    <t>U09810</t>
  </si>
  <si>
    <t>Mixed methods, single case design, feasibility trial of a motivational conversational agent for rehabilitation for adults with traumatic brain injury</t>
  </si>
  <si>
    <t>Hocking</t>
  </si>
  <si>
    <t>Clinical Rehabilitation</t>
  </si>
  <si>
    <t>10.1177/02692155231216615</t>
  </si>
  <si>
    <t>U09810_Hocking_2024.pdf</t>
  </si>
  <si>
    <t>U09818</t>
  </si>
  <si>
    <t>Modelling conversational agent with empathy mechanism</t>
  </si>
  <si>
    <t>10.1016/j.cogsys.2023.101206</t>
  </si>
  <si>
    <t>U09818_Dai_2024.pdf</t>
  </si>
  <si>
    <t>U09832</t>
  </si>
  <si>
    <t>Music Diary: Using ChatGPT to Craft Interactive Diaries with Emotional Music for Reflection and Sharing Real-life Emotions</t>
  </si>
  <si>
    <t>UbiComp Companion 2024 - Companion of the 2024 ACM International Joint Conference on Pervasive and Ubiquitous Computing</t>
  </si>
  <si>
    <t>10.1145/3675094.3677550</t>
  </si>
  <si>
    <t>U09832_Huang_2024.pdf</t>
  </si>
  <si>
    <t>U09865</t>
  </si>
  <si>
    <t>On the relationship between mind perception and social support of chatbots</t>
  </si>
  <si>
    <t>10.3389/fpsyg.2024.1282036</t>
  </si>
  <si>
    <t>U09865_Lee_2024.pdf</t>
  </si>
  <si>
    <t>U09883</t>
  </si>
  <si>
    <t>Parents and teenagers mental health suggestions chatbot using cosine similarity</t>
  </si>
  <si>
    <t>Infant</t>
  </si>
  <si>
    <t>E3S Web of Conferences</t>
  </si>
  <si>
    <t>10.1051/e3sconf/202449103017</t>
  </si>
  <si>
    <t>U09883_Infant_2024.pdf</t>
  </si>
  <si>
    <t>U09891</t>
  </si>
  <si>
    <t>Perception of Psychological Recommendations Generated by Neural Networks by Student Youth (Using ChatGPT as an Example)</t>
  </si>
  <si>
    <t>Uglova</t>
  </si>
  <si>
    <t>10.1007/978-3-031-48855-9_31</t>
  </si>
  <si>
    <t>U09891_Uglova_2024.pdf</t>
  </si>
  <si>
    <t>U09898</t>
  </si>
  <si>
    <t>Perinatal Mental Detection With Chatbots Using Machine Learning</t>
  </si>
  <si>
    <t>Kaur</t>
  </si>
  <si>
    <t>Proceedings - 4th International Conference on Technological Advancements in Computational Sciences, ICTACS 2024</t>
  </si>
  <si>
    <t>10.1109/ictacs62700.2024.10840611</t>
  </si>
  <si>
    <t>U09898_Kaur_2024.pdf</t>
  </si>
  <si>
    <t>U09900</t>
  </si>
  <si>
    <t>Persian Depression Detection Chatbot Using Deep Learning</t>
  </si>
  <si>
    <t>Sohofi</t>
  </si>
  <si>
    <t>2024 10th International Conference on Web Research, ICWR 2024</t>
  </si>
  <si>
    <t>10.1109/icwr61162.2024.10533324</t>
  </si>
  <si>
    <t>U09900_Sohofi_2024.pdf</t>
  </si>
  <si>
    <t>U09901</t>
  </si>
  <si>
    <t>PERSONA EXTRACTION THROUGH SEMANTIC SIMILARITY FOR EMOTIONAL SUPPORT CONVERSATION GENERATION</t>
  </si>
  <si>
    <t>ICASSP, IEEE International Conference on Acoustics, Speech and Signal Processing - Proceedings</t>
  </si>
  <si>
    <t>10.1109/icassp48485.2024.10445957</t>
  </si>
  <si>
    <t>U09901_Han_2024.pdf</t>
  </si>
  <si>
    <t>U09906</t>
  </si>
  <si>
    <t>Personalized User Interface Design for Psychological Counseling Chatbots: A Pilot Study</t>
  </si>
  <si>
    <t>10.1145/3675669.3675683</t>
  </si>
  <si>
    <t>U09906_Liu_2024.pdf</t>
  </si>
  <si>
    <t>U09913</t>
  </si>
  <si>
    <t>Physiology-Driven Empathic Large Language Models (EmLLMs) for Mental Health Support</t>
  </si>
  <si>
    <t>10.1145/3613905.3651132</t>
  </si>
  <si>
    <t>U09913_Dongre_2024.pdf</t>
  </si>
  <si>
    <t>U09915</t>
  </si>
  <si>
    <t>PIRTRE-C: A Two-Stage Retrieval and Reranking Enhanced Framework for Improving Chinese Psychological Counseling</t>
  </si>
  <si>
    <t>Proceedings - 2024 IEEE International Conference on Medical Artificial Intelligence, MedAI 2024</t>
  </si>
  <si>
    <t>10.1109/medai62885.2024.00051</t>
  </si>
  <si>
    <t>U09915_Wang_2024.pdf</t>
  </si>
  <si>
    <t>U09943</t>
  </si>
  <si>
    <t>PsyChat: A Client-Centric Dialogue System for Mental Health Support</t>
  </si>
  <si>
    <t>Proceedings of the 2024 27th International Conference on Computer Supported Cooperative Work in Design, CSCWD 2024</t>
  </si>
  <si>
    <t>10.1109/cscwd61410.2024.10580641</t>
  </si>
  <si>
    <t>U09943_Qiu_2024.pdf</t>
  </si>
  <si>
    <t>U09944</t>
  </si>
  <si>
    <t>PsyChatbot: A Psychological Counseling Agent Towards Depressed Chinese Population Based on Cognitive Behavioural Therapy</t>
  </si>
  <si>
    <t>Tiantian Chen</t>
  </si>
  <si>
    <t>ACM Trans. Asian Low-Resour. Lang. Inf. Process.</t>
  </si>
  <si>
    <t>10.1145/3676962</t>
  </si>
  <si>
    <t>U09944_Chen_2024.pdf</t>
  </si>
  <si>
    <t>U09952</t>
  </si>
  <si>
    <t>Qualitative Analysis of Conversational Chatbots to Alleviate Loneliness in Older Adults as a Strategy for Emotional Health</t>
  </si>
  <si>
    <t>Rodríguez-Martínez</t>
  </si>
  <si>
    <t>10.3390/healthcare12010062</t>
  </si>
  <si>
    <t>U09952_Rodriguez-Martinez_2024.pdf</t>
  </si>
  <si>
    <t>U09959</t>
  </si>
  <si>
    <t>Rates and correlates of study enrolment and use of a chatbot aimed to promote mental health services use for eating disorders following online screening</t>
  </si>
  <si>
    <t>D’Adamo</t>
  </si>
  <si>
    <t>European Eating Disorders Review</t>
  </si>
  <si>
    <t>10.1002/erv.3082</t>
  </si>
  <si>
    <t>U09959_DAdamo_2024.pdf</t>
  </si>
  <si>
    <t>U09960</t>
  </si>
  <si>
    <t>Rational AIs with emotional deficits: ChatGPT vs. counselors in providing emotional reflections</t>
  </si>
  <si>
    <t>Eryılmaz</t>
  </si>
  <si>
    <t>10.1007/s12144-024-06947-w</t>
  </si>
  <si>
    <t>U09960_Erylmaz_2024.pdf</t>
  </si>
  <si>
    <t>U09961</t>
  </si>
  <si>
    <t>Eryilmaz</t>
  </si>
  <si>
    <t>U09961_Eryilmaz_2024.pdf</t>
  </si>
  <si>
    <t>U09971</t>
  </si>
  <si>
    <t>Reducing Loneliness and Improving Social Support among Older Adults through Different Modalities of Personal Voice Assistants</t>
  </si>
  <si>
    <t>Jones</t>
  </si>
  <si>
    <t>Geriatrics (Switzerland)</t>
  </si>
  <si>
    <t>10.3390/geriatrics9020022</t>
  </si>
  <si>
    <t>U09971_Jones_2024.pdf</t>
  </si>
  <si>
    <t>U10006</t>
  </si>
  <si>
    <t>Rule-Based Chatbot for Early Self-Depression Indication: A Promising Approach</t>
  </si>
  <si>
    <t>Wan Ab.Rahman</t>
  </si>
  <si>
    <t>International Journal on Informatics Visualization</t>
  </si>
  <si>
    <t>10.62527/joiv.8.3-2.1628</t>
  </si>
  <si>
    <t>U10006_Wan-Ab-Rahman_2024.pdf</t>
  </si>
  <si>
    <t>U10008</t>
  </si>
  <si>
    <t>Sakhi: AI-Generated Mental Health Companion</t>
  </si>
  <si>
    <t>Proceedings - 2024 1st International Conference on Innovative Sustainable Technologies for Energy, Mechatronics and Smart Systems, ISTEMS 2024</t>
  </si>
  <si>
    <t>10.1109/istems60181.2024.10560327</t>
  </si>
  <si>
    <t>U10008_Agarwal_2024.pdf</t>
  </si>
  <si>
    <t>U10014</t>
  </si>
  <si>
    <t>SCBG: Semantic-Constrained Bidirectional Generation for Emotional Support Conversation</t>
  </si>
  <si>
    <t>ACM Transactions on Asian and Low-Resource Language Information Processing</t>
  </si>
  <si>
    <t>10.1145/3666090</t>
  </si>
  <si>
    <t>U10014_Xu_2024.pdf</t>
  </si>
  <si>
    <t>U10015</t>
  </si>
  <si>
    <t>SchizoBot: Delivering Cognitive Behavioural Therapy for Augmented Management of Schizophrenia</t>
  </si>
  <si>
    <t>Nwoye</t>
  </si>
  <si>
    <t>Digital Technologies Research and Applications</t>
  </si>
  <si>
    <t>10.54963/dtra.v3i2.225</t>
  </si>
  <si>
    <t>U10015_Nwoye_2024.pdf</t>
  </si>
  <si>
    <t>U10022</t>
  </si>
  <si>
    <t>Self-Categorization Theory with 3D Emotional Model for Chatbot Emotional Support Systems</t>
  </si>
  <si>
    <t>Yorita</t>
  </si>
  <si>
    <t>SACI 2024 - 18th IEEE International Symposium on Applied Computational Intelligence and Informatics, Proceedings</t>
  </si>
  <si>
    <t>10.1109/saci60582.2024.10619061</t>
  </si>
  <si>
    <t>U10022_Yorita_2024.pdf</t>
  </si>
  <si>
    <t>U10023</t>
  </si>
  <si>
    <t>Self-chats from Large Language Models Make Small Emotional Support Chatbot Better</t>
  </si>
  <si>
    <t>10.18653/v1/2024.acl-long.611</t>
  </si>
  <si>
    <t>U10023_Zheng_2024.pdf</t>
  </si>
  <si>
    <t>U10026</t>
  </si>
  <si>
    <t>Self-Heal: Conversational Therapy Bot with AI Enhanced Features for Mental Health</t>
  </si>
  <si>
    <t>Hanji</t>
  </si>
  <si>
    <t>8th IEEE International Conference on Computational System and Information Technology for Sustainable Solutions, CSITSS 2024</t>
  </si>
  <si>
    <t>10.1109/csitss64042.2024.10817046</t>
  </si>
  <si>
    <t>U10026_Hanji_2024.pdf</t>
  </si>
  <si>
    <t>U10032</t>
  </si>
  <si>
    <t>Sentiment Analysis for Therapy Chatbots: A Comparison of Supervised Learning Approaches</t>
  </si>
  <si>
    <t>Proceedings of InC4 2024 - 2024 IEEE International Conference on Contemporary Computing and Communications</t>
  </si>
  <si>
    <t>10.1109/inc460750.2024.10649064</t>
  </si>
  <si>
    <t>U10032_Rathore_2024.pdf</t>
  </si>
  <si>
    <t>U10056</t>
  </si>
  <si>
    <t>SMILE: Single-turn to Multi-turn Inclusive Language Expansion via ChatGPT for Mental Health Support</t>
  </si>
  <si>
    <t>10.18653/v1/2024.findings-emnlp.34</t>
  </si>
  <si>
    <t>U10056_Qiu_2024.pdf</t>
  </si>
  <si>
    <t>U10062</t>
  </si>
  <si>
    <t>Social Media Interaction-Based Mental Health Analysis with a Chat-Bot User Interface</t>
  </si>
  <si>
    <t>Kabeer</t>
  </si>
  <si>
    <t>10.1007/978-981-99-7622-5_36</t>
  </si>
  <si>
    <t>U10062_Kabeer_2024.pdf</t>
  </si>
  <si>
    <t>U10070</t>
  </si>
  <si>
    <t>Soulmind: Mental Health Chatbot with Anxiety Prediction</t>
  </si>
  <si>
    <t>Raut</t>
  </si>
  <si>
    <t>2024 IEEE 2nd International Conference on Emerging Trends in Engineering and Medical Sciences, ICETEMS 2024</t>
  </si>
  <si>
    <t>10.1109/icetems64039.2024.10965104</t>
  </si>
  <si>
    <t>U10070_Raut_2024.pdf</t>
  </si>
  <si>
    <t>U10105</t>
  </si>
  <si>
    <t>Supporting the Demand on Mental Health Services with AI-Based Conversational Large Language Models (LLMs)</t>
  </si>
  <si>
    <t>Lai</t>
  </si>
  <si>
    <t>BioMedInformatics</t>
  </si>
  <si>
    <t>10.3390/biomedinformatics4010002</t>
  </si>
  <si>
    <t>U10105_Lai_2024.pdf</t>
  </si>
  <si>
    <t>U10121</t>
  </si>
  <si>
    <t>Tech vs. Tradition: ChatGPT and Mindfulness in Enhancing Older Adults’ Emotional Health</t>
  </si>
  <si>
    <t>10.3390/bs14100923</t>
  </si>
  <si>
    <t>U10121_Wang_2024.pdf</t>
  </si>
  <si>
    <t>U10122</t>
  </si>
  <si>
    <t>Technology-assisted Journal Writing for Improving Student Mental Wellbeing: Humanoid Robot vs. Voice Assistant</t>
  </si>
  <si>
    <t>Sayis</t>
  </si>
  <si>
    <t>10.1145/3610978.3640721</t>
  </si>
  <si>
    <t>U10122_Sayis_2024.pdf</t>
  </si>
  <si>
    <t>U10129</t>
  </si>
  <si>
    <t>Testing the Feasibility and Acceptability of Using an Artificial Intelligence Chatbot to Promote HIV Testing and Pre-Exposure Prophylaxis in Malaysia: Mixed Methods Study</t>
  </si>
  <si>
    <t>Cheah</t>
  </si>
  <si>
    <t>10.2196/52055</t>
  </si>
  <si>
    <t>U10129_Cheah_2024.pdf</t>
  </si>
  <si>
    <t>U10144</t>
  </si>
  <si>
    <t>The Colorful Future of LLMs: Evaluating and Improving LLMs as Emotional Supporters for Queer Youth</t>
  </si>
  <si>
    <t>Lissak</t>
  </si>
  <si>
    <t>Proceedings of the 2024 Conference of the North American Chapter of the Association for Computational Linguistics: Human Language Technologies, NAACL 2024</t>
  </si>
  <si>
    <t>10.18653/v1/2024.naacl-long.113</t>
  </si>
  <si>
    <t>U10144_Lissak_2024.pdf</t>
  </si>
  <si>
    <t>U10148</t>
  </si>
  <si>
    <t>The effect of personalizing a psychotherapy conversational agent on therapeutic bond and usage intentions</t>
  </si>
  <si>
    <t>Vossen</t>
  </si>
  <si>
    <t>10.1145/3640543.3645195</t>
  </si>
  <si>
    <t>U10148_Vossen_2024.pdf</t>
  </si>
  <si>
    <t>U10199</t>
  </si>
  <si>
    <t>The Role of AI Counselling in Journaling for Mental Health Improvement</t>
  </si>
  <si>
    <t>Jain</t>
  </si>
  <si>
    <t>2024 International Conference on Electrical, Electronics and Computing Technologies, ICEECT 2024</t>
  </si>
  <si>
    <t>10.1109/iceect61758.2024.10739128</t>
  </si>
  <si>
    <t>U10199_Jain_2024.pdf</t>
  </si>
  <si>
    <t>U10204</t>
  </si>
  <si>
    <t>The role of ChatGPT in mitigating loneliness among older adults: An exploratory study</t>
  </si>
  <si>
    <t>Al Mazroui</t>
  </si>
  <si>
    <t>Online Journal of Communication and Media Technologies</t>
  </si>
  <si>
    <t>10.30935/ojcmt/14777</t>
  </si>
  <si>
    <t>U10204_Al-Mazroui_2024.pdf</t>
  </si>
  <si>
    <t>U10209</t>
  </si>
  <si>
    <t>The Synergy of Dialogue and Art: Exploring the Potential of Multimodal AI Chatbots in Emotional Support</t>
  </si>
  <si>
    <t>Proceedings of the ACM Conference on Computer Supported Cooperative Work, CSCW</t>
  </si>
  <si>
    <t>10.1145/3678884.3681843</t>
  </si>
  <si>
    <t>U10209_Wang_2024.pdf</t>
  </si>
  <si>
    <t>U10215</t>
  </si>
  <si>
    <t>TherapAI: AI-Powered Therapy Chatbot with Sentiment Analysis, Mood Tracking, and Automated Reporting for Enhanced Mental Health Support</t>
  </si>
  <si>
    <t>Lal</t>
  </si>
  <si>
    <t>3rd International Conference on Communication, Control, and Intelligent Systems, CCIS 2024</t>
  </si>
  <si>
    <t>10.1109/ccis63231.2024.10932101</t>
  </si>
  <si>
    <t>U10215_Lal_2024.pdf</t>
  </si>
  <si>
    <t>U10217</t>
  </si>
  <si>
    <t>Therapy and Emotional Support through a Chatbot</t>
  </si>
  <si>
    <t>International journal of online and biomedical engineering</t>
  </si>
  <si>
    <t>10.3991/ijoe.v20i02.45377</t>
  </si>
  <si>
    <t>U00888_Shoshani-A_2026.pdf</t>
  </si>
  <si>
    <t>U10218</t>
  </si>
  <si>
    <t>TherapyBot: a chatbot for mental well-being using transformers</t>
  </si>
  <si>
    <t>Dharrao</t>
  </si>
  <si>
    <t>10.11591/ijaas.v13.i1.pp1-12</t>
  </si>
  <si>
    <t>U10218_Dharrao_2024.pdf</t>
  </si>
  <si>
    <t>U10224</t>
  </si>
  <si>
    <t>To Bot or Not to Bot?: Analysing Mental Health Data Disclosures</t>
  </si>
  <si>
    <t>Taylor</t>
  </si>
  <si>
    <t>10.1007/978-3-031-61379-1_7</t>
  </si>
  <si>
    <t>U10224_Taylor_2024.pdf</t>
  </si>
  <si>
    <t>U10226</t>
  </si>
  <si>
    <t>To What Extent Are Large Language Models Capable of Generating Substantial Reflections for Motivational Interviewing Counseling Chatbots? A Human Evaluation</t>
  </si>
  <si>
    <t>Başar</t>
  </si>
  <si>
    <t>HuCLLM 2024 - 1st Human-Centered Large Language Modeling Workshop, Proceedings of the Workshop</t>
  </si>
  <si>
    <t>10.18653/v1/2024.hucllm-1.4</t>
  </si>
  <si>
    <t>U10226_Basar_2024.pdf</t>
  </si>
  <si>
    <t>U10241</t>
  </si>
  <si>
    <t>Towards Culturally Adaptive Large Language Models in Mental Health: Using ChatGPT as a Case Study</t>
  </si>
  <si>
    <t>Aleem</t>
  </si>
  <si>
    <t>10.1145/3678884.3681858</t>
  </si>
  <si>
    <t>U10241_Aleem_2024.pdf</t>
  </si>
  <si>
    <t>U10251</t>
  </si>
  <si>
    <t>Towards Suicide Prevention: A Natural Language Processing and Machine Learning Approach Integrated with Chatbot</t>
  </si>
  <si>
    <t>Maini</t>
  </si>
  <si>
    <t>2024 International Conference on Automation and Computation, AUTOCOM 2024</t>
  </si>
  <si>
    <t>10.1109/autocom60220.2024.10486154</t>
  </si>
  <si>
    <t>U10251_Maini_2024.pdf</t>
  </si>
  <si>
    <t>U10255</t>
  </si>
  <si>
    <t>Towards Youth Mental Health Support: Developing a Prototype AI Counselor</t>
  </si>
  <si>
    <t>Cha</t>
  </si>
  <si>
    <t>Proceedings of the International Florida Artificial Intelligence Research Society Conference, FLAIRS</t>
  </si>
  <si>
    <t>10.32473/flairs.37.1.135604</t>
  </si>
  <si>
    <t>U10255_Cha_2024.pdf</t>
  </si>
  <si>
    <t>U10275</t>
  </si>
  <si>
    <t>TuzoBot: An Emotional Chatbot to Enhance Resilience and Emotional Well-Being Through the Use of Artificial Intelligence</t>
  </si>
  <si>
    <t>Arechiga</t>
  </si>
  <si>
    <t>Applications in Software Engineering - Proceedings of the 13th International Conference on Software Process Improvement, CIMPS 2024</t>
  </si>
  <si>
    <t>10.1109/cimps65195.2024.11095913</t>
  </si>
  <si>
    <t>U10275_Arechiga_2024.pdf</t>
  </si>
  <si>
    <t>U10300</t>
  </si>
  <si>
    <t>Usability Comparison Among Healthy Participants of an Anthropomorphic Digital Human and a Text-Based Chatbot as a Responder to Questions on Mental Health: Randomized Controlled Trial</t>
  </si>
  <si>
    <t>10.2196/54581</t>
  </si>
  <si>
    <t>U10300_Thunstrom_2024.pdf</t>
  </si>
  <si>
    <t>U10301</t>
  </si>
  <si>
    <t>Thunstroem</t>
  </si>
  <si>
    <t>U10301_Thunstroem_2024.pdf</t>
  </si>
  <si>
    <t>U10309</t>
  </si>
  <si>
    <t>User Experiences of Well-Being Chatbots</t>
  </si>
  <si>
    <t>Kettle</t>
  </si>
  <si>
    <t>Human Factors</t>
  </si>
  <si>
    <t>10.1177/00187208231162453</t>
  </si>
  <si>
    <t>U10309_Kettle_2024.pdf</t>
  </si>
  <si>
    <t>U10312</t>
  </si>
  <si>
    <t>User perceptions and experiences of an AI-driven conversational agent for mental health support</t>
  </si>
  <si>
    <t>Chaudhry</t>
  </si>
  <si>
    <t>10.21037/mhealth-23-55</t>
  </si>
  <si>
    <t>U10312_Chaudhry_2024.pdf</t>
  </si>
  <si>
    <t>U10315</t>
  </si>
  <si>
    <t>User-Friendly Chatbot to Mitigate the Psychological Stress of Older Adults During the COVID-19 Pandemic: Development and Usability Study</t>
  </si>
  <si>
    <t>Chou</t>
  </si>
  <si>
    <t>10.2196/49462</t>
  </si>
  <si>
    <t>U10315_Chou_2024.pdf</t>
  </si>
  <si>
    <t>U10339</t>
  </si>
  <si>
    <t>Utilizing Large Language Models for Customized Dialogue Data Augmentation and Psychological Counseling</t>
  </si>
  <si>
    <t>YRRSDS 2024 - 20th Annual Meeting of the Young Researchers'' Roundtable on Spoken Dialogue Systems, Proceedings of the Workshop</t>
  </si>
  <si>
    <t>10.18653/v1/2024.yrrsds-1.31</t>
  </si>
  <si>
    <t>U10339_Qi_2024.pdf</t>
  </si>
  <si>
    <t>U10346</t>
  </si>
  <si>
    <t>VCounselor: a psychological intervention chat agent based on a knowledge-enhanced large language model</t>
  </si>
  <si>
    <t>10.1007/s00530-024-01467-w</t>
  </si>
  <si>
    <t>U10346_Zhang_2024.pdf</t>
  </si>
  <si>
    <t>U10351</t>
  </si>
  <si>
    <t>Virtual Agents for Alcohol Use Counseling: Exploring LLM-Powered Motivational Interviewing</t>
  </si>
  <si>
    <t>10.1145/3652988.3673932</t>
  </si>
  <si>
    <t>U10351_Steenstra_2024.pdf</t>
  </si>
  <si>
    <t>U10352</t>
  </si>
  <si>
    <t>Virtual Agents in DTx: Focusing on Usability and Therapeutic Effectiveness</t>
  </si>
  <si>
    <t>Jeong</t>
  </si>
  <si>
    <t>10.3390/electronics13010014</t>
  </si>
  <si>
    <t>U10352_Jeong_2024.pdf</t>
  </si>
  <si>
    <t>U10353</t>
  </si>
  <si>
    <t>Virtual Coach-Guided Online Acceptance and Commitment Therapy for Chronic Pain: Pilot Feasibility Randomized Controlled Trial</t>
  </si>
  <si>
    <t>Reilly</t>
  </si>
  <si>
    <t>10.2196/56437</t>
  </si>
  <si>
    <t>U10353_Reilly_2024.pdf</t>
  </si>
  <si>
    <t>U10354</t>
  </si>
  <si>
    <t>Virtual Companion: A Human Friendly Chatbot</t>
  </si>
  <si>
    <t>Sindhu</t>
  </si>
  <si>
    <t>10.1109/csitss64042.2024.10816756</t>
  </si>
  <si>
    <t>U10354_Sindhu_2024.pdf</t>
  </si>
  <si>
    <t>U10360</t>
  </si>
  <si>
    <t>VocaVisionary: A Career Guidance Chatbot</t>
  </si>
  <si>
    <t>Arshad</t>
  </si>
  <si>
    <t>2nd IEEE International Conference on Advances in Information Technology, ICAIT 2024 - Proceedings</t>
  </si>
  <si>
    <t>10.1109/icait61638.2024.10690595</t>
  </si>
  <si>
    <t>U10360_Arshad_2024.pdf</t>
  </si>
  <si>
    <t>U10361</t>
  </si>
  <si>
    <t>A. T K</t>
  </si>
  <si>
    <t>2024 Second International Conference on Advances in Information Technology (ICAIT)</t>
  </si>
  <si>
    <t>U10361_K_2024.pdf</t>
  </si>
  <si>
    <t>U10367</t>
  </si>
  <si>
    <t>Well Bot—A Reinforcement Learning and Sentiment Analysis-Based Chatbot Implementation for Mental Well-Being</t>
  </si>
  <si>
    <t>Sohara Banu</t>
  </si>
  <si>
    <t>10.1007/978-981-99-8628-6_40</t>
  </si>
  <si>
    <t>U10367_Sohara-Banu_2024.pdf</t>
  </si>
  <si>
    <t>U10392</t>
  </si>
  <si>
    <t>WisCompanion: Integrating the Socratic Method with ChatGPT-Based AI for Enhanced Explainability in Emotional Support for Older Adults</t>
  </si>
  <si>
    <t>Etori</t>
  </si>
  <si>
    <t>10.1007/978-3-031-60606-9_11</t>
  </si>
  <si>
    <t>U10392_Etori_2024.pdf</t>
  </si>
  <si>
    <t>U10398</t>
  </si>
  <si>
    <t>YouMatter: A Conversational AI Powered Mental Health Chatbot</t>
  </si>
  <si>
    <t>Nazareth</t>
  </si>
  <si>
    <t>10.1109/icccnt61001.2024.10725061</t>
  </si>
  <si>
    <t>U10398_Nazareth_2024.pdf</t>
  </si>
  <si>
    <t>U10399</t>
  </si>
  <si>
    <t>Young peoples’ reflections about using a chatbot to promote their mental wellbeing in northern periphery areas - a qualitative study</t>
  </si>
  <si>
    <t>Kostenius</t>
  </si>
  <si>
    <t>International Journal of Circumpolar Health</t>
  </si>
  <si>
    <t>10.1080/22423982.2024.2369349</t>
  </si>
  <si>
    <t>U10399_Kostenius_2024.pdf</t>
  </si>
  <si>
    <t>U10408</t>
  </si>
  <si>
    <t>“It happened to be the perfect thing”: experiences of generative AI chatbots for mental health</t>
  </si>
  <si>
    <t>Siddals</t>
  </si>
  <si>
    <t>10.1038/s44184-024-00097-4</t>
  </si>
  <si>
    <t>U10408_Siddals_2024.pdf</t>
  </si>
  <si>
    <t>U10409</t>
  </si>
  <si>
    <t>“This Chatbot Would Never...”: Perceived Moral Agency of Mental Health Chatbots</t>
  </si>
  <si>
    <t>10.1145/3637410</t>
  </si>
  <si>
    <t>U10409_Wester_2024.pdf</t>
  </si>
  <si>
    <t>U10412</t>
  </si>
  <si>
    <t>"Listen to Music, Listen to Yourself": Design of a Conversational Agent to Support Self-Awareness While Listening to Music</t>
  </si>
  <si>
    <t>Cai</t>
  </si>
  <si>
    <t>10.1145/3544548.3581427</t>
  </si>
  <si>
    <t>U10412_Cai_2023.pdf</t>
  </si>
  <si>
    <t>U10418</t>
  </si>
  <si>
    <t>A Benchmark for Understanding Dialogue Safety in Mental Health Support</t>
  </si>
  <si>
    <t>10.1007/978-3-031-44696-2_1</t>
  </si>
  <si>
    <t>U10418_Qiu_2023.pdf</t>
  </si>
  <si>
    <t>U10422</t>
  </si>
  <si>
    <t>A chatbot for mental health support: exploring the impact of Emohaa on reducing mental distress in China</t>
  </si>
  <si>
    <t>Sabour</t>
  </si>
  <si>
    <t>10.3389/fdgth.2023.1133987</t>
  </si>
  <si>
    <t>U10422_Sabour_2023.pdf</t>
  </si>
  <si>
    <t>U10424</t>
  </si>
  <si>
    <t>A chatbot-delivered intervention for optimizing social media use and reducing perceived isolation among rural-living LGBTQ plus youth: Development, acceptability, usability, satisfaction, and utility</t>
  </si>
  <si>
    <t>Escobar-Viera</t>
  </si>
  <si>
    <t>10.1016/j.invent.2023.100668</t>
  </si>
  <si>
    <t>U10424_Escobar-Viera_2023.pdf</t>
  </si>
  <si>
    <t>U10425</t>
  </si>
  <si>
    <t>A chatbot-delivered intervention for optimizing social media use and reducing perceived isolation among rural-living LGBTQ+ youth: Development, acceptability, usability, satisfaction, and utility</t>
  </si>
  <si>
    <t>U10425_Escobar-Viera_2023.pdf</t>
  </si>
  <si>
    <t>U10438</t>
  </si>
  <si>
    <t>A Mental Health and Well-Being Chatbot: User Event Log Analysis</t>
  </si>
  <si>
    <t>Booth</t>
  </si>
  <si>
    <t>10.2196/43052</t>
  </si>
  <si>
    <t>U10438_Booth_2023.pdf</t>
  </si>
  <si>
    <t>U10439</t>
  </si>
  <si>
    <t>A Mental Health Chatbot Delivering Cognitive Behavior Therapy and Remote Health Monitoring Using NLP And AI</t>
  </si>
  <si>
    <t>Rani</t>
  </si>
  <si>
    <t>2023 International Conference on Disruptive Technologies, ICDT 2023</t>
  </si>
  <si>
    <t>10.1109/icdt57929.2023.10150665</t>
  </si>
  <si>
    <t>U10439_Rani_2023.pdf</t>
  </si>
  <si>
    <t>U10440</t>
  </si>
  <si>
    <t>A Motivational Interviewing Chatbot With Generative Reflections for Increasing Readiness to Quit Smoking: Iterative Development Study</t>
  </si>
  <si>
    <t>10.2196/49132</t>
  </si>
  <si>
    <t>U10440_Brown_2023.pdf</t>
  </si>
  <si>
    <t>U10442</t>
  </si>
  <si>
    <t>A Multilingual Digital Mental Health and Well-Being Chatbot (ChatPal): Pre-Post Multicenter Intervention Study</t>
  </si>
  <si>
    <t>Potts</t>
  </si>
  <si>
    <t>10.2196/43051</t>
  </si>
  <si>
    <t>U10442_Potts_2023.pdf</t>
  </si>
  <si>
    <t>U10448</t>
  </si>
  <si>
    <t>A Proposed Chatbot Psykh Your Personal Therapist and Stress Buster Using RASA Open-Source Framework</t>
  </si>
  <si>
    <t>Vineeth</t>
  </si>
  <si>
    <t>2022 OPJU International Technology Conference on Emerging Technologies for Sustainable Development, OTCON 2022</t>
  </si>
  <si>
    <t>10.1109/otcon56053.2023.10114025</t>
  </si>
  <si>
    <t>U10448_Vineeth_2023.pdf</t>
  </si>
  <si>
    <t>U10456</t>
  </si>
  <si>
    <t>A robotic companion for psychological well-being: A long-term investigation of companionship and therapeutic alliance</t>
  </si>
  <si>
    <t>10.1145/3568162.3578625</t>
  </si>
  <si>
    <t>U10456_Jeong_2023.pdf</t>
  </si>
  <si>
    <t>U10473</t>
  </si>
  <si>
    <t>Adaptive Mental Health And Mood Uplifting Chatbot</t>
  </si>
  <si>
    <t>Siddiqui</t>
  </si>
  <si>
    <t>2023 14th International Conference on Computing Communication and Networking Technologies, ICCCNT 2023</t>
  </si>
  <si>
    <t>10.1109/icccnt56998.2023.10308236</t>
  </si>
  <si>
    <t>U10473_Siddiqui_2023.pdf</t>
  </si>
  <si>
    <t>U10476</t>
  </si>
  <si>
    <t>Advancements in Conversational AI: Building Mental Health Chatbot with BERT Model</t>
  </si>
  <si>
    <t>International Conference on Artificial Intelligence for Innovations in Healthcare Industries, ICAIIHI 2023</t>
  </si>
  <si>
    <t>10.1109/icaiihi57871.2023.10489148</t>
  </si>
  <si>
    <t>U10476_Mishra_2023.pdf</t>
  </si>
  <si>
    <t>U10489</t>
  </si>
  <si>
    <t>AI to Train AI: Using ChatGPT to Improve the Accuracy of a Therapeutic Dialogue System</t>
  </si>
  <si>
    <t>10.3390/electronics12224694</t>
  </si>
  <si>
    <t>U10489_Gabor-Siatkowska_2023.pdf</t>
  </si>
  <si>
    <t>U10494</t>
  </si>
  <si>
    <t>AI-Based Deep Learning Chatbot for Career and Personal Mentorship</t>
  </si>
  <si>
    <t>3rd IEEE International Conference on Technology, Engineering, Management for Societal Impact using Marketing, Entrepreneurship and Talent, TEMSMET 2023</t>
  </si>
  <si>
    <t>10.1109/temsmet56707.2023.10149907</t>
  </si>
  <si>
    <t>U10494_Sharma_2023.pdf</t>
  </si>
  <si>
    <t>U10498</t>
  </si>
  <si>
    <t>An AI Based Mental Health Support Chat-Bot for Cyber Bullied Victims</t>
  </si>
  <si>
    <t>Naga Himaja</t>
  </si>
  <si>
    <t>7th IEEE International Conference on Computational Systems and Information Technology for Sustainable Solutions, CSITSS 2023 - Proceedings</t>
  </si>
  <si>
    <t>10.1109/csitss60515.2023.10334235</t>
  </si>
  <si>
    <t>U10498_Naga-Himaja_2023.pdf</t>
  </si>
  <si>
    <t>U10500</t>
  </si>
  <si>
    <t>An Artificial Therapist (Manage Your Life Online) to Support the Mental Health of Youth: Co-Design and Case Series</t>
  </si>
  <si>
    <t>10.2196/46849</t>
  </si>
  <si>
    <t>U10500_Wrightson-Hester_2023.pdf</t>
  </si>
  <si>
    <t>U10517</t>
  </si>
  <si>
    <t>Application of Artificial Intelligence in Mental Healthcare: Generative Pre-trained Transformer 3 (GPT-3) and Cognitive Distortions</t>
  </si>
  <si>
    <t>Nazarova</t>
  </si>
  <si>
    <t>10.1007/978-3-031-47454-5_16</t>
  </si>
  <si>
    <t>U10517_Nazarova_2023.pdf</t>
  </si>
  <si>
    <t>U10527</t>
  </si>
  <si>
    <t>Artificial Intelligence Enabled Mobile Chatbot Psychologist using AIML and Cognitive Behavioral Therapy</t>
  </si>
  <si>
    <t>Omarov</t>
  </si>
  <si>
    <t>10.14569/ijacsa.2023.0140616</t>
  </si>
  <si>
    <t>U10527_Omarov_2023.pdf</t>
  </si>
  <si>
    <t>U10546</t>
  </si>
  <si>
    <t>AUGESC: Dialogue Augmentation with Large Language Models for Emotional Support Conversation</t>
  </si>
  <si>
    <t>10.18653/v1/2023.findings-acl.99</t>
  </si>
  <si>
    <t>U10546_Zheng_2023.pdf</t>
  </si>
  <si>
    <t>U10561</t>
  </si>
  <si>
    <t>Boosting Distress Support Dialogue Responses with Motivational Interviewing Strategy</t>
  </si>
  <si>
    <t>Welivita</t>
  </si>
  <si>
    <t>10.18653/v1/2023.findings-acl.334</t>
  </si>
  <si>
    <t>U10561_Welivita_2023.pdf</t>
  </si>
  <si>
    <t>U10575</t>
  </si>
  <si>
    <t>CanChat: A Cantonese Empathetic Chatbot for Secondary School Student Counseling</t>
  </si>
  <si>
    <t>Proceedings - 2023 International Symposium on Educational Technology, ISET 2023</t>
  </si>
  <si>
    <t>10.1109/iset58841.2023.00041</t>
  </si>
  <si>
    <t>U10575_Fung_2023.pdf</t>
  </si>
  <si>
    <t>U10576</t>
  </si>
  <si>
    <t>Caught in the Lifelong Learning Maze: Helping People with Learning Analytics and Chatbots to Find Personal Career Paths</t>
  </si>
  <si>
    <t>10.18178/ijiet.2023.13.3.1822</t>
  </si>
  <si>
    <t>U10576_Ahmad_2023.pdf</t>
  </si>
  <si>
    <t>U10582</t>
  </si>
  <si>
    <t>Changes in stress, burnout, and resilience associated with an 8-week intervention with relational agent “Woebot”</t>
  </si>
  <si>
    <t>Durden</t>
  </si>
  <si>
    <t>10.1016/j.invent.2023.100637</t>
  </si>
  <si>
    <t>U10582_Durden_2023.pdf</t>
  </si>
  <si>
    <t>U10592</t>
  </si>
  <si>
    <t>Chatbot for Mental health support using NLP</t>
  </si>
  <si>
    <t>2023 4th International Conference for Emerging Technology, INCET 2023</t>
  </si>
  <si>
    <t>10.1109/incet57972.2023.10170573</t>
  </si>
  <si>
    <t>U10592_Gupta_2023.pdf</t>
  </si>
  <si>
    <t>U10593</t>
  </si>
  <si>
    <t>Chatbot Persona Selection Methodology for Emotional Support</t>
  </si>
  <si>
    <t>2023 62nd Annual Conference of the Society of Instrument and Control Engineers, SICE 2023</t>
  </si>
  <si>
    <t>10.23919/sice59929.2023.10354130</t>
  </si>
  <si>
    <t>U10593_Yorita_2023.pdf</t>
  </si>
  <si>
    <t>U10595</t>
  </si>
  <si>
    <t>Chatbot-assisted therapy for patients with methamphetamine use disorder: a preliminary randomized controlled trial</t>
  </si>
  <si>
    <t>Chun-Hung</t>
  </si>
  <si>
    <t>10.3389/fpsyt.2023.1159399</t>
  </si>
  <si>
    <t>U10595_Chun-Hung_2023.pdf</t>
  </si>
  <si>
    <t>U10599</t>
  </si>
  <si>
    <t>Chatbots and robots: a framework for the self-management of occupational stress</t>
  </si>
  <si>
    <t>ROBOMECH Journal</t>
  </si>
  <si>
    <t>10.1186/s40648-023-00261-z</t>
  </si>
  <si>
    <t>U10599_Yorita_2023.pdf</t>
  </si>
  <si>
    <t>U10601</t>
  </si>
  <si>
    <t>Chatbots as Peer Counselors in Helping Students Manage Stress: Socio-Technical Requirements</t>
  </si>
  <si>
    <t>Ong</t>
  </si>
  <si>
    <t>Proceedings of 2023 9th International HCI and UX Conference in Indonesia, CHIuXiD 2023</t>
  </si>
  <si>
    <t>10.1109/chiuxid59550.2023.10452735</t>
  </si>
  <si>
    <t>U10601_Ong_2023.pdf</t>
  </si>
  <si>
    <t>U10616</t>
  </si>
  <si>
    <t>ChatGPT is not ready yet for use in providing mental health assessment and interventions</t>
  </si>
  <si>
    <t>Dergaa</t>
  </si>
  <si>
    <t>10.3389/fpsyt.2023.1277756</t>
  </si>
  <si>
    <t>U10616_Dergaa_2023.pdf</t>
  </si>
  <si>
    <t>U10640</t>
  </si>
  <si>
    <t>Comparing the Feasibility and Acceptability of a Virtual Human, Teletherapy, and an e-Manual in Delivering a Stress Management Intervention to Distressed Adult Women: Pilot Study</t>
  </si>
  <si>
    <t>Loveys</t>
  </si>
  <si>
    <t>10.2196/42390</t>
  </si>
  <si>
    <t>U10640_Loveys_2023.pdf</t>
  </si>
  <si>
    <t>U10644</t>
  </si>
  <si>
    <t>Conducting Cognitive Behavioral Therapy with an Adaptive Virtual Agent</t>
  </si>
  <si>
    <t>Woo</t>
  </si>
  <si>
    <t>Proceedings of the 23rd ACM International Conference on Intelligent Virtual Agents, IVA 2023</t>
  </si>
  <si>
    <t>10.1145/3570945.3607334</t>
  </si>
  <si>
    <t>U10644_Woo_2023.pdf</t>
  </si>
  <si>
    <t>U10648</t>
  </si>
  <si>
    <t>ContextBot: Improving Response Consistency in Crowd-Powered Conversational Systems for Affective Support Tasks</t>
  </si>
  <si>
    <t>HT 2023 - The 34th ACM Conference on Hypertext and Social Media</t>
  </si>
  <si>
    <t>10.1145/3603163.3609031</t>
  </si>
  <si>
    <t>U10648_Ma_2023.pdf</t>
  </si>
  <si>
    <t>U10659</t>
  </si>
  <si>
    <t>Deep Learning Mental Health Dialogue System</t>
  </si>
  <si>
    <t>Brocki</t>
  </si>
  <si>
    <t>Proceedings - 2023 IEEE International Conference on Big Data and Smart Computing, BigComp 2023</t>
  </si>
  <si>
    <t>10.1109/bigcomp57234.2023.00097</t>
  </si>
  <si>
    <t>U10659_Brocki_2023.pdf</t>
  </si>
  <si>
    <t>U10664</t>
  </si>
  <si>
    <t>Demo Alleviate: Demonstrating Artificial Intelligence Enabled Virtual Assistance for Telehealth: The Mental Health Case</t>
  </si>
  <si>
    <t>Roy</t>
  </si>
  <si>
    <t>Proceedings of the 37th AAAI Conference on Artificial Intelligence, AAAI 2023</t>
  </si>
  <si>
    <t>10.1609/aaai.v37i13.27085</t>
  </si>
  <si>
    <t>U10664_Roy_2023.pdf</t>
  </si>
  <si>
    <t>U10675</t>
  </si>
  <si>
    <t>Designing Conversational Agents for Emotional Self-Awareness</t>
  </si>
  <si>
    <t>2023 11th International Conference on Affective Computing and Intelligent Interaction Workshops and Demos, ACIIW 2023</t>
  </si>
  <si>
    <t>10.1109/aciiw59127.2023.10388072</t>
  </si>
  <si>
    <t>U10675_Shen_2023.pdf</t>
  </si>
  <si>
    <t>U10676</t>
  </si>
  <si>
    <t>Designing Philobot: A Chatbot for Mental Health Support with CBT Techniques</t>
  </si>
  <si>
    <t>Ge</t>
  </si>
  <si>
    <t>10.1007/978-981-99-6187-0_36</t>
  </si>
  <si>
    <t>U10676_Ge_2023.pdf</t>
  </si>
  <si>
    <t>U10677</t>
  </si>
  <si>
    <t>Designing Supportive Conversational Agents with and for Teens</t>
  </si>
  <si>
    <t>Lopatovska</t>
  </si>
  <si>
    <t>CHIIR 2023 - Proceedings of the 2023 Conference on Human Information Interaction and Retrieval</t>
  </si>
  <si>
    <t>10.1145/3576840.3578283</t>
  </si>
  <si>
    <t>U10677_Lopatovska_2023.pdf</t>
  </si>
  <si>
    <t>U10687</t>
  </si>
  <si>
    <t>Development of a chatbot for depression: adolescent perceptions and recommendations</t>
  </si>
  <si>
    <t>Dosovitsky</t>
  </si>
  <si>
    <t>Child and Adolescent Mental Health</t>
  </si>
  <si>
    <t>10.1111/camh.12627</t>
  </si>
  <si>
    <t>U10687_Dosovitsky_2023.pdf</t>
  </si>
  <si>
    <t>U10690</t>
  </si>
  <si>
    <t>Development of a Portable Psychological Support Robot System</t>
  </si>
  <si>
    <t>Q. Zhang</t>
  </si>
  <si>
    <t>2023 IEEE International Conference on Mechatronics and Automation (ICMA)</t>
  </si>
  <si>
    <t>10.1109/icma57826.2023.10215570</t>
  </si>
  <si>
    <t>U10690_Zhang_2023.pdf</t>
  </si>
  <si>
    <t>U10700</t>
  </si>
  <si>
    <t>Dis/Immersion in Mindfulness Meditation with a Wandering Voice Assistant</t>
  </si>
  <si>
    <t>Ku</t>
  </si>
  <si>
    <t>10.1145/3544549.3585627</t>
  </si>
  <si>
    <t>U10700_Ku_2023.pdf</t>
  </si>
  <si>
    <t>U10708</t>
  </si>
  <si>
    <t>e-THERAPIST: I suggest you to cultivate a mindset of positivity and nurture uplifting thoughts</t>
  </si>
  <si>
    <t>EMNLP 2023 - 2023 Conference on Empirical Methods in Natural Language Processing, Proceedings</t>
  </si>
  <si>
    <t>10.18653/v1/2023.emnlp-main.861</t>
  </si>
  <si>
    <t>U10708_Mishra_2023.pdf</t>
  </si>
  <si>
    <t>U10711</t>
  </si>
  <si>
    <t>Effect of AI chatbot emotional disclosure on user satisfaction and reuse intention for mental health counseling: a serial mediation model</t>
  </si>
  <si>
    <t>10.1007/s12144-022-03932-z</t>
  </si>
  <si>
    <t>U10711_Park_2023.pdf</t>
  </si>
  <si>
    <t>U10723</t>
  </si>
  <si>
    <t>Emotion-Aware Chatbot with Cultural Adaptation for Mitigating Work-Related Stress</t>
  </si>
  <si>
    <t>Ng</t>
  </si>
  <si>
    <t>10.1145/3604571.3604578</t>
  </si>
  <si>
    <t>U10723_Ng_2023.pdf</t>
  </si>
  <si>
    <t>U10725</t>
  </si>
  <si>
    <t>Empath.ai: a Context-Aware Chatbot for Emotional Detection and Support</t>
  </si>
  <si>
    <t>Kallivalappil</t>
  </si>
  <si>
    <t>10.1109/icccnt56998.2023.10306584</t>
  </si>
  <si>
    <t>U10725_Kallivalappil_2023.pdf</t>
  </si>
  <si>
    <t>U10726</t>
  </si>
  <si>
    <t>EmpathAI: Your Personal Emotional Support Chatbot</t>
  </si>
  <si>
    <t>Subba</t>
  </si>
  <si>
    <t>9th International Conference on Smart Computing and Communications: Intelligent Technologies and Applications, ICSCC 2023</t>
  </si>
  <si>
    <t>10.1109/icscc59169.2023.10335087</t>
  </si>
  <si>
    <t>U10726_Subba_2023.pdf</t>
  </si>
  <si>
    <t>U10727</t>
  </si>
  <si>
    <t>Empathetic Response Generation for Distress Support</t>
  </si>
  <si>
    <t>SIGDIAL 2023 - 24th Meeting of the Special Interest Group on Discourse and Dialogue, Proceedings of the Conference</t>
  </si>
  <si>
    <t>10.18653/v1/2023.sigdial-1.59</t>
  </si>
  <si>
    <t>U10727_Yeh_2023.pdf</t>
  </si>
  <si>
    <t>U10728</t>
  </si>
  <si>
    <t>Empathy-Based communication Framework for Chatbots: A Mental Health Chatbot Application and Evaluation</t>
  </si>
  <si>
    <t>10.1145/3623809.3623865</t>
  </si>
  <si>
    <t>U10728_Lin_2023.pdf</t>
  </si>
  <si>
    <t>U10731</t>
  </si>
  <si>
    <t>Engagement, Satisfaction, and Mental Health Outcomes Across Different Residential Subgroup Users of a Digital Mental Health Relational Agent: Exploratory Single-Arm Study</t>
  </si>
  <si>
    <t>Forman-Hoffman</t>
  </si>
  <si>
    <t>10.2196/46473</t>
  </si>
  <si>
    <t>U10731_Forman-Hoffman_2023.pdf</t>
  </si>
  <si>
    <t>U10736</t>
  </si>
  <si>
    <t>Enhancing Emotional Support Capabilities of Large Language Models through Cascaded Neural Networks</t>
  </si>
  <si>
    <t>Proceedings - 2023 4th International Conference on Computer, Big Data and Artificial Intelligence, ICCBD+AI 2023</t>
  </si>
  <si>
    <t>10.1109/iccbd-ai62252.2023.00060</t>
  </si>
  <si>
    <t>U10736_Chen_2023.pdf</t>
  </si>
  <si>
    <t>U10740</t>
  </si>
  <si>
    <t>Enhancing the conversational agent with an emotional support system for mental health digital therapeutics</t>
  </si>
  <si>
    <t>10.3389/fpsyt.2023.1148534</t>
  </si>
  <si>
    <t>U10740_Wang_2023.pdf</t>
  </si>
  <si>
    <t>U10768</t>
  </si>
  <si>
    <t>Exploring the Potential of Chatbots to Provide Mental Well-being Support for Computer Science Students</t>
  </si>
  <si>
    <t>SIGCSE 2023 - Proceedings of the 54th ACM Technical Symposium on Computer Science Education</t>
  </si>
  <si>
    <t>10.1145/3545947.3576285</t>
  </si>
  <si>
    <t>U10768_Kumar_2023.pdf</t>
  </si>
  <si>
    <t>U10775</t>
  </si>
  <si>
    <t>Exploring Young Adults’ Views About Aroha, a Chatbot for Stress Associated With the COVID-19 Pandemic: Interview Study Among Students</t>
  </si>
  <si>
    <t>10.2196/44556</t>
  </si>
  <si>
    <t>U10775_Kang_2023.pdf</t>
  </si>
  <si>
    <t>U10778</t>
  </si>
  <si>
    <t>Facilitating Student Counseling Through the Chatbot</t>
  </si>
  <si>
    <t>Ho</t>
  </si>
  <si>
    <t>10.1007/978-3-031-35992-7_8</t>
  </si>
  <si>
    <t>U10778_Ho_2023.pdf</t>
  </si>
  <si>
    <t>U10782</t>
  </si>
  <si>
    <t>Feasibility and impact of a mental health chatbot on postpartum mental health: a randomized controlled trial</t>
  </si>
  <si>
    <t>Suharwardy</t>
  </si>
  <si>
    <t>AJOG Global Reports</t>
  </si>
  <si>
    <t>10.1016/j.xagr.2023.100165</t>
  </si>
  <si>
    <t>U10782_Suharwardy_2023.pdf</t>
  </si>
  <si>
    <t>U10787</t>
  </si>
  <si>
    <t>Focusing on Needs: A Chatbot-Based Emotion Regulation Tool for Adolescents</t>
  </si>
  <si>
    <t>Conference Proceedings - IEEE International Conference on Systems, Man and Cybernetics</t>
  </si>
  <si>
    <t>10.1109/smc53992.2023.10394600</t>
  </si>
  <si>
    <t>U10787_Ni_2023.pdf</t>
  </si>
  <si>
    <t>U10796</t>
  </si>
  <si>
    <t>Generating Enlightened Suggestions Based on Mental State Evolution for Emotional Support Conversation</t>
  </si>
  <si>
    <t>Gan</t>
  </si>
  <si>
    <t>10.1007/978-3-031-46661-8_22</t>
  </si>
  <si>
    <t>U10796_Gan_2023.pdf</t>
  </si>
  <si>
    <t>U10797</t>
  </si>
  <si>
    <t>Generative Transformer Chatbots for Mental Health Support: A Study on Depression and Anxiety</t>
  </si>
  <si>
    <t>Bird</t>
  </si>
  <si>
    <t>10.1145/3594806.3596520</t>
  </si>
  <si>
    <t>U10797_Bird_2023.pdf</t>
  </si>
  <si>
    <t>U10808</t>
  </si>
  <si>
    <t>Help Me Heal: A Reinforced Polite and Empathetic Mental Health and Legal Counseling Dialogue System for Crime Victims</t>
  </si>
  <si>
    <t>10.1609/aaai.v37i12.26685</t>
  </si>
  <si>
    <t>U10808_Mishra_2023.pdf</t>
  </si>
  <si>
    <t>U10810</t>
  </si>
  <si>
    <t>Hi, I’m Cecil(y) the Smoking Cessation Chatbot: The Effectiveness of Motivational Interviewing and Confrontational Counseling Chatbots and the Moderating Role of the Need for Autonomy and Self-efficacy</t>
  </si>
  <si>
    <t>Leeuwis</t>
  </si>
  <si>
    <t>10.1007/978-3-031-25581-6_1</t>
  </si>
  <si>
    <t>U10810_Leeuwis_2023.pdf</t>
  </si>
  <si>
    <t>U10850</t>
  </si>
  <si>
    <t>Intent and Entity Detection with Data Augmentation for a Mental Health Virtual Assistant Chatbot</t>
  </si>
  <si>
    <t>Zamani</t>
  </si>
  <si>
    <t>10.1145/3570945.3607324</t>
  </si>
  <si>
    <t>U10850_Zamani_2023.pdf</t>
  </si>
  <si>
    <t>U10867</t>
  </si>
  <si>
    <t>Knowledge-enhanced Mixed-initiative Dialogue System for Emotional Support Conversations</t>
  </si>
  <si>
    <t>10.18653/v1/2023.acl-long.225</t>
  </si>
  <si>
    <t>U10867_Deng_2023.pdf</t>
  </si>
  <si>
    <t>U10880</t>
  </si>
  <si>
    <t>Leveraging Chatbots for Mental Health Enhancement</t>
  </si>
  <si>
    <t>Diaz</t>
  </si>
  <si>
    <t>Proceedings - 2023 International Conference on Computational Science and Computational Intelligence, CSCI 2023</t>
  </si>
  <si>
    <t>10.1109/csci62032.2023.00028</t>
  </si>
  <si>
    <t>U10880_Diaz_2023.pdf</t>
  </si>
  <si>
    <t>U10887</t>
  </si>
  <si>
    <t>Low-effort internet intervention to reduce students' stress delivered with Meta's Messenger chatbot (Stressbot): A randomized controlled trial</t>
  </si>
  <si>
    <t>Maciejewski</t>
  </si>
  <si>
    <t>10.1016/j.invent.2023.100653</t>
  </si>
  <si>
    <t>U10887_Maciejewski_2023.pdf</t>
  </si>
  <si>
    <t>U10888</t>
  </si>
  <si>
    <t>Machine Learning based Intelligent Career Counselling Chatbot (ICCC)</t>
  </si>
  <si>
    <t>2023 International Conference on Computer Communication and Informatics, ICCCI 2023</t>
  </si>
  <si>
    <t>10.1109/iccci56745.2023.10128305</t>
  </si>
  <si>
    <t>U10888_Goyal_2023.pdf</t>
  </si>
  <si>
    <t>U10892</t>
  </si>
  <si>
    <t>Mediated Social Support for Distress Reduction: AI Chatbots vs. Human</t>
  </si>
  <si>
    <t>Meng</t>
  </si>
  <si>
    <t>10.1145/3579505</t>
  </si>
  <si>
    <t>U10892_Meng_2023.pdf</t>
  </si>
  <si>
    <t>U10893</t>
  </si>
  <si>
    <t>MediBot: Healthcare Assistant on Mental Health and Well Being</t>
  </si>
  <si>
    <t>Kavyashree</t>
  </si>
  <si>
    <t>10.1109/csitss60515.2023.10334083</t>
  </si>
  <si>
    <t>U10893_Kavyashree_2023.pdf</t>
  </si>
  <si>
    <t>U10894</t>
  </si>
  <si>
    <t>K. N</t>
  </si>
  <si>
    <t>2023 7th International Conference on Computation System and Information Technology for Sustainable Solutions (CSITSS)</t>
  </si>
  <si>
    <t>U10894_N_2023.pdf</t>
  </si>
  <si>
    <t>U10899</t>
  </si>
  <si>
    <t>MENDER: Multi-hop Commonsense and Domain-specific CoT Reasoning for Knowledge-grounded Empathetic Counseling of Crime Victims</t>
  </si>
  <si>
    <t>Hossain</t>
  </si>
  <si>
    <t>10.18653/v1/2025.naacl-srw.49</t>
  </si>
  <si>
    <t>U10899_Hossain_2023.pdf</t>
  </si>
  <si>
    <t>U10907</t>
  </si>
  <si>
    <t>MHeVA - Mental Health Virtual Assistant for High Education Students</t>
  </si>
  <si>
    <t>Antunes</t>
  </si>
  <si>
    <t>10.1145/3570945.3607309</t>
  </si>
  <si>
    <t>U10907_Antunes_2023.pdf</t>
  </si>
  <si>
    <t>U10908</t>
  </si>
  <si>
    <t>Mindfulness based stress reduction: A randomised trial of a virtual human, teletherapy, and a chatbot</t>
  </si>
  <si>
    <t>Karhiy</t>
  </si>
  <si>
    <t>10.1109/aciiw59127.2023.10388195</t>
  </si>
  <si>
    <t>U10908_Karhiy_2023.pdf</t>
  </si>
  <si>
    <t>U10911</t>
  </si>
  <si>
    <t>Model to Design Affective Conversational Interfaces to Support the Mental Health</t>
  </si>
  <si>
    <t>Apablaza</t>
  </si>
  <si>
    <t>10.1007/978-3-031-35927-9_13</t>
  </si>
  <si>
    <t>U10911_Apablaza_2023.pdf</t>
  </si>
  <si>
    <t>U10913</t>
  </si>
  <si>
    <t>MOODIFY: Tailored, Personal and Multifaceted AI Assistant for Young Adult Mental Health Issues</t>
  </si>
  <si>
    <t>Limbachia</t>
  </si>
  <si>
    <t>2023 6th IEEE International Conference on Advances in Science and Technology, ICAST 2023</t>
  </si>
  <si>
    <t>10.1109/icast59062.2023.10455044</t>
  </si>
  <si>
    <t>U10913_Limbachia_2023.pdf</t>
  </si>
  <si>
    <t>U10920</t>
  </si>
  <si>
    <t>Muse Alpha: Primary Study of AI chatbot for Psychotherapy with Socratic Methods</t>
  </si>
  <si>
    <t>Proceedings - 2023 Congress in Computer Science, Computer Engineering, and Applied Computing, CSCE 2023</t>
  </si>
  <si>
    <t>10.1109/csce60160.2023.00431</t>
  </si>
  <si>
    <t>U10920_Park_2023.pdf</t>
  </si>
  <si>
    <t>U10930</t>
  </si>
  <si>
    <t>PAL to Lend a Helping Hand: Towards Building an Emotion Adaptive Polite and Empathetic Counseling Conversational Agent</t>
  </si>
  <si>
    <t>10.18653/v1/2023.acl-long.685</t>
  </si>
  <si>
    <t>U10930_Mishra_2023.pdf</t>
  </si>
  <si>
    <t>U10931</t>
  </si>
  <si>
    <t>PAL: Persona-Augmented Emotional Support Conversation Generation</t>
  </si>
  <si>
    <t>10.18653/v1/2023.findings-acl.34</t>
  </si>
  <si>
    <t>U10931_Cheng_2023.pdf</t>
  </si>
  <si>
    <t>U10934</t>
  </si>
  <si>
    <t>Participatory Design of Virtual Humans for Mental Health Support Among North American Computer Science Students: Voice, Appearance, and the Similarity-attraction Effect</t>
  </si>
  <si>
    <t>10.1145/3613961</t>
  </si>
  <si>
    <t>U10934_Feijoo-Garcia_2023.pdf</t>
  </si>
  <si>
    <t>U10935</t>
  </si>
  <si>
    <t>PARTNER: A Persuasive Mental Health and Legal Counselling Dialogue System for Women and Children Crime Victims</t>
  </si>
  <si>
    <t>IJCAI International Joint Conference on Artificial Intelligence</t>
  </si>
  <si>
    <t>10.24963/ijcai.2023/686</t>
  </si>
  <si>
    <t>U10935_Priya_2023.pdf</t>
  </si>
  <si>
    <t>U10948</t>
  </si>
  <si>
    <t>Preliminary Evaluation of a Conversational Agent to Support Self-management of Individuals Living With Posttraumatic Stress Disorder: Interview Study With Clinical Experts</t>
  </si>
  <si>
    <t>10.2196/45894</t>
  </si>
  <si>
    <t>U10948_Han_2023.pdf</t>
  </si>
  <si>
    <t>U10954</t>
  </si>
  <si>
    <t>Providing Self-Led Mental Health Support Through an Artificial Intelligence–Powered Chat Bot (Leora) to Meet the Demand of Mental Health Care</t>
  </si>
  <si>
    <t>van der Schyff</t>
  </si>
  <si>
    <t>10.2196/46448</t>
  </si>
  <si>
    <t>U10954_van-der-Schyff_2023.pdf</t>
  </si>
  <si>
    <t>U10973</t>
  </si>
  <si>
    <t>Research on Mental Robot Based on Knowledge Graph</t>
  </si>
  <si>
    <t>Proceedings - 2023 6th International Conference on Computer Network, Electronic and Automation, ICCNEA 2023</t>
  </si>
  <si>
    <t>10.1109/iccnea60107.2023.00090</t>
  </si>
  <si>
    <t>U10973_Han_2023.pdf</t>
  </si>
  <si>
    <t>U10979</t>
  </si>
  <si>
    <t>Safety of Large Language Models in Addressing Depression</t>
  </si>
  <si>
    <t>Heston</t>
  </si>
  <si>
    <t>CUREUS JOURNAL OF MEDICAL SCIENCE</t>
  </si>
  <si>
    <t>10.7759/cureus.50729</t>
  </si>
  <si>
    <t>U10979_Heston_2023.pdf</t>
  </si>
  <si>
    <t>U10989</t>
  </si>
  <si>
    <t>Self-Disclosure in Digital Healthcare: Enhancing User Engagement</t>
  </si>
  <si>
    <t>Goh</t>
  </si>
  <si>
    <t>Proceedings - 2023 IEEE International Conference on Agents, ICA 2023</t>
  </si>
  <si>
    <t>10.1109/ica58824.2023.00020</t>
  </si>
  <si>
    <t>U10989_Goh_2023.pdf</t>
  </si>
  <si>
    <t>U11001</t>
  </si>
  <si>
    <t>SoulChat: Improving LLMs' Empathy, Listening, and Comfort Abilities through Fine-tuning with Multi-turn Empathy Conversations</t>
  </si>
  <si>
    <t>Findings of the Association for Computational Linguistics: EMNLP 2023</t>
  </si>
  <si>
    <t>10.18653/v1/2023.findings-emnlp.83</t>
  </si>
  <si>
    <t>U11001_Chen_2023.pdf</t>
  </si>
  <si>
    <t>U11005</t>
  </si>
  <si>
    <t>Stress Level and Emotion Detection via Video Analysis, and Chatbot Interventions for Emotional Distress</t>
  </si>
  <si>
    <t>Bhosale</t>
  </si>
  <si>
    <t>10.1109/icccnt56998.2023.10307103</t>
  </si>
  <si>
    <t>U11005_Bhosale_2023.pdf</t>
  </si>
  <si>
    <t>U11015</t>
  </si>
  <si>
    <t>Supporting mental health self-care discovery through a chatbot</t>
  </si>
  <si>
    <t>Moilanen</t>
  </si>
  <si>
    <t>10.3389/fdgth.2023.1034724</t>
  </si>
  <si>
    <t>U11015_Moilanen_2023.pdf</t>
  </si>
  <si>
    <t>U11028</t>
  </si>
  <si>
    <t>The "Conversation" about Loss: Understanding How Chatbot Technology was Used in Supporting People in Grief.</t>
  </si>
  <si>
    <t>Xygkou</t>
  </si>
  <si>
    <t>10.1145/3544548.3581154</t>
  </si>
  <si>
    <t>U11028_Xygkou_2023.pdf</t>
  </si>
  <si>
    <t>U11035</t>
  </si>
  <si>
    <t>The Depressed Teenage Brain: Chatbot Psychoeducation</t>
  </si>
  <si>
    <t>Dysthe</t>
  </si>
  <si>
    <t>Mayo Clinic Proceedings: Digital Health</t>
  </si>
  <si>
    <t>10.1016/j.mcpdig.2023.03.008</t>
  </si>
  <si>
    <t>U11035_Dysthe_2023.pdf</t>
  </si>
  <si>
    <t>U11047</t>
  </si>
  <si>
    <t>The Impact of Virtual Human Vocal Personality on Establishing Rapport: A Study on Promoting Mental Wellness Through Extroversion and Vocalics</t>
  </si>
  <si>
    <t>Maxim</t>
  </si>
  <si>
    <t>10.1145/3570945.3607318</t>
  </si>
  <si>
    <t>U11047_Maxim_2023.pdf</t>
  </si>
  <si>
    <t>U11054</t>
  </si>
  <si>
    <t>The Potential of Chatbots for Emotional Support and Promoting Mental Well-Being in Different Cultures: Mixed Methods Study</t>
  </si>
  <si>
    <t>10.2196/51712</t>
  </si>
  <si>
    <t>U11054_Chin_2023.pdf</t>
  </si>
  <si>
    <t>U11064</t>
  </si>
  <si>
    <t>The Use of AI Chatbots in Mental Healthcare for University Students in Thailand: A Case Study</t>
  </si>
  <si>
    <t>Mahmud</t>
  </si>
  <si>
    <t>7th International Conference on Business and Information Management, ICBIM 2023</t>
  </si>
  <si>
    <t>10.1109/icbim59872.2023.10303025</t>
  </si>
  <si>
    <t>U11064_Mahmud_2023.pdf</t>
  </si>
  <si>
    <t>U11069</t>
  </si>
  <si>
    <t>Therapeutic Spoken Dialogue System in Clinical Settings: Initial Experiments</t>
  </si>
  <si>
    <t>K. Gabor-Siatkowska</t>
  </si>
  <si>
    <t>2023 30th International Conference on Systems, Signals and Image Processing (IWSSIP)</t>
  </si>
  <si>
    <t>10.1109/iwssip58668.2023.10180265</t>
  </si>
  <si>
    <t>U11069_Gabor-Siatkowska_2023.pdf</t>
  </si>
  <si>
    <t>U11070</t>
  </si>
  <si>
    <t>Therapy Chatbot Powered by Artificial Intelligence: A Cognitive Behavioral Approach</t>
  </si>
  <si>
    <t>Shetty</t>
  </si>
  <si>
    <t>2023 International Conference in Advances in Power, Signal, and Information Technology, APSIT 2023</t>
  </si>
  <si>
    <t>10.1109/apsit58554.2023.10201725</t>
  </si>
  <si>
    <t>U11070_Shetty_2023.pdf</t>
  </si>
  <si>
    <t>U11075</t>
  </si>
  <si>
    <t>Towards a deep learning based contextual chat bot for preventing depression in young children with autistic spectrum disorder</t>
  </si>
  <si>
    <t>Hadri</t>
  </si>
  <si>
    <t>10.1016/j.smhl.2022.100371</t>
  </si>
  <si>
    <t>U11075_Hadri_2023.pdf</t>
  </si>
  <si>
    <t>U11076</t>
  </si>
  <si>
    <t>Towards a French Virtual Assistant for COVID-19 Case Psychological Assistance Based on NLP</t>
  </si>
  <si>
    <t>10.1007/978-3-031-35507-3_20</t>
  </si>
  <si>
    <t>U11076_Ouerhani_2023.pdf</t>
  </si>
  <si>
    <t>U11080</t>
  </si>
  <si>
    <t>Towards Effective Automatic Evaluation of Generated Reflections for Motivational Interviewing</t>
  </si>
  <si>
    <t>10.1145/3610661.3616127</t>
  </si>
  <si>
    <t>U11080_Wu_2023.pdf</t>
  </si>
  <si>
    <t>U11094</t>
  </si>
  <si>
    <t>Understanding Digital Mental Health Needs and Usage with an Artificial Intelligence–Led Mental Health App (Wysa) during the COVID-19 Pandemic: Retrospective Analysis</t>
  </si>
  <si>
    <t>10.2196/41913</t>
  </si>
  <si>
    <t>U11094_Sinha_2023.pdf</t>
  </si>
  <si>
    <t>U11100</t>
  </si>
  <si>
    <t>Understanding the impact of an AI-enabled conversational agent mobile app on users’ mental health and wellbeing with a self-reported maternal event: a mixed method real-world data mHealth study</t>
  </si>
  <si>
    <t>Inkster</t>
  </si>
  <si>
    <t>Frontiers in Global Women's Health</t>
  </si>
  <si>
    <t>10.3389/fgwh.2023.1084302</t>
  </si>
  <si>
    <t>U11100_Inkster_2023.pdf</t>
  </si>
  <si>
    <t>U11112</t>
  </si>
  <si>
    <t>User Engagement Clusters of an 8-Week Digital Mental Health Intervention Guided by a Relational Agent (Woebot): Exploratory Study</t>
  </si>
  <si>
    <t>Hoffman</t>
  </si>
  <si>
    <t>Journal of medical Internet research</t>
  </si>
  <si>
    <t>10.2196/47198</t>
  </si>
  <si>
    <t>U11112_Hoffman_2023.pdf</t>
  </si>
  <si>
    <t>U11116</t>
  </si>
  <si>
    <t>User perception and self-disclosure towards an AI psychotherapy chatbot according to the anthropomorphism of its profile picture</t>
  </si>
  <si>
    <t>Telematics and Informatics</t>
  </si>
  <si>
    <t>10.1016/j.tele.2023.102052</t>
  </si>
  <si>
    <t>U11116_Lee_2023.pdf</t>
  </si>
  <si>
    <t>U11120</t>
  </si>
  <si>
    <t>Using Chatbot Technology to Improve Brazilian Adolescents’ Body Image and Mental Health at Scale: Randomized Controlled Trial</t>
  </si>
  <si>
    <t>Matheson</t>
  </si>
  <si>
    <t>10.2196/39934</t>
  </si>
  <si>
    <t>U11120_Matheson_2023.pdf</t>
  </si>
  <si>
    <t>U11127</t>
  </si>
  <si>
    <t>Vickybot, a Chatbot for Anxiety-Depressive Symptoms and Work-Related Burnout in Primary Care and Health Care Professionals: Development, Feasibility, and Potential Effectiveness Studies</t>
  </si>
  <si>
    <t>Anmella</t>
  </si>
  <si>
    <t>10.2196/43293</t>
  </si>
  <si>
    <t>U11127_Anmella_2023.pdf</t>
  </si>
  <si>
    <t>U11129</t>
  </si>
  <si>
    <t>ViDepBot: Assist People to Tackle Depression Due to COVID Using AI Techniques</t>
  </si>
  <si>
    <t>10.1007/978-981-19-7615-5_33</t>
  </si>
  <si>
    <t>U11129_Thomas_2023.pdf</t>
  </si>
  <si>
    <t>U11130</t>
  </si>
  <si>
    <t>Virtual Agents in Internet-Based Cognitive Behavioral Therapy: Enhancing Engagement and Alleviating Depression</t>
  </si>
  <si>
    <t>10.1109/ica58824.2023.00019</t>
  </si>
  <si>
    <t>U11130_Jeong_2023.pdf</t>
  </si>
  <si>
    <t>U11132</t>
  </si>
  <si>
    <t>Virtual Digital Psychotherapist App-Based Treatment in Patients With Methamphetamine Use Disorder (Echo-APP): Single-Arm Pilot Feasibility and Efficacy Study</t>
  </si>
  <si>
    <t>10.2196/40373</t>
  </si>
  <si>
    <t>U11132_Chen_2023.pdf</t>
  </si>
  <si>
    <t>U11136</t>
  </si>
  <si>
    <t>Voice Assistant-Based Cognitive Behavioral Therapy for Test Anxiety in Students</t>
  </si>
  <si>
    <t>10.1007/978-3-031-35602-5_28</t>
  </si>
  <si>
    <t>U11136_Striegl_2023.pdf</t>
  </si>
  <si>
    <t>U11139</t>
  </si>
  <si>
    <t>Wellness Buddy: An AI Mental Health Chatbot for Kenyan University Students</t>
  </si>
  <si>
    <t>Ogamba</t>
  </si>
  <si>
    <t>1st International Conference on the Advancements of Artificial Intelligence in African Context, AAIAC 2023</t>
  </si>
  <si>
    <t>10.1109/aaiac60008.2023.10465291</t>
  </si>
  <si>
    <t>U11139_Ogamba_2023.pdf</t>
  </si>
  <si>
    <t>U11147</t>
  </si>
  <si>
    <t>WMGPT: Towards 24/7 Online Prime Counseling with ChatGPT</t>
  </si>
  <si>
    <t>Caceres Najarro</t>
  </si>
  <si>
    <t>UbiComp/ISWC 2023 Adjunct - Adjunct Proceedings of the 2023 ACM International Joint Conference on Pervasive and Ubiquitous Computing and the 2023 ACM International Symposium on Wearable Computing</t>
  </si>
  <si>
    <t>10.1145/3594739.3610708</t>
  </si>
  <si>
    <t>U11147_Caceres-Najarro_2023.pdf</t>
  </si>
  <si>
    <t>U11153</t>
  </si>
  <si>
    <t>“A Great Way to Start the Conversation”: Evidence for the Use of an Adolescent Mental Health Chatbot Navigator for Youth at Risk of HIV and Other STIs</t>
  </si>
  <si>
    <t>Sanabria</t>
  </si>
  <si>
    <t>10.1007/s41347-023-00315-4</t>
  </si>
  <si>
    <t>U11153_Sanabria_2023.pdf</t>
  </si>
  <si>
    <t>U11159</t>
  </si>
  <si>
    <t>"I don't know what you mean by 'I am anxious'": A New Method for Evaluating Conversational Agent Responses to Standardized Mental Health Inputs for Anxiety and Depression</t>
  </si>
  <si>
    <t>Eagle</t>
  </si>
  <si>
    <t>2020-2022</t>
  </si>
  <si>
    <t>ACM Transactions on Interactive Intelligent Systems</t>
  </si>
  <si>
    <t>10.1145/3488057</t>
  </si>
  <si>
    <t>U11159_Eagle_2022.pdf</t>
  </si>
  <si>
    <t>U11161</t>
  </si>
  <si>
    <t>&amp;#x201c;I don&amp;#x2019;t know what you mean by `I am anxious'&amp;#x201d;: A New Method for Evaluating Conversational Agent Responses to Standardized Mental Health Inputs for Anxiety and Depression</t>
  </si>
  <si>
    <t>Tessa Eagle</t>
  </si>
  <si>
    <t>ACM Trans. Interact. Intell. Syst.</t>
  </si>
  <si>
    <t>U11161_Eagle_2022.pdf</t>
  </si>
  <si>
    <t>U11165</t>
  </si>
  <si>
    <t>A Chatbot to Support Young People During the COVID-19 Pandemic in New Zealand: Evaluation of the Real-World Rollout of an Open Trial</t>
  </si>
  <si>
    <t>Ludin</t>
  </si>
  <si>
    <t>10.2196/38743</t>
  </si>
  <si>
    <t>U11165_Ludin_2022.pdf</t>
  </si>
  <si>
    <t>U11166</t>
  </si>
  <si>
    <t>A Cognitive Behavioral Therapy Chatbot (Otis) for Health Anxiety Management: Mixed Methods Pilot Study</t>
  </si>
  <si>
    <t>Goonesekera</t>
  </si>
  <si>
    <t>10.2196/37877</t>
  </si>
  <si>
    <t>U11166_Goonesekera_2022.pdf</t>
  </si>
  <si>
    <t>U11168</t>
  </si>
  <si>
    <t>A Comparative Study of Chatbot Catered Toward Mental Health</t>
  </si>
  <si>
    <t>Dev</t>
  </si>
  <si>
    <t>4th IEEE International Conference on Artificial Intelligence in Engineering and Technology, IICAIET 2022</t>
  </si>
  <si>
    <t>10.1109/iicaiet55139.2022.9936778</t>
  </si>
  <si>
    <t>U11168_Dev_2022.pdf</t>
  </si>
  <si>
    <t>U11174</t>
  </si>
  <si>
    <t>A Mental Health Chatbot with Cognitive Skills for Personalised Behavioural Activation and Remote Health Monitoring</t>
  </si>
  <si>
    <t>Rathnayaka</t>
  </si>
  <si>
    <t>Sensors</t>
  </si>
  <si>
    <t>10.3390/s22103653</t>
  </si>
  <si>
    <t>U11174_Rathnayaka_2022.pdf</t>
  </si>
  <si>
    <t>U11178</t>
  </si>
  <si>
    <t>A Multilingual Virtual Guide for Self-Attachment Technique</t>
  </si>
  <si>
    <t>Law</t>
  </si>
  <si>
    <t>Proceedings - 2022 IEEE 4th International Conference on Cognitive Machine Intelligence, CogMI 2022</t>
  </si>
  <si>
    <t>10.1109/cogmi56440.2022.00025</t>
  </si>
  <si>
    <t>U11178_Law_2022.pdf</t>
  </si>
  <si>
    <t>U11179</t>
  </si>
  <si>
    <t>A Personalized Conversational Agent to Treat Depression in Youth and Young Adults – A Transdisciplinary Design Science Research Project</t>
  </si>
  <si>
    <t>10.1007/978-3-031-06516-3_3</t>
  </si>
  <si>
    <t>U11179_Kuhlmeier_2022.pdf</t>
  </si>
  <si>
    <t>U11186</t>
  </si>
  <si>
    <t>A Shoulder to Cry on: Towards A Motivational Virtual Assistant for Assuaging Mental Agony</t>
  </si>
  <si>
    <t>NAACL 2022 - 2022 Conference of the North American Chapter of the Association for Computational Linguistics: Human Language Technologies, Proceedings of the Conference</t>
  </si>
  <si>
    <t>10.18653/v1/2022.naacl-main.174</t>
  </si>
  <si>
    <t>U11186_Saha_2022.pdf</t>
  </si>
  <si>
    <t>U11196</t>
  </si>
  <si>
    <t>Adherence and Engagement With a Cognitive Behavioral Therapy-Based Conversational Agent (Wysa for Chronic Pain) Among Adults With Chronic Pain: Survival Analysis</t>
  </si>
  <si>
    <t>JMIR FORMATIVE RESEARCH</t>
  </si>
  <si>
    <t>10.2196/37302</t>
  </si>
  <si>
    <t>U11196_Sinha_2022.pdf</t>
  </si>
  <si>
    <t>U11197</t>
  </si>
  <si>
    <t>Adolescents’Well-being While Using a Mobile Artificial Intelligence–Powered Acceptance Commitment Therapy Tool: Evidence From a Longitudinal Study</t>
  </si>
  <si>
    <t>Vertsberger</t>
  </si>
  <si>
    <t>10.2196/38171</t>
  </si>
  <si>
    <t>U11197_Vertsberger_2022.pdf</t>
  </si>
  <si>
    <t>U11200</t>
  </si>
  <si>
    <t>AI Chatbot: Application in Psychiatric Treatment and Suicide Prevention</t>
  </si>
  <si>
    <t>Dharmapuri</t>
  </si>
  <si>
    <t>2022 International Mobile and Embedded Technology Conference, MECON 2022</t>
  </si>
  <si>
    <t>10.1109/mecon53876.2022.9752126</t>
  </si>
  <si>
    <t>U11200_Dharmapuri_2022.pdf</t>
  </si>
  <si>
    <t>U11202</t>
  </si>
  <si>
    <t>AI-Based Career Counselling with Chatbots</t>
  </si>
  <si>
    <t>Nair</t>
  </si>
  <si>
    <t>10.1007/978-981-19-2894-9_46</t>
  </si>
  <si>
    <t>U11202_Nair_2022.pdf</t>
  </si>
  <si>
    <t>U11205</t>
  </si>
  <si>
    <t>Alexa as an Active Listener: How Backchanneling Can Elicit Self-Disclosure and Promote User Experience</t>
  </si>
  <si>
    <t>Cho</t>
  </si>
  <si>
    <t>10.1145/3555164</t>
  </si>
  <si>
    <t>U11205_Cho_2022.pdf</t>
  </si>
  <si>
    <t>U11212</t>
  </si>
  <si>
    <t>An Innovative Emotion Recognition and Solution Recommendation Chatbot</t>
  </si>
  <si>
    <t>Ashlin Deepa</t>
  </si>
  <si>
    <t>8th International Conference on Advanced Computing and Communication Systems, ICACCS 2022</t>
  </si>
  <si>
    <t>10.1109/icaccs54159.2022.9785269</t>
  </si>
  <si>
    <t>U11212_Ashlin-Deepa_2022.pdf</t>
  </si>
  <si>
    <t>U11213</t>
  </si>
  <si>
    <t>A. D. R N</t>
  </si>
  <si>
    <t>2022 8th International Conference on Advanced Computing and Communication Systems (ICACCS)</t>
  </si>
  <si>
    <t>U11213_N_2022.pdf</t>
  </si>
  <si>
    <t>U11222</t>
  </si>
  <si>
    <t>Artificial Intelligence Powered Chatbot for Mental Healthcare based on Sentiment Analysis</t>
  </si>
  <si>
    <t>5th IEEE International Conference on Advances in Science and Technology, ICAST 2022</t>
  </si>
  <si>
    <t>10.1109/icast55766.2022.10039548</t>
  </si>
  <si>
    <t>U11222_Mehta_2022.pdf</t>
  </si>
  <si>
    <t>U11228</t>
  </si>
  <si>
    <t>Assessing the Effectiveness of Using Chatbots for Positive Psychological Intervention: A Randomized Control Study</t>
  </si>
  <si>
    <t>10.1145/3565698.3565789</t>
  </si>
  <si>
    <t>U11228_Liu_2022.pdf</t>
  </si>
  <si>
    <t>U11229</t>
  </si>
  <si>
    <t>Assessing the Impact of Conversational Artificial Intelligence in the Treatment of Stress and Anxiety in Aging Adults: Randomized Controlled Trial</t>
  </si>
  <si>
    <t>Danieli</t>
  </si>
  <si>
    <t>10.2196/38067</t>
  </si>
  <si>
    <t>U11229_Danieli_2022.pdf</t>
  </si>
  <si>
    <t>U11238</t>
  </si>
  <si>
    <t>Automatic Thoughts and Facial Expressions in Cognitive Restructuring With Virtual Agents</t>
  </si>
  <si>
    <t>Frontiers in Computer Science</t>
  </si>
  <si>
    <t>10.3389/fcomp.2022.762424</t>
  </si>
  <si>
    <t>U11238_Shidara_2022.pdf</t>
  </si>
  <si>
    <t>U11239</t>
  </si>
  <si>
    <t>Autonomous AI Chat Bot Therapy for Patient with Insomnia</t>
  </si>
  <si>
    <t>T. A. H. Shaikh</t>
  </si>
  <si>
    <t>2022 IEEE 7th International conference for Convergence in Technology (I2CT)</t>
  </si>
  <si>
    <t>10.1109/i2ct54291.2022.9825008</t>
  </si>
  <si>
    <t>U11239_Shaikh_2022.pdf</t>
  </si>
  <si>
    <t>U11246</t>
  </si>
  <si>
    <t>Can a Chatbot Comfort Humans? Studying the Impact of a Supportive Chatbot on Users' Self-Perceived Stress</t>
  </si>
  <si>
    <t>Medeiros</t>
  </si>
  <si>
    <t>IEEE Transactions on Human-Machine Systems</t>
  </si>
  <si>
    <t>10.1109/thms.2021.3113643</t>
  </si>
  <si>
    <t>U11246_Medeiros_2022.pdf</t>
  </si>
  <si>
    <t>U11248</t>
  </si>
  <si>
    <t>Can chatbots help to motivate smoking cessation? A study on the effectiveness of motivational interviewing on engagement and therapeutic alliance</t>
  </si>
  <si>
    <t>BMC Public Health</t>
  </si>
  <si>
    <t>10.1186/s12889-022-13115-x</t>
  </si>
  <si>
    <t>U11248_He_2022.pdf</t>
  </si>
  <si>
    <t>U11249</t>
  </si>
  <si>
    <t>Can we talk about bruno? exploring virtual human counselors spoken accents and their impact on users conversations</t>
  </si>
  <si>
    <t>Feijoo-Garcia</t>
  </si>
  <si>
    <t>IVA 2022 - Proceedings of the 22nd ACM International Conference on Intelligent Virtual Agents</t>
  </si>
  <si>
    <t>10.1145/3514197.3549694</t>
  </si>
  <si>
    <t>U11249_Feijoo-Garcia_2022.pdf</t>
  </si>
  <si>
    <t>U11252</t>
  </si>
  <si>
    <t>Capturing Teens' Voice in Designing Supportive Agents</t>
  </si>
  <si>
    <t>10.1145/3543829.3543838</t>
  </si>
  <si>
    <t>U11252_Lopatovska_2022.pdf</t>
  </si>
  <si>
    <t>U11253</t>
  </si>
  <si>
    <t>Career Counseling Chatbot using Microsoft Bot Frameworks1</t>
  </si>
  <si>
    <t>Cont</t>
  </si>
  <si>
    <t>IEEE Global Engineering Education Conference, EDUCON</t>
  </si>
  <si>
    <t>10.1109/educon52537.2022.9766485</t>
  </si>
  <si>
    <t>U11253_Cont_2022.pdf</t>
  </si>
  <si>
    <t>U11260</t>
  </si>
  <si>
    <t>Chatbot-Delivered Cognitive Behavioral Therapy in Adolescents With Depression and Anxiety During the COVID-19 Pandemic: Feasibility and Acceptability Study</t>
  </si>
  <si>
    <t>Nicol</t>
  </si>
  <si>
    <t>10.2196/40242</t>
  </si>
  <si>
    <t>U11260_Nicol_2022.pdf</t>
  </si>
  <si>
    <t>U11262</t>
  </si>
  <si>
    <t>Chatbots to Support Young Adults' Mental Health: An Exploratory Study of Acceptability</t>
  </si>
  <si>
    <t>Koulouri</t>
  </si>
  <si>
    <t>10.1145/3485874</t>
  </si>
  <si>
    <t>U11262_Koulouri_2022.pdf</t>
  </si>
  <si>
    <t>U11267</t>
  </si>
  <si>
    <t>Computerized Relational Agent to Deliver Alcohol Brief Intervention and Referral to Treatment in Primary Care: a Randomized Clinical Trial</t>
  </si>
  <si>
    <t>Rubin</t>
  </si>
  <si>
    <t>Journal of General Internal Medicine</t>
  </si>
  <si>
    <t>10.1007/s11606-021-06945-9</t>
  </si>
  <si>
    <t>U11267_Rubin_2022.pdf</t>
  </si>
  <si>
    <t>U11272</t>
  </si>
  <si>
    <t>Conversational Agents to Support Couple Therapy</t>
  </si>
  <si>
    <t>Yuksel</t>
  </si>
  <si>
    <t>10.1145/3572921.3572922</t>
  </si>
  <si>
    <t>U11272_Yuksel_2022.pdf</t>
  </si>
  <si>
    <t>U11277</t>
  </si>
  <si>
    <t>COVID-19 Lockdown in India: An Experimental Study on Promoting Mental Wellness Using a Chatbot during the Coronavirus</t>
  </si>
  <si>
    <t>Harshini Raji</t>
  </si>
  <si>
    <t>International Journal of Mental Health Promotion</t>
  </si>
  <si>
    <t>10.32604/ijmhp.2022.011865</t>
  </si>
  <si>
    <t>U11277_Harshini-Raji_2022.pdf</t>
  </si>
  <si>
    <t>U11280</t>
  </si>
  <si>
    <t>DARA: Development of a Chatbot Support System for an Anxiety Reduction Digital Intervention</t>
  </si>
  <si>
    <t>Schwartz</t>
  </si>
  <si>
    <t>2022 Systems and Information Engineering Design Symposium, SIEDS 2022</t>
  </si>
  <si>
    <t>10.1109/sieds55548.2022.9799419</t>
  </si>
  <si>
    <t>U11280_Schwartz_2022.pdf</t>
  </si>
  <si>
    <t>U11282</t>
  </si>
  <si>
    <t>Deep Learning Based Chatbot Framework for Mental Health Therapy</t>
  </si>
  <si>
    <t>Bhagchandani</t>
  </si>
  <si>
    <t>10.1007/978-981-16-5689-7_24</t>
  </si>
  <si>
    <t>U11282_Bhagchandani_2022.pdf</t>
  </si>
  <si>
    <t>U11292</t>
  </si>
  <si>
    <t>Design recommendations for chatbots to support people with depression</t>
  </si>
  <si>
    <t>De Souza</t>
  </si>
  <si>
    <t>10.1145/3554364.3559119</t>
  </si>
  <si>
    <t>U11292_De-Souza_2022.pdf</t>
  </si>
  <si>
    <t>U11297</t>
  </si>
  <si>
    <t>Designing and Evaluating a Chatbot for Survivors of Image-Based Sexual Abuse</t>
  </si>
  <si>
    <t>Maeng</t>
  </si>
  <si>
    <t>10.1145/3491102.3517629</t>
  </si>
  <si>
    <t>U11297_Maeng_2022.pdf</t>
  </si>
  <si>
    <t>U11300</t>
  </si>
  <si>
    <t>Designing Mindfulness Conversational Agents for People With Early-Stage Dementia and Their Caregivers: Thematic Analysis of Expert and User Perspectives</t>
  </si>
  <si>
    <t>Seah</t>
  </si>
  <si>
    <t>JMIR AGING</t>
  </si>
  <si>
    <t>10.2196/40360</t>
  </si>
  <si>
    <t>U11300_Seah_2022.pdf</t>
  </si>
  <si>
    <t>U11302</t>
  </si>
  <si>
    <t>Designing Personality-Adaptive Conversational Agents for Mental Health Care</t>
  </si>
  <si>
    <t>10.1007/s10796-022-10254-9</t>
  </si>
  <si>
    <t>U11302_Ahmad_2022.pdf</t>
  </si>
  <si>
    <t>U11303</t>
  </si>
  <si>
    <t>Designing, Developing, Evaluating, and Implementing a Smartphone-Delivered, Rule-Based Conversational Agent (DISCOVER): Development of a Conceptual Framework</t>
  </si>
  <si>
    <t>Dhinagaran</t>
  </si>
  <si>
    <t>10.2196/38740</t>
  </si>
  <si>
    <t>U11303_Dhinagaran_2022.pdf</t>
  </si>
  <si>
    <t>U11307</t>
  </si>
  <si>
    <t>Development and usability testing of a chatbot to promote mental health services use among individuals with eating disorders following screening</t>
  </si>
  <si>
    <t>10.1002/eat.23798</t>
  </si>
  <si>
    <t>U11307_Shah_2022.pdf</t>
  </si>
  <si>
    <t>U11309</t>
  </si>
  <si>
    <t>Development of an Empathy-Centric Counseling Chatbot System Capable of Sentimental Dialogue Analysis</t>
  </si>
  <si>
    <t>Trappey</t>
  </si>
  <si>
    <t>Processes</t>
  </si>
  <si>
    <t>10.3390/pr10050930</t>
  </si>
  <si>
    <t>U11309_Trappey_2022.pdf</t>
  </si>
  <si>
    <t>U11317</t>
  </si>
  <si>
    <t>Dost-Mental Health Assistant Chatbot</t>
  </si>
  <si>
    <t>Nayar</t>
  </si>
  <si>
    <t>10.1109/icast55766.2022.10039576</t>
  </si>
  <si>
    <t>U11317_Nayar_2022.pdf</t>
  </si>
  <si>
    <t>U11327</t>
  </si>
  <si>
    <t>Efficacy of a Smartphone-Based Virtual Companion to Treat Insomniac Complaints in the General Population: Sleep Diary Monitoring Versus an Internet Autonomous Intervention</t>
  </si>
  <si>
    <t>Philip</t>
  </si>
  <si>
    <t>Journal of Clinical Medicine</t>
  </si>
  <si>
    <t>10.3390/jcm11154387</t>
  </si>
  <si>
    <t>U11327_Philip_2022.pdf</t>
  </si>
  <si>
    <t>U11331</t>
  </si>
  <si>
    <t>Empathic Chatbot: Emotional Astuteness for Mental Health Well-Being</t>
  </si>
  <si>
    <t>Gundavarapu</t>
  </si>
  <si>
    <t>10.1007/978-981-19-2719-5_65</t>
  </si>
  <si>
    <t>U11331_Gundavarapu_2022.pdf</t>
  </si>
  <si>
    <t>U11336</t>
  </si>
  <si>
    <t>Enhancing Psychological Resilience with Chatbot-Based Cognitive Behavior Therapy: A Randomized Control Pilot Study</t>
  </si>
  <si>
    <t>10.1145/3565698.3565787</t>
  </si>
  <si>
    <t>U11336_Liu_2022.pdf</t>
  </si>
  <si>
    <t>U11341</t>
  </si>
  <si>
    <t>Evaluating the Therapeutic Alliance With a Free-Text CBT Conversational Agent (Wysa): A Mixed-Methods Study</t>
  </si>
  <si>
    <t>Beatty</t>
  </si>
  <si>
    <t>10.3389/fdgth.2022.847991</t>
  </si>
  <si>
    <t>U11341_Beatty_2022.pdf</t>
  </si>
  <si>
    <t>U11343</t>
  </si>
  <si>
    <t>Evaluation of chatbot-delivered interventions for self-management of depression: Content analysis</t>
  </si>
  <si>
    <t>Martinengo</t>
  </si>
  <si>
    <t>10.1016/j.jad.2022.09.028</t>
  </si>
  <si>
    <t>U11343_Martinengo_2022.pdf</t>
  </si>
  <si>
    <t>U11363</t>
  </si>
  <si>
    <t>HEAL: A Knowledge Graph for Distress Management Conversations</t>
  </si>
  <si>
    <t>Proceedings of the 36th AAAI Conference on Artificial Intelligence, AAAI 2022</t>
  </si>
  <si>
    <t>10.1609/aaai.v36i10.21398</t>
  </si>
  <si>
    <t>U11363_Welivita_2022.pdf</t>
  </si>
  <si>
    <t>U11373</t>
  </si>
  <si>
    <t>Human-Therapeutic Chatbot Interaction Analysis, on the Example of Fido</t>
  </si>
  <si>
    <t>10.1007/978-3-031-06394-7_53</t>
  </si>
  <si>
    <t>U11373_Karkosz_2022.pdf</t>
  </si>
  <si>
    <t>U11384</t>
  </si>
  <si>
    <t>Inferring Stressors from Conversation: Towards an Emotional Support Robot Companion</t>
  </si>
  <si>
    <t>International Journal of Social Robotics</t>
  </si>
  <si>
    <t>10.1007/s12369-022-00902-0</t>
  </si>
  <si>
    <t>U11384_Huang_2022.pdf</t>
  </si>
  <si>
    <t>U11386</t>
  </si>
  <si>
    <t>Investigating the use of speech-based conversational agents for life coaching</t>
  </si>
  <si>
    <t>Aymerich-Franch</t>
  </si>
  <si>
    <t>10.1016/j.ijhcs.2021.102745</t>
  </si>
  <si>
    <t>U11386_Aymerich-Franch_2022.pdf</t>
  </si>
  <si>
    <t>U11387</t>
  </si>
  <si>
    <t>Investigating the Usability of Voice Assistant-Based CBT for Age-Related Depression</t>
  </si>
  <si>
    <t>10.1007/978-3-031-08648-9_50</t>
  </si>
  <si>
    <t>U11387_Striegl_2022.pdf</t>
  </si>
  <si>
    <t>U11393</t>
  </si>
  <si>
    <t>ITCareerBot: A Personalized Career Counselling Chatbot</t>
  </si>
  <si>
    <t>Nguyen</t>
  </si>
  <si>
    <t>10.1007/978-981-19-8234-7_33</t>
  </si>
  <si>
    <t>U11393_Nguyen_2022.pdf</t>
  </si>
  <si>
    <t>U11404</t>
  </si>
  <si>
    <t>Measuring the Effect of Mental Health Chatbot Personality on User Engagement</t>
  </si>
  <si>
    <t>10.1145/3568444.3568464</t>
  </si>
  <si>
    <t>U11404_Moilanen_2022.pdf</t>
  </si>
  <si>
    <t>U11407</t>
  </si>
  <si>
    <t>Mental Health Chatbot for Young Adults With Depressive Symptoms During the COVID-19 Pandemic: Single-Blind, Three-Arm Randomized Controlled Trial</t>
  </si>
  <si>
    <t>10.2196/40719</t>
  </si>
  <si>
    <t>U11407_He_2022.pdf</t>
  </si>
  <si>
    <t>U11411</t>
  </si>
  <si>
    <t>Mental healthcare chatbot based on natural language processing and deep learning approaches: Ted the therapist</t>
  </si>
  <si>
    <t>International Journal of Information Technology (Singapore)</t>
  </si>
  <si>
    <t>10.1007/s41870-022-00999-6</t>
  </si>
  <si>
    <t>U11411_Pandey_2022.pdf</t>
  </si>
  <si>
    <t>U11420</t>
  </si>
  <si>
    <t>MOODY: A Natural Language Processing-Based Chatbot for Mental Health Care</t>
  </si>
  <si>
    <t>Thakur</t>
  </si>
  <si>
    <t>10.1007/978-981-19-4364-5_64</t>
  </si>
  <si>
    <t>U11420_Thakur_2022.pdf</t>
  </si>
  <si>
    <t>U11432</t>
  </si>
  <si>
    <t>Online Psychological Counseling Chatbot for Seniors</t>
  </si>
  <si>
    <t>10.1145/3571560.3571583</t>
  </si>
  <si>
    <t>U11432_Kim_2022.pdf</t>
  </si>
  <si>
    <t>U11446</t>
  </si>
  <si>
    <t>A. AlOtaibi</t>
  </si>
  <si>
    <t>2022 International Conference on Advancements in Smart, Secure and Intelligent Computing (ASSIC)</t>
  </si>
  <si>
    <t>10.1109/assic55218.2022.10088307</t>
  </si>
  <si>
    <t>U11446_AlOtaibi_2022.pdf</t>
  </si>
  <si>
    <t>U11456</t>
  </si>
  <si>
    <t>Requirements and Solution Approaches to Personality-Adaptive Conversational Agents in Mental Health Care</t>
  </si>
  <si>
    <t>Siemon</t>
  </si>
  <si>
    <t>Sustainability (Switzerland)</t>
  </si>
  <si>
    <t>10.3390/su14073832</t>
  </si>
  <si>
    <t>U11456_Siemon_2022.pdf</t>
  </si>
  <si>
    <t>U11462</t>
  </si>
  <si>
    <t>Review mining to discover user experience issues in mental health and wellbeing chatbots</t>
  </si>
  <si>
    <t>10.1145/3552327.3552357</t>
  </si>
  <si>
    <t>U11462_Booth_2022.pdf</t>
  </si>
  <si>
    <t>U11485</t>
  </si>
  <si>
    <t>Sustainable Technology for Adolescents and youth to Reduce Stress (STARS): a WHO transdiagnostic chatbot for distressed youth</t>
  </si>
  <si>
    <t>Hall J</t>
  </si>
  <si>
    <t>World Psychiatry</t>
  </si>
  <si>
    <t>10.1002/wps.20947</t>
  </si>
  <si>
    <t>U11485_Hall-J_2022.pdf</t>
  </si>
  <si>
    <t>U11490</t>
  </si>
  <si>
    <t>The Challenges in Designing a Prevention Chatbot for Eating Disorders: Observational Study</t>
  </si>
  <si>
    <t>10.2196/28003</t>
  </si>
  <si>
    <t>U11490_Chan_2022.pdf</t>
  </si>
  <si>
    <t>U11503</t>
  </si>
  <si>
    <t>Thematic Analysis on User Reviews for Depression and Anxiety Chatbot Apps: Machine Learning Approach</t>
  </si>
  <si>
    <t>10.2196/27654</t>
  </si>
  <si>
    <t>U11503_Ahmed_2022.pdf</t>
  </si>
  <si>
    <t>U11505</t>
  </si>
  <si>
    <t>Toward Generating Robot-Robot Natural Counseling Dialogue</t>
  </si>
  <si>
    <t>Hashiguchi</t>
  </si>
  <si>
    <t>10.1587/transinf.2021dap0008</t>
  </si>
  <si>
    <t>U11505_Hashiguchi_2022.pdf</t>
  </si>
  <si>
    <t>U11510</t>
  </si>
  <si>
    <t>Towards a smart pervasive conversational agent for COVID-19 psychological assistance based on NLP</t>
  </si>
  <si>
    <t>2022 International Conference on Technology Innovations for Healthcare, ICTIH 2022 - Proceedings</t>
  </si>
  <si>
    <t>10.1109/ictih57289.2022.10112030</t>
  </si>
  <si>
    <t>U11510_Ouerhani_2022.pdf</t>
  </si>
  <si>
    <t>U11514</t>
  </si>
  <si>
    <t>Towards Motivational and Empathetic Response Generation in Online Mental Health Support</t>
  </si>
  <si>
    <t>SIGIR 2022 - Proceedings of the 45th International ACM SIGIR Conference on Research and Development in Information Retrieval</t>
  </si>
  <si>
    <t>10.1145/3477495.3531912</t>
  </si>
  <si>
    <t>U11514_Saha_2022.pdf</t>
  </si>
  <si>
    <t>U11521</t>
  </si>
  <si>
    <t>Understanding People With Chronic Pain Who Use a Cognitive Behavioral Therapy-Based Artificial Intelligence Mental Health App (Wysa): Mixed Methods Retrospective Observational Study</t>
  </si>
  <si>
    <t>Meheli</t>
  </si>
  <si>
    <t>10.2196/35671</t>
  </si>
  <si>
    <t>U11521_Meheli_2022.pdf</t>
  </si>
  <si>
    <t>U11524</t>
  </si>
  <si>
    <t>Usability testing and trust analysis of a mental health and wellbeing chatbot</t>
  </si>
  <si>
    <t>Boyd</t>
  </si>
  <si>
    <t>10.1145/3552327.3552348</t>
  </si>
  <si>
    <t>U11524_Boyd_2022.pdf</t>
  </si>
  <si>
    <t>U11527</t>
  </si>
  <si>
    <t>User Perception of Wysa as a Mental Well-being Support Tool during the COVID-19 Pandemic</t>
  </si>
  <si>
    <t>Legaspi</t>
  </si>
  <si>
    <t>10.1145/3516492.3559064</t>
  </si>
  <si>
    <t>U11527_Legaspi_2022.pdf</t>
  </si>
  <si>
    <t>U11528</t>
  </si>
  <si>
    <t>Using a conversational agent for thought recording as a cognitive therapy task: Feasibility, content, and feedback</t>
  </si>
  <si>
    <t>Burger</t>
  </si>
  <si>
    <t>10.3389/fdgth.2022.930874</t>
  </si>
  <si>
    <t>U11528_Burger_2022.pdf</t>
  </si>
  <si>
    <t>U11529</t>
  </si>
  <si>
    <t>Using AI chatbots to provide self-help depression interventions for university students: A randomized trial of effectiveness</t>
  </si>
  <si>
    <t>10.1016/j.invent.2022.100495</t>
  </si>
  <si>
    <t>U11529_Liu_2022.pdf</t>
  </si>
  <si>
    <t>U11532</t>
  </si>
  <si>
    <t>Validation of a Thai artificial chatmate designed for cheering up the elderly during the COVID-19 pandemic</t>
  </si>
  <si>
    <t>Deepaisarn</t>
  </si>
  <si>
    <t>F1000Research</t>
  </si>
  <si>
    <t>10.12688/f1000research.127431.3</t>
  </si>
  <si>
    <t>U11532_Deepaisarn_2022.pdf</t>
  </si>
  <si>
    <t>U11540</t>
  </si>
  <si>
    <t>Voice Assistant-Based CBT for Depression in Students: Effects of Empathy-Driven Dialog Management</t>
  </si>
  <si>
    <t>Gotthardt</t>
  </si>
  <si>
    <t>10.1007/978-3-031-08648-9_52</t>
  </si>
  <si>
    <t>U11540_Gotthardt_2022.pdf</t>
  </si>
  <si>
    <t>U11550</t>
  </si>
  <si>
    <t>“I felt her company”: A qualitative study on factors affecting closeness and emotional support seeking with an embodied conversational agent</t>
  </si>
  <si>
    <t>10.1016/j.ijhcs.2021.102771</t>
  </si>
  <si>
    <t>U11550_Loveys_2022.pdf</t>
  </si>
  <si>
    <t>U11551</t>
  </si>
  <si>
    <t>21-day stress detox: Open trial of a universal well-being chatbot for young adults</t>
  </si>
  <si>
    <t>Williams</t>
  </si>
  <si>
    <t>Social Sciences</t>
  </si>
  <si>
    <t>10.3390/socsci10110416</t>
  </si>
  <si>
    <t>U11551_Williams_2021.pdf</t>
  </si>
  <si>
    <t>U11554</t>
  </si>
  <si>
    <t>A chatbot architecture for promoting youth resilience</t>
  </si>
  <si>
    <t>Holt-Quick</t>
  </si>
  <si>
    <t>10.3233/shti210017</t>
  </si>
  <si>
    <t>U11554_Holt-Quick_2021.pdf</t>
  </si>
  <si>
    <t>U11555</t>
  </si>
  <si>
    <t>A chatbot for perinatal women⇔s and partners⇔ obstetric and mental health care: development and usability evaluation study</t>
  </si>
  <si>
    <t>10.2196/18607</t>
  </si>
  <si>
    <t>U11555_Chung_2021.pdf</t>
  </si>
  <si>
    <t>U11556</t>
  </si>
  <si>
    <t>A Chatbot Mobile Quarantine App for Stress Relief</t>
  </si>
  <si>
    <t>Sriram</t>
  </si>
  <si>
    <t>2021 International Conference on System, Computation, Automation and Networking, ICSCAN 2021</t>
  </si>
  <si>
    <t>10.1109/icscan53069.2021.9526399</t>
  </si>
  <si>
    <t>U11556_Sriram_2021.pdf</t>
  </si>
  <si>
    <t>U11558</t>
  </si>
  <si>
    <t>A Chatbot to promote Students Mental Health through Emotion Recognition</t>
  </si>
  <si>
    <t>Dhanasekar</t>
  </si>
  <si>
    <t>Proceedings of the 3rd International Conference on Inventive Research in Computing Applications, ICIRCA 2021</t>
  </si>
  <si>
    <t>10.1109/icirca51532.2021.9544838</t>
  </si>
  <si>
    <t>U11558_Dhanasekar_2021.pdf</t>
  </si>
  <si>
    <t>U11560</t>
  </si>
  <si>
    <t>A conversational artificial intelligence agent for a mental health care app: Evaluation study of its participatory design</t>
  </si>
  <si>
    <t>10.2196/30053</t>
  </si>
  <si>
    <t>U11560_Danieli_2021.pdf</t>
  </si>
  <si>
    <t>U11561</t>
  </si>
  <si>
    <t>A Digital human for delivering a remote loneliness and stress intervention to at-risk younger and older adults during the COVID-19 pandemic: Randomized pilot trial</t>
  </si>
  <si>
    <t>10.2196/31586</t>
  </si>
  <si>
    <t>U11561_Loveys_2021.pdf</t>
  </si>
  <si>
    <t>U11563</t>
  </si>
  <si>
    <t>A Large-Scale Dataset for Motivational Dialogue System: An Application of Natural Language Generation to Mental Health</t>
  </si>
  <si>
    <t>10.1109/ijcnn52387.2021.9533924</t>
  </si>
  <si>
    <t>U11563_Saha_2021.pdf</t>
  </si>
  <si>
    <t>U11564</t>
  </si>
  <si>
    <t>A Mental Health Chatbot for Regulating Emotions (SERMO) - Concept and Usability Test</t>
  </si>
  <si>
    <t>Denecke</t>
  </si>
  <si>
    <t>IEEE Transactions on Emerging Topics in Computing</t>
  </si>
  <si>
    <t>10.1109/tetc.2020.2974478</t>
  </si>
  <si>
    <t>U11564_Denecke_2021.pdf</t>
  </si>
  <si>
    <t>U11566</t>
  </si>
  <si>
    <t>A Proposal for Virtual Mental Health Assistant</t>
  </si>
  <si>
    <t>Iyer</t>
  </si>
  <si>
    <t>2021 7th International Conference on Advanced Computing and Communication Systems, ICACCS 2021</t>
  </si>
  <si>
    <t>10.1109/icaccs51430.2021.9441990</t>
  </si>
  <si>
    <t>U11566_Iyer_2021.pdf</t>
  </si>
  <si>
    <t>U11567</t>
  </si>
  <si>
    <t>A randomized controlled trial of a therapeutic relational agent for reducing substance misuse during the COVID-19 pandemic</t>
  </si>
  <si>
    <t>Prochaska</t>
  </si>
  <si>
    <t>10.1016/j.drugalcdep.2021.108986</t>
  </si>
  <si>
    <t>U11567_Prochaska_2021.pdf</t>
  </si>
  <si>
    <t>U11570</t>
  </si>
  <si>
    <t>A Robot That Encourages Self-Disclosure to Reduce Anger Mood</t>
  </si>
  <si>
    <t>T. Akiyoshi</t>
  </si>
  <si>
    <t>IEEE Robotics and Automation Letters</t>
  </si>
  <si>
    <t>10.1109/lra.2021.3102326</t>
  </si>
  <si>
    <t>U11570_Akiyoshi_2021.pdf</t>
  </si>
  <si>
    <t>U11572</t>
  </si>
  <si>
    <t>A suite of mobile conversational agents for daily stress management (popbots): Mixed methods exploratory study</t>
  </si>
  <si>
    <t>Mauriello</t>
  </si>
  <si>
    <t>10.2196/25294</t>
  </si>
  <si>
    <t>U11572_Mauriello_2021.pdf</t>
  </si>
  <si>
    <t>U11574</t>
  </si>
  <si>
    <t>A test platform for managing school stress using a virtual reality group chatbot counseling system</t>
  </si>
  <si>
    <t>10.3390/app11199071</t>
  </si>
  <si>
    <t>U11574_Lin_2021.pdf</t>
  </si>
  <si>
    <t>U11575</t>
  </si>
  <si>
    <t>A Therapeutic Dialogue Agent for Polish Language</t>
  </si>
  <si>
    <t>Zygadlo</t>
  </si>
  <si>
    <t>2021 9th International Conference on Affective Computing and Intelligent Interaction Workshops and Demos, ACIIW 2021</t>
  </si>
  <si>
    <t>10.1109/aciiw52867.2021.9666281</t>
  </si>
  <si>
    <t>U11575_Zygadlo_2021.pdf</t>
  </si>
  <si>
    <t>U11576</t>
  </si>
  <si>
    <t>A therapeutic relational agent for reducing problematic substance use (Woebot): Development and usability study</t>
  </si>
  <si>
    <t>10.2196/24850</t>
  </si>
  <si>
    <t>U11576_Prochaska_2021.pdf</t>
  </si>
  <si>
    <t>U11588</t>
  </si>
  <si>
    <t>An Empathetic AI Coach for Self-Attachment Therapy</t>
  </si>
  <si>
    <t>Alazraki</t>
  </si>
  <si>
    <t>Proceedings - 2021 IEEE 3rd International Conference on Cognitive Machine Intelligence, CogMI 2021</t>
  </si>
  <si>
    <t>10.1109/cogmi52975.2021.00019</t>
  </si>
  <si>
    <t>U11588_Alazraki_2021.pdf</t>
  </si>
  <si>
    <t>U11591</t>
  </si>
  <si>
    <t>An Initial Assessment of a Chatbot for Rumination-Focused Cognitive Behavioral Therapy (RFCBT) in College Students</t>
  </si>
  <si>
    <t>Oliveira</t>
  </si>
  <si>
    <t>10.1007/978-3-030-86979-3_39</t>
  </si>
  <si>
    <t>U11591_Oliveira_2021.pdf</t>
  </si>
  <si>
    <t>U11597</t>
  </si>
  <si>
    <t>Artificial intelligence⇓based chatbot for anxiety and depression in university students: Pilot randomized controlled trial</t>
  </si>
  <si>
    <t>Klos</t>
  </si>
  <si>
    <t>10.2196/20678</t>
  </si>
  <si>
    <t>U11597_Klos_2021.pdf</t>
  </si>
  <si>
    <t>U11601</t>
  </si>
  <si>
    <t>Attentive Goal-based Dialogue System for ADHD Behavior Treatment</t>
  </si>
  <si>
    <t>Liguo Zhang</t>
  </si>
  <si>
    <t>Proceedings of the 2020 4th International Conference on Computer Science and Artificial Intelligence</t>
  </si>
  <si>
    <t>10.1145/3445815.3445816</t>
  </si>
  <si>
    <t>U11601_Zhang_2021.pdf</t>
  </si>
  <si>
    <t>U11608</t>
  </si>
  <si>
    <t>Bonding With Bot: User Feedback on a Chatbot for Social Isolation</t>
  </si>
  <si>
    <t>10.3389/fdgth.2021.735053</t>
  </si>
  <si>
    <t>U11608_Dosovitsky_2021.pdf</t>
  </si>
  <si>
    <t>U11609</t>
  </si>
  <si>
    <t>Can a monologue-style ECA more effectively motivate eHealth users in initial distress than textual guidance?</t>
  </si>
  <si>
    <t>Scholten</t>
  </si>
  <si>
    <t>Heliyon</t>
  </si>
  <si>
    <t>10.1016/j.heliyon.2021.e06509</t>
  </si>
  <si>
    <t>U11609_Scholten_2021.pdf</t>
  </si>
  <si>
    <t>U11614</t>
  </si>
  <si>
    <t>CareBot: A mental health chatbot</t>
  </si>
  <si>
    <t>Crasto</t>
  </si>
  <si>
    <t>2021 2nd International Conference for Emerging Technology, INCET 2021</t>
  </si>
  <si>
    <t>10.1109/incet51464.2021.9456326</t>
  </si>
  <si>
    <t>U11614_Crasto_2021.pdf</t>
  </si>
  <si>
    <t>U11615</t>
  </si>
  <si>
    <t>Career Counseling Chatbot on Facebook Messenger using AI</t>
  </si>
  <si>
    <t>10.1145/3484824.3484875</t>
  </si>
  <si>
    <t>U11615_Suresh_2021.pdf</t>
  </si>
  <si>
    <t>U11617</t>
  </si>
  <si>
    <t>CASS: Towards Building a Social-Support Chatbot for Online Health Community</t>
  </si>
  <si>
    <t>10.1145/3449083</t>
  </si>
  <si>
    <t>U11617_Wang_2021.pdf</t>
  </si>
  <si>
    <t>U11620</t>
  </si>
  <si>
    <t>Charlie: A chatbot to improve the elderly quality of life and to make them more active to fight their sense of loneliness</t>
  </si>
  <si>
    <t>Valtolina</t>
  </si>
  <si>
    <t>10.1145/3464385.3464726</t>
  </si>
  <si>
    <t>U11620_Valtolina_2021.pdf</t>
  </si>
  <si>
    <t>U11621</t>
  </si>
  <si>
    <t>Chat Bot Concept for a Social Pain Reliever</t>
  </si>
  <si>
    <t>Wunderlich</t>
  </si>
  <si>
    <t>International Conference on Electrical, Computer, and Energy Technologies, ICECET 2021</t>
  </si>
  <si>
    <t>10.1109/icecet52533.2021.9698554</t>
  </si>
  <si>
    <t>U11621_Wunderlich_2021.pdf</t>
  </si>
  <si>
    <t>U11629</t>
  </si>
  <si>
    <t>Chatbots to Support Mental Wellbeing of People Living in Rural Areas: Can User Groups Contribute to Co-design?</t>
  </si>
  <si>
    <t>10.1007/s41347-021-00222-6</t>
  </si>
  <si>
    <t>U11629_Potts_2021.pdf</t>
  </si>
  <si>
    <t>U11634</t>
  </si>
  <si>
    <t>Co-creating Requirements and Assessing End-User Acceptability of a Voice-Based Chatbot to Support Mental Health: A Thematic Analysis of a Living Lab Workshop</t>
  </si>
  <si>
    <t>Benítez-Guijarro</t>
  </si>
  <si>
    <t>10.1007/978-981-15-8395-7_15</t>
  </si>
  <si>
    <t>U11634_Benitez-Guijarro_2021.pdf</t>
  </si>
  <si>
    <t>U11635</t>
  </si>
  <si>
    <t>Co-developing a Mental Health and Wellbeing Chatbot With and for Young People</t>
  </si>
  <si>
    <t>Grové</t>
  </si>
  <si>
    <t>10.3389/fpsyt.2020.606041</t>
  </si>
  <si>
    <t>U11635_Grove_2021.pdf</t>
  </si>
  <si>
    <t>U11636</t>
  </si>
  <si>
    <t>Combined Use of Virtual Reality and a Chatbot Reduces Emotional Stress More Than Using Them Separately</t>
  </si>
  <si>
    <t>Journal of Universal Computer Science</t>
  </si>
  <si>
    <t>10.3897/jucs.77237</t>
  </si>
  <si>
    <t>U11636_Matsumoto_2021.pdf</t>
  </si>
  <si>
    <t>U11658</t>
  </si>
  <si>
    <t>Design of a Chatbot for People under Distress using Transformer Model.</t>
  </si>
  <si>
    <t>Konapur</t>
  </si>
  <si>
    <t>2021 2nd Global Conference for Advancement in Technology, GCAT 2021</t>
  </si>
  <si>
    <t>10.1109/gcat52182.2021.9587796</t>
  </si>
  <si>
    <t>U11658_Konapur_2021.pdf</t>
  </si>
  <si>
    <t>U11659</t>
  </si>
  <si>
    <t>Designing a Chatbot System for Recommending College Students to Counseling and Collecting Dialogue Data</t>
  </si>
  <si>
    <t>Yasuda</t>
  </si>
  <si>
    <t>HAI 2021 - Proceedings of the 9th International User Modeling, Adaptation and Personalization Human-Agent Interaction</t>
  </si>
  <si>
    <t>10.1145/3472307.3484655</t>
  </si>
  <si>
    <t>U11659_Yasuda_2021.pdf</t>
  </si>
  <si>
    <t>U11660</t>
  </si>
  <si>
    <t>Designing a conversational agent for sexual assault survivors: Defining burden of self-disclosure and envisioning survivor-centered solutions</t>
  </si>
  <si>
    <t>10.1145/3411764.3445133</t>
  </si>
  <si>
    <t>U11660_Park_2021.pdf</t>
  </si>
  <si>
    <t>U11663</t>
  </si>
  <si>
    <t>Designing the Empathetic Research IoT Network (ERIN) Chatbot for Mental Health Resources</t>
  </si>
  <si>
    <t>Persons</t>
  </si>
  <si>
    <t>10.1007/978-3-030-77750-0_41</t>
  </si>
  <si>
    <t>U11663_Persons_2021.pdf</t>
  </si>
  <si>
    <t>U11665</t>
  </si>
  <si>
    <t>Development of a Dialogue System that Supports Recovery for Patients with Schizophrenia</t>
  </si>
  <si>
    <t>Oshiyama</t>
  </si>
  <si>
    <t>10.1007/978-981-15-8395-7_16</t>
  </si>
  <si>
    <t>U11665_Oshiyama_2021.pdf</t>
  </si>
  <si>
    <t>U11666</t>
  </si>
  <si>
    <t>Development of a positive body image chatbot (KIT) with young people and parents/carers: Qualitative focus group study</t>
  </si>
  <si>
    <t>Beilharz</t>
  </si>
  <si>
    <t>10.2196/27807</t>
  </si>
  <si>
    <t>U11666_Beilharz_2021.pdf</t>
  </si>
  <si>
    <t>U11668</t>
  </si>
  <si>
    <t>Development of Chatbot Psychologist Applying Natural Language Understanding Techniques</t>
  </si>
  <si>
    <t>Narynov</t>
  </si>
  <si>
    <t>International Conference on Control, Automation and Systems</t>
  </si>
  <si>
    <t>10.23919/iccas52745.2021.9649825</t>
  </si>
  <si>
    <t>U11668_Narynov_2021.pdf</t>
  </si>
  <si>
    <t>U11673</t>
  </si>
  <si>
    <t>Development, feasibility, acceptability, and utility of an expressive speech-enabled digital health agent to deliver online, brief motivational interviewing for alcohol misuse: Descriptive study</t>
  </si>
  <si>
    <t>Boustani</t>
  </si>
  <si>
    <t>10.2196/25837</t>
  </si>
  <si>
    <t>U11673_Boustani_2021.pdf</t>
  </si>
  <si>
    <t>U11677</t>
  </si>
  <si>
    <t>Do you mind if i ask?: Addressing the cold start problem in personalised relational agent conversation</t>
  </si>
  <si>
    <t>Ranjbartabar</t>
  </si>
  <si>
    <t>Proceedings of the 21st ACM International Conference on Intelligent Virtual Agents, IVA 2021</t>
  </si>
  <si>
    <t>10.1145/3472306.3478357</t>
  </si>
  <si>
    <t>U11677_Ranjbartabar_2021.pdf</t>
  </si>
  <si>
    <t>U11679</t>
  </si>
  <si>
    <t>E-Friend: A Logical-Based AI Agent System Chat-Bot for Emotional Well-Being and Mental Health</t>
  </si>
  <si>
    <t>Galindo</t>
  </si>
  <si>
    <t>10.1007/978-3-030-91779-1_7</t>
  </si>
  <si>
    <t>U11679_Galindo_2021.pdf</t>
  </si>
  <si>
    <t>U11687</t>
  </si>
  <si>
    <t>Effects of Virtual Humans' Gender and Spoken Accent on Users' Perceptions of Expertise in Mental Wellness Conversations</t>
  </si>
  <si>
    <t>10.1145/3472306.3478367</t>
  </si>
  <si>
    <t>U11687_Feijoo-Garcia_2021.pdf</t>
  </si>
  <si>
    <t>U11693</t>
  </si>
  <si>
    <t>Emotion Guru: A Smart Emotion Tracking Application with AI Conversational Agent for Exploring and Preventing Depression</t>
  </si>
  <si>
    <t>Van Cuylenburg</t>
  </si>
  <si>
    <t>2021 6th International Conference on UK-China Emerging Technologies, UCET 2021</t>
  </si>
  <si>
    <t>10.1109/ucet54125.2021.9674993</t>
  </si>
  <si>
    <t>U11693_Van-Cuylenburg_2021.pdf</t>
  </si>
  <si>
    <t>U11695</t>
  </si>
  <si>
    <t>Emotional reactions and likelihood of response to questions designed for a mental health chatbot among adolescents: Experimental study</t>
  </si>
  <si>
    <t>Mariamo</t>
  </si>
  <si>
    <t>10.2196/24343</t>
  </si>
  <si>
    <t>U11695_Mariamo_2021.pdf</t>
  </si>
  <si>
    <t>U11696</t>
  </si>
  <si>
    <t>Emotional Support from AI Chatbots: Should a Supportive Partner Self-Disclose or Not?</t>
  </si>
  <si>
    <t>Journal of Computer-Mediated Communication</t>
  </si>
  <si>
    <t>10.1093/jcmc/zmab005</t>
  </si>
  <si>
    <t>U11696_Meng_2021.pdf</t>
  </si>
  <si>
    <t>U11699</t>
  </si>
  <si>
    <t>Engagement and effectiveness of a healthy-coping intervention via chatbot for university students during the COVID-19 pandemic: Mixed methods proof-of-concept study</t>
  </si>
  <si>
    <t>Gabrielli</t>
  </si>
  <si>
    <t>10.2196/27965</t>
  </si>
  <si>
    <t>U11699_Gabrielli_2021.pdf</t>
  </si>
  <si>
    <t>U11703</t>
  </si>
  <si>
    <t>Establishing a Dialog Agent Policy using Deep Reinforcement Learning in the Psychotherapy Domain</t>
  </si>
  <si>
    <t>10.1145/3437378.3437395</t>
  </si>
  <si>
    <t>U11703_Holt-Quick_2021.pdf</t>
  </si>
  <si>
    <t>U11708</t>
  </si>
  <si>
    <t>Evidence of human-level bonds established with a digital conversational agent: Cross-sectional, retrospective observational study</t>
  </si>
  <si>
    <t>Darcy</t>
  </si>
  <si>
    <t>10.2196/27868</t>
  </si>
  <si>
    <t>U11708_Darcy_2021.pdf</t>
  </si>
  <si>
    <t>U11709</t>
  </si>
  <si>
    <t>Exploring the Effects of Incorporating Human Experts to Deliver Journaling Guidance through a Chatbot</t>
  </si>
  <si>
    <t>Yi-Chieh Lee</t>
  </si>
  <si>
    <t>Proc. ACM Hum.-Comput. Interact.</t>
  </si>
  <si>
    <t>10.1145/3449196</t>
  </si>
  <si>
    <t>U11709_Lee_2021.pdf</t>
  </si>
  <si>
    <t>U11712</t>
  </si>
  <si>
    <t>Feasibility of a Software agent providing a brief Intervention for Self-help to Uplift psychological wellbeing (“SISU”). A single-group pretest-posttest trial investigating the potential of SISU to act as therapeutic agent</t>
  </si>
  <si>
    <t>Bendig</t>
  </si>
  <si>
    <t>10.1016/j.invent.2021.100377</t>
  </si>
  <si>
    <t>U11712_Bendig_2021.pdf</t>
  </si>
  <si>
    <t>U11724</t>
  </si>
  <si>
    <t>I wrote as if i were telling a story to someone i knew.: Designing Chatbot Interactions for ExpressiveWriting in Mental Health</t>
  </si>
  <si>
    <t>DIS 2021 - Proceedings of the 2021 ACM Designing Interactive Systems Conference: Nowhere and Everywhere</t>
  </si>
  <si>
    <t>10.1145/3461778.3462143</t>
  </si>
  <si>
    <t>U11724_Park_2021.pdf</t>
  </si>
  <si>
    <t>U11731</t>
  </si>
  <si>
    <t>Insights and lessons learned from trialling a mental health chatbot in the wild</t>
  </si>
  <si>
    <t>Proceedings - IEEE Symposium on Computers and Communications</t>
  </si>
  <si>
    <t>10.1109/iscc53001.2021.9631395</t>
  </si>
  <si>
    <t>U11731_Potts_2021.pdf</t>
  </si>
  <si>
    <t>U11732</t>
  </si>
  <si>
    <t>Integrating a Voice User Interface into a Virtual Therapy Platform</t>
  </si>
  <si>
    <t>10.1145/3411763.3451595</t>
  </si>
  <si>
    <t>U11732_Liu_2021.pdf</t>
  </si>
  <si>
    <t>U11733</t>
  </si>
  <si>
    <t>Intelligent chatbot for prediction and management of stress</t>
  </si>
  <si>
    <t>Proceedings of the Confluence 2021: 11th International Conference on Cloud Computing, Data Science and Engineering</t>
  </si>
  <si>
    <t>10.1109/confluence51648.2021.9377091</t>
  </si>
  <si>
    <t>U11733_Sharma_2021.pdf</t>
  </si>
  <si>
    <t>U11745</t>
  </si>
  <si>
    <t>LINE-based Virtual Friend Development for Borderline Personality Disorder</t>
  </si>
  <si>
    <t>Oey</t>
  </si>
  <si>
    <t>2021 International Conference on Computer Science, Information Technology, and Electrical Engineering, ICOMITEE 2021</t>
  </si>
  <si>
    <t>10.1109/icomitee53461.2021.9650080</t>
  </si>
  <si>
    <t>U11745_Oey_2021.pdf</t>
  </si>
  <si>
    <t>U11750</t>
  </si>
  <si>
    <t>Mental Healthcare Chatbot Using Sequence-to-Sequence Learning and BiLSTM</t>
  </si>
  <si>
    <t>10.1007/978-3-030-86993-9_34</t>
  </si>
  <si>
    <t>U11750_Rakib_2021.pdf</t>
  </si>
  <si>
    <t>U11751</t>
  </si>
  <si>
    <t>Mind Relaxation Chatbot for University Students by Using Dense Neural Network</t>
  </si>
  <si>
    <t>Bopage</t>
  </si>
  <si>
    <t>5th SLAAI - International Conference on Artificial Intelligence and 17th Annual Sessions, SLAAI-ICAI 2021</t>
  </si>
  <si>
    <t>10.1109/slaai-icai54477.2021.9664678</t>
  </si>
  <si>
    <t>U11751_Bopage_2021.pdf</t>
  </si>
  <si>
    <t>U11752</t>
  </si>
  <si>
    <t>Mobile app-based chatbot to deliver cognitive behavioral therapy and psychoeducation for adults with attention deficit: A development and feasibility/usability study</t>
  </si>
  <si>
    <t>International Journal of Medical Informatics</t>
  </si>
  <si>
    <t>10.1016/j.ijmedinf.2021.104440</t>
  </si>
  <si>
    <t>U11752_Jang_2021.pdf</t>
  </si>
  <si>
    <t>U11776</t>
  </si>
  <si>
    <t>PRERONA: Mental Health Bengali Chatbot for Digital Counselling</t>
  </si>
  <si>
    <t>Hussna</t>
  </si>
  <si>
    <t>10.1007/978-3-030-68449-5_28</t>
  </si>
  <si>
    <t>U11776_Hussna_2021.pdf</t>
  </si>
  <si>
    <t>U11780</t>
  </si>
  <si>
    <t>PTSDialogue: Designing a Conversational Agent to Support Individuals with Post-Traumatic Stress Disorder</t>
  </si>
  <si>
    <t>UbiComp/ISWC 2021 - Adjunct Proceedings of the 2021 ACM International Joint Conference on Pervasive and Ubiquitous Computing and Proceedings of the 2021 ACM International Symposium on Wearable Computers</t>
  </si>
  <si>
    <t>10.1145/3460418.3479332</t>
  </si>
  <si>
    <t>U11780_Han_2021.pdf</t>
  </si>
  <si>
    <t>U11782</t>
  </si>
  <si>
    <t>RAAH.ai: An interactive chatbot for stress relief using Deep Learning and Natural Language Processing</t>
  </si>
  <si>
    <t>Kankaria</t>
  </si>
  <si>
    <t>2021 12th International Conference on Computing Communication and Networking Technologies, ICCCNT 2021</t>
  </si>
  <si>
    <t>10.1109/icccnt51525.2021.9579957</t>
  </si>
  <si>
    <t>U11782_Kankaria_2021.pdf</t>
  </si>
  <si>
    <t>U11786</t>
  </si>
  <si>
    <t>Relationship between Mood Improvement and Questioning to Evaluate Automatic Thoughts in Cognitive Restructuring with a Virtual Agent</t>
  </si>
  <si>
    <t>10.1109/aciiw52867.2021.9666312</t>
  </si>
  <si>
    <t>U11786_Shidara_2021.pdf</t>
  </si>
  <si>
    <t>U11787</t>
  </si>
  <si>
    <t>Response Selection for a Virtual Counsellor</t>
  </si>
  <si>
    <t>The Web Conference 2021 - Companion of the World Wide Web Conference, WWW 2021</t>
  </si>
  <si>
    <t>10.1145/3442442.3452312</t>
  </si>
  <si>
    <t>U11787_Lee_2021.pdf</t>
  </si>
  <si>
    <t>U11788</t>
  </si>
  <si>
    <t>Restatement and Question Generation for Counsellor Chatbot</t>
  </si>
  <si>
    <t>Proceedings of the 1st Workshop on NLP for Positive Impact</t>
  </si>
  <si>
    <t>10.18653/v1/2021.nlp4posimpact-1.1</t>
  </si>
  <si>
    <t>U11788_Lee_2021.pdf</t>
  </si>
  <si>
    <t>U11806</t>
  </si>
  <si>
    <t>Speech Emotion Recognition and Sentiment Analysis based Therapist Bot</t>
  </si>
  <si>
    <t>Bhangdia</t>
  </si>
  <si>
    <t>10.1109/icirca51532.2021.9544671</t>
  </si>
  <si>
    <t>U11806_Bhangdia_2021.pdf</t>
  </si>
  <si>
    <t>U11813</t>
  </si>
  <si>
    <t>Tell Me About Your Day: Designing a Conversational Agent for Time and Stress Management</t>
  </si>
  <si>
    <t>Ferland</t>
  </si>
  <si>
    <t>Studies in Computational Intelligence</t>
  </si>
  <si>
    <t>10.1007/978-3-030-53352-6_28</t>
  </si>
  <si>
    <t>U11813_Ferland_2021.pdf</t>
  </si>
  <si>
    <t>U11832</t>
  </si>
  <si>
    <t>Towards developing a pocket therapist: An intelligent adaptive psychological support chatbot against mental health disorders in a pandemic situation</t>
  </si>
  <si>
    <t>Salhi</t>
  </si>
  <si>
    <t>10.11591/ijeecs.v23.i2.pp1200-1211</t>
  </si>
  <si>
    <t>U11832_Salhi_2021.pdf</t>
  </si>
  <si>
    <t>U11833</t>
  </si>
  <si>
    <t>Towards emotional support dialog systems</t>
  </si>
  <si>
    <t>ACL-IJCNLP 2021 - 59th Annual Meeting of the Association for Computational Linguistics and the 11th International Joint Conference on Natural Language Processing, Proceedings of the Conference</t>
  </si>
  <si>
    <t>10.18653/v1/2021.acl-long.269</t>
  </si>
  <si>
    <t>U11833_Liu_2021.pdf</t>
  </si>
  <si>
    <t>U11834</t>
  </si>
  <si>
    <t>Towards generating topic-driven and affective responses to assist mental wellness</t>
  </si>
  <si>
    <t>Agnihotri</t>
  </si>
  <si>
    <t>10.1007/978-3-030-68790-8_11</t>
  </si>
  <si>
    <t>U11834_Agnihotri_2021.pdf</t>
  </si>
  <si>
    <t>U11835</t>
  </si>
  <si>
    <t>Towards the Development of a Trustworthy Chatbot for Mental Health Applications</t>
  </si>
  <si>
    <t>Kraus</t>
  </si>
  <si>
    <t>10.1007/978-3-030-67835-7_30</t>
  </si>
  <si>
    <t>U11835_Kraus_2021.pdf</t>
  </si>
  <si>
    <t>U11850</t>
  </si>
  <si>
    <t>Virtual Assistant to Suicide Prevention in Individuals with Borderline Personality Disorder</t>
  </si>
  <si>
    <t>Wibhowo</t>
  </si>
  <si>
    <t>Proceedings - International Conference on Computer and Information Sciences: Sustaining Tomorrow with Digital Innovation, ICCOINS 2021</t>
  </si>
  <si>
    <t>10.1109/iccoins49721.2021.9497160</t>
  </si>
  <si>
    <t>U11850_Wibhowo_2021.pdf</t>
  </si>
  <si>
    <t>U11853</t>
  </si>
  <si>
    <t>When the social becomes non-human: Young people's perception of social support in chatbots</t>
  </si>
  <si>
    <t>Brandtzaeg</t>
  </si>
  <si>
    <t>10.1145/3411764.3445318</t>
  </si>
  <si>
    <t>U11853_Brandtzaeg_2021.pdf</t>
  </si>
  <si>
    <t>U11854</t>
  </si>
  <si>
    <t>When the Social Becomes Non-Human: Young People's Perception of Social Support in Chatbots</t>
  </si>
  <si>
    <t>Petter Bae Bae Brandtzæg</t>
  </si>
  <si>
    <t>Proceedings of the 2021 CHI Conference on Human Factors in Computing Systems</t>
  </si>
  <si>
    <t>U11854_Brandtzg_2021.pdf</t>
  </si>
  <si>
    <t>DUP:U11853</t>
  </si>
  <si>
    <t>Excluded: duplicate record of U11853</t>
  </si>
  <si>
    <t>U11863</t>
  </si>
  <si>
    <t>"I Hear You, i Feel You": Encouraging Deep Self-disclosure through a Chatbot</t>
  </si>
  <si>
    <t>10.1145/3313831.3376175</t>
  </si>
  <si>
    <t>U11863_Lee_2020.pdf</t>
  </si>
  <si>
    <t>U11866</t>
  </si>
  <si>
    <t>A chatbot solution to chat app problems: Envisioning a chatbot counseling system for teenage victims of online sexual exploitation</t>
  </si>
  <si>
    <t>Ahn</t>
  </si>
  <si>
    <t>10.1145/3334480.3383070</t>
  </si>
  <si>
    <t>U11866_Ahn_2020.pdf</t>
  </si>
  <si>
    <t>U11868</t>
  </si>
  <si>
    <t>A chatbot-based mobile application to predict and early-prevent human mental illness</t>
  </si>
  <si>
    <t>Podrazhansky</t>
  </si>
  <si>
    <t>ACMSE 2020 - Proceedings of the 2020 ACM Southeast Conference</t>
  </si>
  <si>
    <t>10.1145/3374135.3385319</t>
  </si>
  <si>
    <t>U11868_Podrazhansky_2020.pdf</t>
  </si>
  <si>
    <t>U11881</t>
  </si>
  <si>
    <t>Adapting a virtual advisor’s verbal conversation based on predicted user preferences: A study of neutral, empathic and tailored dialogue</t>
  </si>
  <si>
    <t>Multimodal Technologies and Interaction</t>
  </si>
  <si>
    <t>10.3390/mti4030055</t>
  </si>
  <si>
    <t>U11881_Ranjbartabar_2020.pdf</t>
  </si>
  <si>
    <t>U11885</t>
  </si>
  <si>
    <t>Advisor: Agent-based intervention leveraging individual differences to support mental wellbeing of college students</t>
  </si>
  <si>
    <t>Zalake</t>
  </si>
  <si>
    <t>10.1145/3334480.3375026</t>
  </si>
  <si>
    <t>U11885_Zalake_2020.pdf</t>
  </si>
  <si>
    <t>U11886</t>
  </si>
  <si>
    <t>Agents of change: Understanding the therapeutic processes associated with the helpfulness of therapy for mental health problems with relational agent MYLO</t>
  </si>
  <si>
    <t>Gaffney</t>
  </si>
  <si>
    <t>10.1177/2055207620911580</t>
  </si>
  <si>
    <t>U11886_Gaffney_2020.pdf</t>
  </si>
  <si>
    <t>U11895</t>
  </si>
  <si>
    <t>An intimate virtual counselor for a better user experience</t>
  </si>
  <si>
    <t>Potdevin</t>
  </si>
  <si>
    <t>Proceedings of the 20th ACM International Conference on Intelligent Virtual Agents, IVA 2020</t>
  </si>
  <si>
    <t>10.1145/3383652.3423859</t>
  </si>
  <si>
    <t>U11895_Potdevin_2020.pdf</t>
  </si>
  <si>
    <t>U11896</t>
  </si>
  <si>
    <t>Analysis of mood changes and facial expressions during cognitive behavior therapy through a virtual agent</t>
  </si>
  <si>
    <t>ICMI 2020 Companion - Companion Publication of the 2020 International Conference on Multimodal Interaction</t>
  </si>
  <si>
    <t>10.1145/3395035.3425223</t>
  </si>
  <si>
    <t>U11896_Shidara_2020.pdf</t>
  </si>
  <si>
    <t>U11899</t>
  </si>
  <si>
    <t>Artificial intelligence chatbot for depression: Descriptive study of usage</t>
  </si>
  <si>
    <t>10.2196/17065</t>
  </si>
  <si>
    <t>U11899_Dosovitsky_2020.pdf</t>
  </si>
  <si>
    <t>U11910</t>
  </si>
  <si>
    <t>Can a conversational agent lower sexual violence victims' burden of self-disclosure?</t>
  </si>
  <si>
    <t>10.1145/3334480.3383050</t>
  </si>
  <si>
    <t>U11910_Park_2020.pdf</t>
  </si>
  <si>
    <t>U11911</t>
  </si>
  <si>
    <t>Can i help you? Preferences of young adults for the age, gender and ethnicity of a Virtual Support Person based on individual differences including personality and psychological state</t>
  </si>
  <si>
    <t>Richards</t>
  </si>
  <si>
    <t>10.1145/3373017.3373065</t>
  </si>
  <si>
    <t>U11911_Richards_2020.pdf</t>
  </si>
  <si>
    <t>U11913</t>
  </si>
  <si>
    <t>CARO: An empathetic health conversational chatbot for people with major depression</t>
  </si>
  <si>
    <t>Harilal</t>
  </si>
  <si>
    <t>10.1145/3371158.3371220</t>
  </si>
  <si>
    <t>U11913_Harilal_2020.pdf</t>
  </si>
  <si>
    <t>U11916</t>
  </si>
  <si>
    <t>Chatbot for Peer Support Realization based on Mutual Care</t>
  </si>
  <si>
    <t>2020 IEEE Symposium Series on Computational Intelligence, SSCI 2020</t>
  </si>
  <si>
    <t>10.1109/ssci47803.2020.9308277</t>
  </si>
  <si>
    <t>U11916_Yorita_2020.pdf</t>
  </si>
  <si>
    <t>U11925</t>
  </si>
  <si>
    <t>Counseling-style reflection generation using generative pretrained transformers with augmented context</t>
  </si>
  <si>
    <t>SIGDIAL 2020 - 21st Annual Meeting of the Special Interest Group on Discourse and Dialogue, Proceedings of the Conference</t>
  </si>
  <si>
    <t>10.18653/v1/2020.sigdial-1.2</t>
  </si>
  <si>
    <t>U11925_Shen_2020.pdf</t>
  </si>
  <si>
    <t>U11928</t>
  </si>
  <si>
    <t>Designing a Chatbot as a Mediator for Promoting Deep Self-Disclosure to a Real Mental Health Professional</t>
  </si>
  <si>
    <t>10.1145/3392836</t>
  </si>
  <si>
    <t>U11928_Lee_2020.pdf</t>
  </si>
  <si>
    <t>U11929</t>
  </si>
  <si>
    <t>Designing a voice-bot to promote better mental health: Ux design for digital therapeutics on ADHD patients</t>
  </si>
  <si>
    <t>10.1145/3334480.3382948</t>
  </si>
  <si>
    <t>U11929_Park_2020.pdf</t>
  </si>
  <si>
    <t>U11930</t>
  </si>
  <si>
    <t>Designing Chatbots for Guiding Online Peer Support Conversations for Adults with ADHD</t>
  </si>
  <si>
    <t>Nordberg</t>
  </si>
  <si>
    <t>10.1007/978-3-030-39540-7_8</t>
  </si>
  <si>
    <t>U11930_Nordberg_2020.pdf</t>
  </si>
  <si>
    <t>U11931</t>
  </si>
  <si>
    <t>Designing Chatbots to Treat Depression in Youth: Qualitative Study</t>
  </si>
  <si>
    <t>10.2196/66632</t>
  </si>
  <si>
    <t>U11931_Kuhlmeier_2020.pdf</t>
  </si>
  <si>
    <t>U11939</t>
  </si>
  <si>
    <t>Effectiveness of an Empathic Chatbot in Combating Adverse Effects of Social Exclusion on Mood</t>
  </si>
  <si>
    <t>de Gennaro</t>
  </si>
  <si>
    <t>10.3389/fpsyg.2019.03061</t>
  </si>
  <si>
    <t>U11939_de-Gennaro_2020.pdf</t>
  </si>
  <si>
    <t>U11943</t>
  </si>
  <si>
    <t>Efficacy of mobile app-based interactive cognitive behavioral therapy using a chatbot for panic disorder</t>
  </si>
  <si>
    <t>10.1016/j.ijmedinf.2020.104171</t>
  </si>
  <si>
    <t>U11943_Oh_2020.pdf</t>
  </si>
  <si>
    <t>U11947</t>
  </si>
  <si>
    <t>Engaging unmotivated smokers to move toward quitting: design of motivational interviewing⇓based chatbot through iterative interactions</t>
  </si>
  <si>
    <t>Almusharraf</t>
  </si>
  <si>
    <t>10.2196/20251</t>
  </si>
  <si>
    <t>U11947_Almusharraf_2020.pdf</t>
  </si>
  <si>
    <t>U11949</t>
  </si>
  <si>
    <t>eTher – An Assistive Virtual Agent for Acrophobia Therapy in Virtual Reality</t>
  </si>
  <si>
    <t>Bălan</t>
  </si>
  <si>
    <t>10.1007/978-3-030-59990-4_2</t>
  </si>
  <si>
    <t>U11949_Balan_2020.pdf</t>
  </si>
  <si>
    <t>U11955</t>
  </si>
  <si>
    <t>Expressive Interviewing: A Conversational System for Coping with COVID-19</t>
  </si>
  <si>
    <t>Welch</t>
  </si>
  <si>
    <t>Proceedings of the 1st Workshop on NLP for COVID-19 (Part 2) at EMNLP 2020</t>
  </si>
  <si>
    <t>10.18653/v1/2020.nlpcovid19-2.6</t>
  </si>
  <si>
    <t>U11955_Welch_2020.pdf</t>
  </si>
  <si>
    <t>U11967</t>
  </si>
  <si>
    <t>How to create a psychologist-chatbot; [Cómo construir un psicólogo-chatbot]</t>
  </si>
  <si>
    <t>Romero</t>
  </si>
  <si>
    <t>Papeles del Psicologo</t>
  </si>
  <si>
    <t>10.23923/pap.psicol2020.2920</t>
  </si>
  <si>
    <t>U11967_Romero_2020.pdf</t>
  </si>
  <si>
    <t>U11974</t>
  </si>
  <si>
    <t>Intelligent Conversational Agents in Mental Healthcare Services: A Thematic Analysis of User Perceptions</t>
  </si>
  <si>
    <t>Prakash</t>
  </si>
  <si>
    <t>Pacific Asia Journal of the Association for Information Systems</t>
  </si>
  <si>
    <t>10.17705/1pais.12201</t>
  </si>
  <si>
    <t>U11974_Prakash_2020.pdf</t>
  </si>
  <si>
    <t>U11980</t>
  </si>
  <si>
    <t>Investigating Students Use of a Mental Health Chatbot to Alleviate Academic Stress</t>
  </si>
  <si>
    <t>De Nieva</t>
  </si>
  <si>
    <t>10.1145/3431656.3431657</t>
  </si>
  <si>
    <t>U11980_De-Nieva_2020.pdf</t>
  </si>
  <si>
    <t>U11985</t>
  </si>
  <si>
    <t>LSTM-Based multi-modal sentiment recognition for psychological counseling chatbot</t>
  </si>
  <si>
    <t>Lim</t>
  </si>
  <si>
    <t>10.1145/3426020.3426137</t>
  </si>
  <si>
    <t>U11985_Lim_2020.pdf</t>
  </si>
  <si>
    <t>U11986</t>
  </si>
  <si>
    <t>M&amp;M: Deep learning aided multi-facet mental health support tool for College Students</t>
  </si>
  <si>
    <t>HealthDL 2020 - Proceedings of the 2020 Deep Learning for Wellbeing Applications Leveraging Mobile Devices and Edge Computing</t>
  </si>
  <si>
    <t>10.1145/3396868.3400898</t>
  </si>
  <si>
    <t>U11986_Yang_2020.pdf</t>
  </si>
  <si>
    <t>U12011</t>
  </si>
  <si>
    <t>Preliminary Evaluation of the Engagement and Effectiveness of a Mental Health Chatbot</t>
  </si>
  <si>
    <t>Daley</t>
  </si>
  <si>
    <t>10.3389/fdgth.2020.576361</t>
  </si>
  <si>
    <t>U12011_Daley_2020.pdf</t>
  </si>
  <si>
    <t>U12015</t>
  </si>
  <si>
    <t>Promoting wellbeing with sunny, a chatbot that facilitates positive messages within social groups</t>
  </si>
  <si>
    <t>Narain</t>
  </si>
  <si>
    <t>10.1145/3334480.3383062</t>
  </si>
  <si>
    <t>U12015_Narain_2020.pdf</t>
  </si>
  <si>
    <t>U12016</t>
  </si>
  <si>
    <t>Promotion of continuous use of a self-guided mental healthcare system by a chatbot</t>
  </si>
  <si>
    <t>Kamita</t>
  </si>
  <si>
    <t>10.1145/3406865.3418343</t>
  </si>
  <si>
    <t>U12016_Kamita_2020.pdf</t>
  </si>
  <si>
    <t>U12023</t>
  </si>
  <si>
    <t>Racial mirroring effects on human-agent interaction in psychotherapeutic conversations</t>
  </si>
  <si>
    <t>International Conference on Intelligent User Interfaces, Proceedings IUI</t>
  </si>
  <si>
    <t>10.1145/3377325.3377488</t>
  </si>
  <si>
    <t>U12023_Liao_2020.pdf</t>
  </si>
  <si>
    <t>U12026</t>
  </si>
  <si>
    <t>Robo : A Counselor Chatbot for Opioid Addicted Patients</t>
  </si>
  <si>
    <t>Moghadasi</t>
  </si>
  <si>
    <t>10.1145/3421515.3421525</t>
  </si>
  <si>
    <t>U12026_Moghadasi_2020.pdf</t>
  </si>
  <si>
    <t>U12030</t>
  </si>
  <si>
    <t>Simple and Steady Interactions Win the Healthy Mentality: Designing a Chatbot Service for the Elderly</t>
  </si>
  <si>
    <t>Ryu</t>
  </si>
  <si>
    <t>10.1145/3415223</t>
  </si>
  <si>
    <t>U12030_Ryu_2020.pdf</t>
  </si>
  <si>
    <t>U12035</t>
  </si>
  <si>
    <t>Supervised machine learning chatbots for perinatal mental healthcare</t>
  </si>
  <si>
    <t>Proceedings - 2020 International Conference on Intelligent Computing and Human-Computer Interaction, ICHCI 2020</t>
  </si>
  <si>
    <t>10.1109/ichci51889.2020.00086</t>
  </si>
  <si>
    <t>U12035_Wang_2020.pdf</t>
  </si>
  <si>
    <t>U12037</t>
  </si>
  <si>
    <t>TAMICA: Tailorable autonomous motivational interviewing conversational agent</t>
  </si>
  <si>
    <t>Smriti</t>
  </si>
  <si>
    <t>PervasiveHealth: Pervasive Computing Technologies for Healthcare</t>
  </si>
  <si>
    <t>10.1145/3421937.3421963</t>
  </si>
  <si>
    <t>U12037_Smriti_2020.pdf</t>
  </si>
  <si>
    <t>U12047</t>
  </si>
  <si>
    <t>Therapist vibe: children's expressions of their emotions through storytelling with a chatbot</t>
  </si>
  <si>
    <t>Kyle-Althea Santos</t>
  </si>
  <si>
    <t>Proceedings of the Interaction Design and Children Conference</t>
  </si>
  <si>
    <t>10.1145/3392063.3394405</t>
  </si>
  <si>
    <t>U12047_Santos_2020.pdf</t>
  </si>
  <si>
    <t>U12051</t>
  </si>
  <si>
    <t>Toward Automated Evaluation of Empathetic Responses in Virtual Human Interaction Systems for Mental Health Scenarios</t>
  </si>
  <si>
    <t>10.1145/3383652.3423916</t>
  </si>
  <si>
    <t>U12051_Yao_2020.pdf</t>
  </si>
  <si>
    <t>U12053</t>
  </si>
  <si>
    <t>Towards a computational framework for automating substance use counseling with virtual agents</t>
  </si>
  <si>
    <t>Olafsson</t>
  </si>
  <si>
    <t>10.65109/ykkp3988</t>
  </si>
  <si>
    <t>U12053_Olafsson_2020.pdf</t>
  </si>
  <si>
    <t>U12056</t>
  </si>
  <si>
    <t>Towards Chatbots to Support Bibliotherapy Preparation and Delivery</t>
  </si>
  <si>
    <t>McAllister</t>
  </si>
  <si>
    <t>10.1007/978-3-030-39540-7_9</t>
  </si>
  <si>
    <t>U12056_McAllister_2020.pdf</t>
  </si>
  <si>
    <t>U12059</t>
  </si>
  <si>
    <t>Unguided Chatbot-Delivered Cognitive Behavioural Intervention for Problem Gamblers Through Messaging App: A Randomised Controlled Trial</t>
  </si>
  <si>
    <t>Journal of Gambling Studies</t>
  </si>
  <si>
    <t>10.1007/s10899-020-09935-4</t>
  </si>
  <si>
    <t>U12059_So_2020.pdf</t>
  </si>
  <si>
    <t>U12061</t>
  </si>
  <si>
    <t>Usability, acceptability, and effectiveness of web-based conversational agents to facilitate problem solving in older adults: Controlled study</t>
  </si>
  <si>
    <t>Bennion</t>
  </si>
  <si>
    <t>10.2196/16794</t>
  </si>
  <si>
    <t>U12061_Bennion_2020.pdf</t>
  </si>
  <si>
    <t>U12062</t>
  </si>
  <si>
    <t>User experiences of social support from companion chatbots in everyday contexts: Thematic analysis</t>
  </si>
  <si>
    <t>Ta</t>
  </si>
  <si>
    <t>10.2196/16235</t>
  </si>
  <si>
    <t>U12062_Ta_2020.pdf</t>
  </si>
  <si>
    <t>U12070</t>
  </si>
  <si>
    <t>A Chatbot System for Mental Healthcare Based on SAT Counseling Method</t>
  </si>
  <si>
    <t>2017-2019</t>
  </si>
  <si>
    <t>Mobile Information Systems</t>
  </si>
  <si>
    <t>10.1155/2019/9517321</t>
  </si>
  <si>
    <t>U12070_Kamita_2019.pdf</t>
  </si>
  <si>
    <t>U12081</t>
  </si>
  <si>
    <t>A virtual agent to support individuals living with physical and mental comorbidities: Co-design and acceptability testing</t>
  </si>
  <si>
    <t>Easton</t>
  </si>
  <si>
    <t>10.2196/12996</t>
  </si>
  <si>
    <t>U12081_Easton_2019.pdf</t>
  </si>
  <si>
    <t>U12101</t>
  </si>
  <si>
    <t>Assessing the usability of a chatbot for mental health care</t>
  </si>
  <si>
    <t>10.1007/978-3-030-17705-8_11</t>
  </si>
  <si>
    <t>U12101_Cameron_2019.pdf</t>
  </si>
  <si>
    <t>U12102</t>
  </si>
  <si>
    <t>Assessment of users’ acceptability of a mobile-based embodied conversational agent for the prevention and detection of suicidal behaviour</t>
  </si>
  <si>
    <t>Martínez-Miranda</t>
  </si>
  <si>
    <t>10.1007/s10916-019-1387-1</t>
  </si>
  <si>
    <t>U12102_Martinez-Miranda_2019.pdf</t>
  </si>
  <si>
    <t>U12108</t>
  </si>
  <si>
    <t>Can Alexa be your Therapist? How back-channeling transforms smart-speakers to be active listeners</t>
  </si>
  <si>
    <t>Motalebi</t>
  </si>
  <si>
    <t>10.1145/3311957.3359502</t>
  </si>
  <si>
    <t>U12108_Motalebi_2019.pdf</t>
  </si>
  <si>
    <t>U12110</t>
  </si>
  <si>
    <t>Caring for Vincent: A Chatbot for Self-compassion</t>
  </si>
  <si>
    <t>10.1145/3290605.3300932</t>
  </si>
  <si>
    <t>U12110_Lee_2019.pdf</t>
  </si>
  <si>
    <t>U12114</t>
  </si>
  <si>
    <t>Combating depression in students using an intelligent ChatBot: A cognitive behavioral therapy</t>
  </si>
  <si>
    <t>2019 IEEE 16th India Council International Conference, INDICON 2019 - Symposium Proceedings</t>
  </si>
  <si>
    <t>10.1109/indicon47234.2019.9030346</t>
  </si>
  <si>
    <t>U12114_Patel_2019.pdf</t>
  </si>
  <si>
    <t>U12121</t>
  </si>
  <si>
    <t>Delivering Cognitive Behavioral Therapy Using A Conversational Social Robot</t>
  </si>
  <si>
    <t>F. Dino</t>
  </si>
  <si>
    <t>2019 IEEE/RSJ International Conference on Intelligent Robots and Systems (IROS)</t>
  </si>
  <si>
    <t>10.1109/iros40897.2019.8968576</t>
  </si>
  <si>
    <t>U12121_Dino_2019.pdf</t>
  </si>
  <si>
    <t>U12122</t>
  </si>
  <si>
    <t>Design and evaluation of personalized motivational messages by a virtual agent that assists in post-traumatic stress disorder therapy</t>
  </si>
  <si>
    <t>Tielman</t>
  </si>
  <si>
    <t>10.2196/jmir.9240</t>
  </si>
  <si>
    <t>U12122_Tielman_2019.pdf</t>
  </si>
  <si>
    <t>U12123</t>
  </si>
  <si>
    <t>Designing a chatbot for a brief motivational interview on stress management: Qualitative case study</t>
  </si>
  <si>
    <t>10.2196/12231</t>
  </si>
  <si>
    <t>U12123_Park_2019.pdf</t>
  </si>
  <si>
    <t>U12137</t>
  </si>
  <si>
    <t>EMMA: An Emotion-Aware Wellbeing Chatbot</t>
  </si>
  <si>
    <t>Ghandeharioun</t>
  </si>
  <si>
    <t>2019 8th International Conference on Affective Computing and Intelligent Interaction, ACII 2019</t>
  </si>
  <si>
    <t>10.1109/acii.2019.8925455</t>
  </si>
  <si>
    <t>U12137_Ghandeharioun_2019.pdf</t>
  </si>
  <si>
    <t>U12168</t>
  </si>
  <si>
    <t>More General Evaluation of a Client-Centered Counseling Agent</t>
  </si>
  <si>
    <t>T. Horii</t>
  </si>
  <si>
    <t>2019 IEEE World Congress on Services (SERVICES)</t>
  </si>
  <si>
    <t>10.1109/services.2019.00052</t>
  </si>
  <si>
    <t>U12168_Horii_2019.pdf</t>
  </si>
  <si>
    <t>U12178</t>
  </si>
  <si>
    <t>Owlie: A Chatbot that Provides Emotional support for coping with psychological difficulties</t>
  </si>
  <si>
    <t>Falala-Sechet</t>
  </si>
  <si>
    <t>IVA 2019 - Proceedings of the 19th ACM International Conference on Intelligent Virtual Agents</t>
  </si>
  <si>
    <t>10.1145/3308532.3329416</t>
  </si>
  <si>
    <t>U12178_Falala-Sechet_2019.pdf</t>
  </si>
  <si>
    <t>U12181</t>
  </si>
  <si>
    <t>Perceptions of chatbots in therapy</t>
  </si>
  <si>
    <t>Bell</t>
  </si>
  <si>
    <t>10.1145/3290607.3313072</t>
  </si>
  <si>
    <t>U12181_Bell_2019.pdf</t>
  </si>
  <si>
    <t>U12187</t>
  </si>
  <si>
    <t>Psychological Artificial Intelligence Service, Tess: Delivering On-demand Support to Patients and Their Caregivers: Technical Report</t>
  </si>
  <si>
    <t>Joerin A</t>
  </si>
  <si>
    <t>Cureus</t>
  </si>
  <si>
    <t>10.7759/cureus.3972</t>
  </si>
  <si>
    <t>U12187_Joerin-A_2019.pdf</t>
  </si>
  <si>
    <t>U12195</t>
  </si>
  <si>
    <t>Self-adapting chatbot personalities for better peer support</t>
  </si>
  <si>
    <t>10.1109/smc.2019.8914583</t>
  </si>
  <si>
    <t>U12195_Yorita_2019.pdf</t>
  </si>
  <si>
    <t>U12206</t>
  </si>
  <si>
    <t>Towards humanlike chatbots helping users cope with stressful situations</t>
  </si>
  <si>
    <t>10.1007/978-3-030-28377-3_19</t>
  </si>
  <si>
    <t>U12206_Medeiros_2019.pdf</t>
  </si>
  <si>
    <t>U12210</t>
  </si>
  <si>
    <t>Understanding Individual Differences in Users’ Preferences and Responses to an Intelligent Virtual Advisor for Reducing Study Stress</t>
  </si>
  <si>
    <t>Lecture Notes in Information Systems and Organisation</t>
  </si>
  <si>
    <t>10.1007/978-3-030-22993-1_13</t>
  </si>
  <si>
    <t>U12210_Ranjbartabar_2019.pdf</t>
  </si>
  <si>
    <t>U12212</t>
  </si>
  <si>
    <t>Use of the chatbot "vivibot" to deliver positive psychology skills and promote well-being among young people after cancer treatment: Randomized controlled feasibility trial</t>
  </si>
  <si>
    <t>Greer</t>
  </si>
  <si>
    <t>10.2196/15018</t>
  </si>
  <si>
    <t>U12212_Greer_2019.pdf</t>
  </si>
  <si>
    <t>U12219</t>
  </si>
  <si>
    <t>VICA, a visual counseling agent for emotional distress</t>
  </si>
  <si>
    <t>Sakurai</t>
  </si>
  <si>
    <t>Journal of Ambient Intelligence and Humanized Computing</t>
  </si>
  <si>
    <t>10.1007/s12652-019-01180-x</t>
  </si>
  <si>
    <t>U12219_Sakurai_2019.pdf</t>
  </si>
  <si>
    <t>U12227</t>
  </si>
  <si>
    <t>You'll be Great: Virtual Agent-based Cognitive Restructuring to Reduce Public Speaking Anxiety</t>
  </si>
  <si>
    <t>Kimani</t>
  </si>
  <si>
    <t>10.1109/acii.2019.8925438</t>
  </si>
  <si>
    <t>U12227_Kimani_2019.pdf</t>
  </si>
  <si>
    <t>U12236</t>
  </si>
  <si>
    <t>A multi-modal human robot interaction framework based on cognitive behavioral therapy model</t>
  </si>
  <si>
    <t>Rastogi</t>
  </si>
  <si>
    <t>Proceedings of the Human-Habitat for Health (H3): Human-Habitat Multimodal Interaction for Promoting Health and Well-Being in the Internet of Things era - 20th ACM International Conference on Multimodal Interaction, ICMI 2018</t>
  </si>
  <si>
    <t>10.1145/3279963.3279968</t>
  </si>
  <si>
    <t>U12236_Rastogi_2018.pdf</t>
  </si>
  <si>
    <t>U12238</t>
  </si>
  <si>
    <t>A Visual Counseling Agent Avatar with Voice Conversation and Fuzzy Response</t>
  </si>
  <si>
    <t>Y. Ikegami</t>
  </si>
  <si>
    <t>2018 World Automation Congress (WAC)</t>
  </si>
  <si>
    <t>10.23919/wac.2018.8430301</t>
  </si>
  <si>
    <t>U12238_Ikegami_2018.pdf</t>
  </si>
  <si>
    <t>U12243</t>
  </si>
  <si>
    <t>An embodied conversational agent for unguided internet-based cognitive behavior therapy in preventative mental health: Feasibility and acceptability pilot trial</t>
  </si>
  <si>
    <t>Suganuma</t>
  </si>
  <si>
    <t>10.2196/10454</t>
  </si>
  <si>
    <t>U12243_Suganuma_2018.pdf</t>
  </si>
  <si>
    <t>U12245</t>
  </si>
  <si>
    <t>An empathy-driven, conversational artificial intelligence agent (Wysa) for digital mental well-being: Real-world data evaluation mixed-methods study</t>
  </si>
  <si>
    <t>10.2196/12106</t>
  </si>
  <si>
    <t>U12245_Inkster_2018.pdf</t>
  </si>
  <si>
    <t>U12252</t>
  </si>
  <si>
    <t>Can a machine tend to teenagers’ emotional needs? A study with conversational agents</t>
  </si>
  <si>
    <t>10.1145/3170427.3188548</t>
  </si>
  <si>
    <t>U12252_Kim_2018.pdf</t>
  </si>
  <si>
    <t>U12253</t>
  </si>
  <si>
    <t>Can a virtual agent provide good emotional support?: Exploring whether personality or identity effect the perceived supportiveness of a message</t>
  </si>
  <si>
    <t>Smith</t>
  </si>
  <si>
    <t>Proceedings of the 32nd International BCS Human Computer Interaction Conference, HCI 2018</t>
  </si>
  <si>
    <t>10.14236/ewic/hci2018.13</t>
  </si>
  <si>
    <t>U12253_Smith_2018.pdf</t>
  </si>
  <si>
    <t>U12258</t>
  </si>
  <si>
    <t>Conversational agents to provide couple therapy for patients with ptsd</t>
  </si>
  <si>
    <t>10.1145/3240925.3240933</t>
  </si>
  <si>
    <t>U12258_Motalebi_2018.pdf</t>
  </si>
  <si>
    <t>U12268</t>
  </si>
  <si>
    <t>Digital Psychiatry - Curbing Depression using Therapy Chatbot and Depression Analysis</t>
  </si>
  <si>
    <t>Proceedings of the International Conference on Inventive Communication and Computational Technologies, ICICCT 2018</t>
  </si>
  <si>
    <t>10.1109/icicct.2018.8472986</t>
  </si>
  <si>
    <t>U12268_Sharma_2018.pdf</t>
  </si>
  <si>
    <t>U12278</t>
  </si>
  <si>
    <t>How personification and interactivity influence stress-related disclosures to conversational agents</t>
  </si>
  <si>
    <t>Sannon</t>
  </si>
  <si>
    <t>10.1145/3272973.3274076</t>
  </si>
  <si>
    <t>U12278_Sannon_2018.pdf</t>
  </si>
  <si>
    <t>U12279</t>
  </si>
  <si>
    <t>How to personalize conversational coaches for stress management?</t>
  </si>
  <si>
    <t>Martin</t>
  </si>
  <si>
    <t>UbiComp/ISWC 2018 - Adjunct Proceedings of the 2018 ACM International Joint Conference on Pervasive and Ubiquitous Computing and Proceedings of the 2018 ACM International Symposium on Wearable Computers</t>
  </si>
  <si>
    <t>10.1145/3267305.3267698</t>
  </si>
  <si>
    <t>U12279_Martin_2018.pdf</t>
  </si>
  <si>
    <t>U12282</t>
  </si>
  <si>
    <t>Intelligent Counselling Bot Using Ranking Algorithm in AI</t>
  </si>
  <si>
    <t>Sakthivel</t>
  </si>
  <si>
    <t>ICSNS 2018 - Proceedings of IEEE International Conference on Soft-Computing and Network Security</t>
  </si>
  <si>
    <t>10.1109/icsns.2018.8573642</t>
  </si>
  <si>
    <t>U12282_Sakthivel_2018.pdf</t>
  </si>
  <si>
    <t>U12293</t>
  </si>
  <si>
    <t>Performance Comparison of Client-Centered Counseling Agents</t>
  </si>
  <si>
    <t>2018 14th International Conference on Signal-Image Technology &amp; Internet-Based Systems (SITIS)</t>
  </si>
  <si>
    <t>10.1109/sitis.2018.00097</t>
  </si>
  <si>
    <t>U12293_Horii_2018.pdf</t>
  </si>
  <si>
    <t>U12295</t>
  </si>
  <si>
    <t>Pocket skills: A conversational Mobile web app to support dialectical behavioral therapy</t>
  </si>
  <si>
    <t>Schroeder</t>
  </si>
  <si>
    <t>10.1145/3173574.3173972</t>
  </si>
  <si>
    <t>U12295_Schroeder_2018.pdf</t>
  </si>
  <si>
    <t>U12297</t>
  </si>
  <si>
    <t>Psychological, Relational, and Emotional Effects of Self-Disclosure After Conversations With a Chatbot</t>
  </si>
  <si>
    <t>JOURNAL OF COMMUNICATION</t>
  </si>
  <si>
    <t>10.1093/joc/jqy026</t>
  </si>
  <si>
    <t>U12297_Ho_2018.pdf</t>
  </si>
  <si>
    <t>U12302</t>
  </si>
  <si>
    <t>Sarah the virtual advisor to reduce study stress</t>
  </si>
  <si>
    <t>10.65109/jgra5243</t>
  </si>
  <si>
    <t>U12302_Ranjbartabar_2018.pdf</t>
  </si>
  <si>
    <t>U12304</t>
  </si>
  <si>
    <t>Shared Planning for building Human-agent Therapeutic Alliance</t>
  </si>
  <si>
    <t>Abdulrahman</t>
  </si>
  <si>
    <t>Proceedings of the 18th International Conference on Intelligent Virtual Agents, IVA 2018</t>
  </si>
  <si>
    <t>10.1145/3267851.3267873</t>
  </si>
  <si>
    <t>U12304_Abdulrahman_2018.pdf</t>
  </si>
  <si>
    <t>U12313</t>
  </si>
  <si>
    <t>Towards an artificially empathic conversational agent for mental health applications: System design and user perceptions</t>
  </si>
  <si>
    <t>10.2196/10148</t>
  </si>
  <si>
    <t>U12313_Morris_2018.pdf</t>
  </si>
  <si>
    <t>U12318</t>
  </si>
  <si>
    <t>Unsupervised counselor dialogue clustering for positive emotion elicitation in neural dialogue system</t>
  </si>
  <si>
    <t>Lubis</t>
  </si>
  <si>
    <t>SIGDIAL 2018 - 19th Annual Meeting of the Special Interest Group on Discourse and Dialogue - Proceedings of the Conference</t>
  </si>
  <si>
    <t>10.18653/v1/w18-5017</t>
  </si>
  <si>
    <t>U12318_Lubis_2018.pdf</t>
  </si>
  <si>
    <t>U12322</t>
  </si>
  <si>
    <t>Using psychological artificial intelligence (tess) to relieve symptoms of depression and anxiety: Randomized controlled trial</t>
  </si>
  <si>
    <t>Fulmer</t>
  </si>
  <si>
    <t>10.2196/mental.9782</t>
  </si>
  <si>
    <t>U12322_Fulmer_2018.pdf</t>
  </si>
  <si>
    <t>U12331</t>
  </si>
  <si>
    <t>Visual Counseling Agent and its Evaluation</t>
  </si>
  <si>
    <t>Y. Sakurai</t>
  </si>
  <si>
    <t>2018 IEEE Symposium Series on Computational Intelligence (SSCI)</t>
  </si>
  <si>
    <t>10.1109/ssci.2018.8628880</t>
  </si>
  <si>
    <t>U12331_Sakurai_2018.pdf</t>
  </si>
  <si>
    <t>U12333</t>
  </si>
  <si>
    <t>“Give Me the support I want!”: The effect of matching an embodied conversational agent’s social support to users’ social support needs in fostering positive user-agent interaction</t>
  </si>
  <si>
    <t>HAI 2018 - Proceedings of the 6th International Conference on Human-Agent Interaction</t>
  </si>
  <si>
    <t>10.1145/3284432.3284462</t>
  </si>
  <si>
    <t>U12333_Kang_2018.pdf</t>
  </si>
  <si>
    <t>U12334</t>
  </si>
  <si>
    <t>A chatbot for psychiatric counseling in mental healthcare service based on emotional dialogue analysis and sentence generation</t>
  </si>
  <si>
    <t>Proceedings - 18th IEEE International Conference on Mobile Data Management, MDM 2017</t>
  </si>
  <si>
    <t>10.1109/mdm.2017.64</t>
  </si>
  <si>
    <t>U12334_Oh_2017.pdf</t>
  </si>
  <si>
    <t>U12335</t>
  </si>
  <si>
    <t>A fully automated conversational agent for promoting mental well-being: A pilot RCT using mixed methods</t>
  </si>
  <si>
    <t>Ly</t>
  </si>
  <si>
    <t>10.1016/j.invent.2017.10.002</t>
  </si>
  <si>
    <t>U12335_Ly_2017.pdf</t>
  </si>
  <si>
    <t>U12343</t>
  </si>
  <si>
    <t>A Therapy System for Post-Traumatic Stress Disorder Using a Virtual Agent and Virtual Storytelling to Reconstruct Traumatic Memories</t>
  </si>
  <si>
    <t>10.1007/s10916-017-0771-y</t>
  </si>
  <si>
    <t>U12343_Tielman_2017.pdf</t>
  </si>
  <si>
    <t>U12345</t>
  </si>
  <si>
    <t>An affective utility model of user motivation for counselling dialogue systems</t>
  </si>
  <si>
    <t>Callejas</t>
  </si>
  <si>
    <t>10.1007/978-3-319-69365-1_7</t>
  </si>
  <si>
    <t>U12345_Callejas_2017.pdf</t>
  </si>
  <si>
    <t>U12346</t>
  </si>
  <si>
    <t>An empathic agent that alleviates stress by providing support via social media</t>
  </si>
  <si>
    <t>10.65109/epte6334</t>
  </si>
  <si>
    <t>U12346_Medeiros_2017.pdf</t>
  </si>
  <si>
    <t>U12355</t>
  </si>
  <si>
    <t>Delivering cognitive behavior therapy to young adults with symptoms of depression and anxiety using a fully automated conversational agent (Woebot): A randomized controlled trial</t>
  </si>
  <si>
    <t>Fitzpatrick</t>
  </si>
  <si>
    <t>10.2196/mental.7785</t>
  </si>
  <si>
    <t>U12355_Fitzpatrick_2017.pdf</t>
  </si>
  <si>
    <t>U12367</t>
  </si>
  <si>
    <t>How should a virtual agent present psychoeducation? Influence of verbal and textual presentation on adherence</t>
  </si>
  <si>
    <t>Technology and Health Care</t>
  </si>
  <si>
    <t>10.3233/thc-170899</t>
  </si>
  <si>
    <t>U12367_Tielman_2017.pdf</t>
  </si>
  <si>
    <t>U12381</t>
  </si>
  <si>
    <t>Nora the empathetic psychologist</t>
  </si>
  <si>
    <t>Winata</t>
  </si>
  <si>
    <t>10.21437/interspeech.2017-2050</t>
  </si>
  <si>
    <t>U12381_Winata_2017.pdf</t>
  </si>
  <si>
    <t>U12391</t>
  </si>
  <si>
    <t>Testing the Acceptability of Social Support Agents in Online Communities</t>
  </si>
  <si>
    <t>10.1007/978-3-319-67074-4_13</t>
  </si>
  <si>
    <t>U12391_Medeiros_2017.pdf</t>
  </si>
  <si>
    <t>U12395</t>
  </si>
  <si>
    <t>The chatbot feels you - A counseling service using emotional response generation</t>
  </si>
  <si>
    <t>2017 IEEE International Conference on Big Data and Smart Computing, BigComp 2017</t>
  </si>
  <si>
    <t>10.1109/bigcomp.2017.7881752</t>
  </si>
  <si>
    <t>U12395_Lee_2017.pdf</t>
  </si>
  <si>
    <t>U12399</t>
  </si>
  <si>
    <t>Towards a chatbot for digital counselling</t>
  </si>
  <si>
    <t>HCI 2017: Digital Make Believe - Proceedings of the 31st International BCS Human Computer Interaction Conference, HCI 2017</t>
  </si>
  <si>
    <t>10.14236/ewic/hci2017.24</t>
  </si>
  <si>
    <t>U12399_Cameron_2017.pdf</t>
  </si>
  <si>
    <t>U12402</t>
  </si>
  <si>
    <t>Virtual agent-mediated appraisal training: a single case series among Dutch firefighters</t>
  </si>
  <si>
    <t>Beer</t>
  </si>
  <si>
    <t>EUROPEAN JOURNAL OF PSYCHOTRAUMATOLOGY</t>
  </si>
  <si>
    <t>10.1080/20008198.2017.1378053</t>
  </si>
  <si>
    <t>U12402_Beer_2017.pdf</t>
  </si>
  <si>
    <t>U12405</t>
  </si>
  <si>
    <t>A conversational agent for an online mental health intervention</t>
  </si>
  <si>
    <t>Elmasri</t>
  </si>
  <si>
    <t>2012-2016</t>
  </si>
  <si>
    <t>10.1007/978-3-319-47103-7_24</t>
  </si>
  <si>
    <t>U12405_Elmasri_2016.pdf</t>
  </si>
  <si>
    <t>U12409</t>
  </si>
  <si>
    <t>A virtual emotional freedom therapy practitioner (demonstration)</t>
  </si>
  <si>
    <t>10.65109/litk9928</t>
  </si>
  <si>
    <t>U12409_Ranjbartabar_2016.pdf</t>
  </si>
  <si>
    <t>U12421</t>
  </si>
  <si>
    <t>Conversational agents and mental health: Theory-informed assessment of language and affect</t>
  </si>
  <si>
    <t>Miner</t>
  </si>
  <si>
    <t>HAI 2016 - Proceedings of the 4th International Conference on Human Agent Interaction</t>
  </si>
  <si>
    <t>10.1145/2974804.2974820</t>
  </si>
  <si>
    <t>U12421_Miner_2016.pdf</t>
  </si>
  <si>
    <t>U12440</t>
  </si>
  <si>
    <t>Pilot randomised controlled trial of Help4Mood, an embodied virtual agent-based system to support treatment of depression</t>
  </si>
  <si>
    <t>Burton</t>
  </si>
  <si>
    <t>Journal of Telemedicine and Telecare</t>
  </si>
  <si>
    <t>10.1177/1357633x15609793</t>
  </si>
  <si>
    <t>U12440_Burton_2016.pdf</t>
  </si>
  <si>
    <t>U12447</t>
  </si>
  <si>
    <t>Usability and acceptability assessment of an empathic virtual agent to prevent major depression</t>
  </si>
  <si>
    <t>Bresó</t>
  </si>
  <si>
    <t>Expert Systems</t>
  </si>
  <si>
    <t>10.1111/exsy.12151</t>
  </si>
  <si>
    <t>U12447_Breso_2016.pdf</t>
  </si>
  <si>
    <t>U12458</t>
  </si>
  <si>
    <t>An ontology-based question system for a virtual coach assisting in trauma recollection</t>
  </si>
  <si>
    <t>10.1007/978-3-319-21996-7_2</t>
  </si>
  <si>
    <t>U12458_Tielman_2015.pdf</t>
  </si>
  <si>
    <t>U12464</t>
  </si>
  <si>
    <t>Can a virtual listener replace a human listener in active listening conversation?</t>
  </si>
  <si>
    <t>ERM4CT 2015 - Proceedings of the International Workshop on Emotion Representations and Modelling for Companion Technologies, co-located with ICMI 2015</t>
  </si>
  <si>
    <t>10.1145/2829966.2829971</t>
  </si>
  <si>
    <t>U12464_Huang_2015.pdf</t>
  </si>
  <si>
    <t>U12504</t>
  </si>
  <si>
    <t>Design guidelines for a virtual coach for post-traumatic stress disorder patients</t>
  </si>
  <si>
    <t>10.1007/978-3-319-09767-1_54</t>
  </si>
  <si>
    <t>U12504_Tielman_2014.pdf</t>
  </si>
  <si>
    <t>U12518</t>
  </si>
  <si>
    <t>Modelling two emotion regulation strategies as key features of therapeutic empathy</t>
  </si>
  <si>
    <t>Martínez-miranda</t>
  </si>
  <si>
    <t>10.1007/978-3-319-12973-0_7</t>
  </si>
  <si>
    <t>U12518_Martinez-miranda_2014.pdf</t>
  </si>
  <si>
    <t>U12532</t>
  </si>
  <si>
    <t>A dialogue with a virtual imaginary interlocutor as a form of a psychological support for well-being</t>
  </si>
  <si>
    <t>Pasikowska</t>
  </si>
  <si>
    <t>10.1145/2500342.2500359</t>
  </si>
  <si>
    <t>U12532_Pasikowska_2013.pdf</t>
  </si>
  <si>
    <t>U12533</t>
  </si>
  <si>
    <t>Addressing loneliness and isolation in older adults: Proactive affective agents provide better support</t>
  </si>
  <si>
    <t>Ring</t>
  </si>
  <si>
    <t>Proceedings - 2013 Humaine Association Conference on Affective Computing and Intelligent Interaction, ACII 2013</t>
  </si>
  <si>
    <t>10.1109/acii.2013.17</t>
  </si>
  <si>
    <t>U12533_Ring_2013.pdf</t>
  </si>
  <si>
    <t>U12537</t>
  </si>
  <si>
    <t>Applying context respectful summarization to counseling agent for the Japanese</t>
  </si>
  <si>
    <t>Shinozaki</t>
  </si>
  <si>
    <t>Proceedings - 2013 International Conference on Signal-Image Technology and Internet-Based Systems, SITIS 2013</t>
  </si>
  <si>
    <t>10.1109/sitis.2013.149</t>
  </si>
  <si>
    <t>U12537_Shinozaki_2013.pdf</t>
  </si>
  <si>
    <t>U12539</t>
  </si>
  <si>
    <t>Avatar therapy: An audio-visual dialogue system for treating auditory hallucinations</t>
  </si>
  <si>
    <t>Huckvale</t>
  </si>
  <si>
    <t>10.21437/interspeech.2013-107</t>
  </si>
  <si>
    <t>U12539_Huckvale_2013.pdf</t>
  </si>
  <si>
    <t>U12556</t>
  </si>
  <si>
    <t>Towards effective emotional support for community first responders experiencing stress</t>
  </si>
  <si>
    <t>Dennis</t>
  </si>
  <si>
    <t>10.1109/acii.2013.141</t>
  </si>
  <si>
    <t>U12556_Dennis_2013.pdf</t>
  </si>
  <si>
    <t>U12566</t>
  </si>
  <si>
    <t>A conversation model enabling intelligent agents to give emotional support</t>
  </si>
  <si>
    <t>Van Der Zwaan</t>
  </si>
  <si>
    <t>10.1007/978-3-642-30732-4_6</t>
  </si>
  <si>
    <t>U12566_Van-Der-Zwaan_2012.pdf</t>
  </si>
  <si>
    <t>U12569</t>
  </si>
  <si>
    <t>A virtual reality dialogue system for the treatment of social phobia</t>
  </si>
  <si>
    <t>Brinkman</t>
  </si>
  <si>
    <t>10.1145/2212776.2212395</t>
  </si>
  <si>
    <t>U12569_Brinkman_2012.pdf</t>
  </si>
  <si>
    <t>U12578</t>
  </si>
  <si>
    <t>ESCAP: Towards the design of an AI architecture for a virtual counselor to tackle students' exam stress</t>
  </si>
  <si>
    <t>Rudra</t>
  </si>
  <si>
    <t>10.1109/hicss.2012.249</t>
  </si>
  <si>
    <t>U12578_Rudra_2012.pdf</t>
  </si>
  <si>
    <t>U12580</t>
  </si>
  <si>
    <t>Hospital buddy: A persistent emotional support companion agent for hospital patients</t>
  </si>
  <si>
    <t>Bickmore</t>
  </si>
  <si>
    <t>10.1007/978-3-642-33197-8_56</t>
  </si>
  <si>
    <t>U12580_Bickmore_2012.pdf</t>
  </si>
  <si>
    <t>U12584</t>
  </si>
  <si>
    <t>Towards building a virtual counselor: Modeling nonverbal behavior during intimate self-disclosure</t>
  </si>
  <si>
    <t>11th International Conference on Autonomous Agents and Multiagent Systems 2012, AAMAS 2012: Innovative Applications Track</t>
  </si>
  <si>
    <t>10.65109/rzec3541</t>
  </si>
  <si>
    <t>U12584_Kang_2012.pdf</t>
  </si>
  <si>
    <t>Study ID</t>
  </si>
  <si>
    <t>Linked reports</t>
  </si>
  <si>
    <t>Venue</t>
  </si>
  <si>
    <t>System</t>
  </si>
  <si>
    <t>Context / problem</t>
  </si>
  <si>
    <t>Population</t>
  </si>
  <si>
    <t>Counselling approach</t>
  </si>
  <si>
    <t>Dialogue technique</t>
  </si>
  <si>
    <t>Modality</t>
  </si>
  <si>
    <t>Design</t>
  </si>
  <si>
    <t>N</t>
  </si>
  <si>
    <t>Duration / dose</t>
  </si>
  <si>
    <t>Comparator</t>
  </si>
  <si>
    <t>Outcome domains</t>
  </si>
  <si>
    <t>Main result vs comparator</t>
  </si>
  <si>
    <t>Notes / challenges</t>
  </si>
  <si>
    <t>MMAT quality (to fill)</t>
  </si>
  <si>
    <t>AI coaching chatbot</t>
  </si>
  <si>
    <t>Academic goals and stress</t>
  </si>
  <si>
    <t>University students</t>
  </si>
  <si>
    <t>Coaching (solution-focused)</t>
  </si>
  <si>
    <t>LLM</t>
  </si>
  <si>
    <t>Text</t>
  </si>
  <si>
    <t>RCT</t>
  </si>
  <si>
    <t>4 sessions over a semester</t>
  </si>
  <si>
    <t>Active (self-study) + waitlist</t>
  </si>
  <si>
    <t>Goal attainment; self-efficacy; stress</t>
  </si>
  <si>
    <t>Mixed</t>
  </si>
  <si>
    <t>Goal attainment improved; self-efficacy and stress effects inconsistent</t>
  </si>
  <si>
    <t>STARS (WHO)</t>
  </si>
  <si>
    <t>Psychological distress</t>
  </si>
  <si>
    <t>Young adults, Jordan</t>
  </si>
  <si>
    <t>CBT / problem management (PM+)</t>
  </si>
  <si>
    <t>Rule-based (guided)</t>
  </si>
  <si>
    <t>10 sessions + 5 support calls; 3-month follow-up</t>
  </si>
  <si>
    <t>Enhanced usual care</t>
  </si>
  <si>
    <t>Anxiety; depression; distress; functioning; well-being</t>
  </si>
  <si>
    <t>Favours CDS</t>
  </si>
  <si>
    <t>Guided (e-helper) chatbot; LMIC humanitarian setting</t>
  </si>
  <si>
    <t>eiIBM delivered by text bot, audio bot and telepresence robot</t>
  </si>
  <si>
    <t>Depression</t>
  </si>
  <si>
    <t>Young adults</t>
  </si>
  <si>
    <t>Cognitive bias modification (CBT)</t>
  </si>
  <si>
    <t>Rule-based</t>
  </si>
  <si>
    <t>Text vs voice vs robot</t>
  </si>
  <si>
    <t>6 sessions over 2 weeks</t>
  </si>
  <si>
    <t>No intervention + modality comparison</t>
  </si>
  <si>
    <t>Depression; interpretation bias; user experience</t>
  </si>
  <si>
    <t>No difference between delivery modalities</t>
  </si>
  <si>
    <t>AI-CBT chatbot</t>
  </si>
  <si>
    <t>Anxiety</t>
  </si>
  <si>
    <t>Young adults, China</t>
  </si>
  <si>
    <t>CBT</t>
  </si>
  <si>
    <t>4 weeks</t>
  </si>
  <si>
    <t>Peer counsellor CBT + no intervention</t>
  </si>
  <si>
    <t>Anxiety; sleep; self-efficacy; perceived benefit</t>
  </si>
  <si>
    <t>No difference</t>
  </si>
  <si>
    <t>Within-group gains only; lower perceived benefit for AI</t>
  </si>
  <si>
    <t>Tinnibot vs Woebot</t>
  </si>
  <si>
    <t>Tinnitus distress</t>
  </si>
  <si>
    <t>Adults with tinnitus</t>
  </si>
  <si>
    <t>iCBT + mindfulness</t>
  </si>
  <si>
    <t>8 weeks</t>
  </si>
  <si>
    <t>Woebot + waitlist</t>
  </si>
  <si>
    <t>Tinnitus distress; anxiety; depression; insomnia</t>
  </si>
  <si>
    <t>Condition-specific bot outperformed generic bot on insomnia and tinnitus distress</t>
  </si>
  <si>
    <t>CanRelax 2.0</t>
  </si>
  <si>
    <t>Cancer-related distress</t>
  </si>
  <si>
    <t>Adults with cancer</t>
  </si>
  <si>
    <t>Mindfulness, relaxation, coaching (BCTs)</t>
  </si>
  <si>
    <t>RCT (secondary analysis)</t>
  </si>
  <si>
    <t>10 weeks</t>
  </si>
  <si>
    <t>(RCT arm)</t>
  </si>
  <si>
    <t>Working alliance; distress</t>
  </si>
  <si>
    <t>Alliance (task, goal) weakly associated with lower distress</t>
  </si>
  <si>
    <t>Generative AI career counsellor</t>
  </si>
  <si>
    <t>Career decision-making</t>
  </si>
  <si>
    <t>University students, China</t>
  </si>
  <si>
    <t>Brief career counselling</t>
  </si>
  <si>
    <t>Controlled trial</t>
  </si>
  <si>
    <t>3 weeks</t>
  </si>
  <si>
    <t>Human career counselling</t>
  </si>
  <si>
    <t>Information; career decision self-efficacy; decision efficiency</t>
  </si>
  <si>
    <t>AI non-inferior for information; human better for self-efficacy and decision outcomes</t>
  </si>
  <si>
    <t>Your Self-Compassion Companion</t>
  </si>
  <si>
    <t>Well-being and academic functioning</t>
  </si>
  <si>
    <t>College students</t>
  </si>
  <si>
    <t>Self-compassion / CFT</t>
  </si>
  <si>
    <t>3 weekly 20-min sessions</t>
  </si>
  <si>
    <t>Active control</t>
  </si>
  <si>
    <t>Self-compassion; self-criticism; self-esteem; academic engagement</t>
  </si>
  <si>
    <t>High completion (99%)</t>
  </si>
  <si>
    <t>GROW, SF and CBT coaching chatbots</t>
  </si>
  <si>
    <t>Personal development coaching</t>
  </si>
  <si>
    <t>Adults</t>
  </si>
  <si>
    <t>Coaching (GROW, solution-focused, CBT)</t>
  </si>
  <si>
    <t>Randomised experiment (3 arms)</t>
  </si>
  <si>
    <t>2 sessions</t>
  </si>
  <si>
    <t>Alternative coaching models</t>
  </si>
  <si>
    <t>Goal attainment; working alliance; technology adoption</t>
  </si>
  <si>
    <t>CBT-based bot outperformed GROW and SF bots</t>
  </si>
  <si>
    <t>Supportive Listener (GPT-4)</t>
  </si>
  <si>
    <t>Anxiety and depression</t>
  </si>
  <si>
    <t>Afghan women</t>
  </si>
  <si>
    <t>Person-centred, trauma-sensitive supportive listening</t>
  </si>
  <si>
    <t>Several sessions</t>
  </si>
  <si>
    <t>Standard GPT-4 + waitlist</t>
  </si>
  <si>
    <t>HADS; linguistic style matching; perceived empathy</t>
  </si>
  <si>
    <t>Instructions, not the base model, drove benefit</t>
  </si>
  <si>
    <t>Solution-focused AI therapy app</t>
  </si>
  <si>
    <t>Depression, anxiety, well-being</t>
  </si>
  <si>
    <t>Adults online</t>
  </si>
  <si>
    <t>Solution-focused brief therapy</t>
  </si>
  <si>
    <t>3 weeks (9 sessions)</t>
  </si>
  <si>
    <t>ChatGPT + assessment-only</t>
  </si>
  <si>
    <t>PHQ-9; ODSIS; GAD-7; well-being</t>
  </si>
  <si>
    <t>Structured SF bot vs unstructured ChatGPT; low completion (39%)</t>
  </si>
  <si>
    <t>AI conversational mental health platform</t>
  </si>
  <si>
    <t>Psychiatric symptoms</t>
  </si>
  <si>
    <t>University students with distress, Israel</t>
  </si>
  <si>
    <t>Integrative (CBT, ACT, DBT, positive psychology)</t>
  </si>
  <si>
    <t>12 weeks + 3-month follow-up</t>
  </si>
  <si>
    <t>Group therapy + waitlist</t>
  </si>
  <si>
    <t>GAD-7; PHQ-9; PCL-5; WHO-5; life satisfaction; alliance</t>
  </si>
  <si>
    <t>Linked report U00888 (moderators: loneliness, attachment)</t>
  </si>
  <si>
    <t>Echo App V2.0</t>
  </si>
  <si>
    <t>Alcohol use disorder</t>
  </si>
  <si>
    <t>Inpatients, China</t>
  </si>
  <si>
    <t>CBT (+ MI)</t>
  </si>
  <si>
    <t>Rule-based (dialogue trees)</t>
  </si>
  <si>
    <t>ECA (digital human)</t>
  </si>
  <si>
    <t>4 weeks (10 sessions); 3-month follow-up</t>
  </si>
  <si>
    <t>TAU</t>
  </si>
  <si>
    <t>Craving; relapse; emotion; sleep; motivation</t>
  </si>
  <si>
    <t>Assessors blinded</t>
  </si>
  <si>
    <t>Robot-facilitated support group</t>
  </si>
  <si>
    <t>Anxiety and affect</t>
  </si>
  <si>
    <t>Facilitated support group (group therapy)</t>
  </si>
  <si>
    <t>LLM (Wizard-of-Oz framing)</t>
  </si>
  <si>
    <t>Robot</t>
  </si>
  <si>
    <t>Between/within experiment</t>
  </si>
  <si>
    <t>NR</t>
  </si>
  <si>
    <t>Single session</t>
  </si>
  <si>
    <t>Perceived human-operated vs autonomous</t>
  </si>
  <si>
    <t>Anxiety; positive and negative affect; trust</t>
  </si>
  <si>
    <t>Pre-post reductions; no condition difference</t>
  </si>
  <si>
    <t>VR Miracle-Question counselling</t>
  </si>
  <si>
    <t>Affect and goal reflection</t>
  </si>
  <si>
    <t>SFBT (miracle question)</t>
  </si>
  <si>
    <t>LLM within scripted state machine</t>
  </si>
  <si>
    <t>VR</t>
  </si>
  <si>
    <t>Pre-post + between-subjects</t>
  </si>
  <si>
    <t>Humanoid agent vs non-anthropomorphic metaphor</t>
  </si>
  <si>
    <t>Positive/negative affect; psychological safety</t>
  </si>
  <si>
    <t>LLM restricted to surface generation</t>
  </si>
  <si>
    <t>Emotional-support vs problem-solving chatbots</t>
  </si>
  <si>
    <t>Digital stress</t>
  </si>
  <si>
    <t>Supportive communication (emotional vs informational support)</t>
  </si>
  <si>
    <t>14 days</t>
  </si>
  <si>
    <t>Waitlist</t>
  </si>
  <si>
    <t>Digital stress dimensions; anxiety; depression</t>
  </si>
  <si>
    <t>Function-specific effects; depression unchanged</t>
  </si>
  <si>
    <t>AI role-play conflict intervention</t>
  </si>
  <si>
    <t>Interpersonal conflict</t>
  </si>
  <si>
    <t>Role-play (counselling technique)</t>
  </si>
  <si>
    <t>Between-subjects experiments</t>
  </si>
  <si>
    <t>Human counsellor + no interaction</t>
  </si>
  <si>
    <t>Revenge intention; understanding; willingness to communicate</t>
  </si>
  <si>
    <t>Effects did not transfer to parallel scenarios</t>
  </si>
  <si>
    <t>ChatGPT-4 CBT micro-intervention</t>
  </si>
  <si>
    <t>Procrastination</t>
  </si>
  <si>
    <t>Randomised pilot</t>
  </si>
  <si>
    <t>3 sessions; 6-month follow-up</t>
  </si>
  <si>
    <t>Human conversational agent</t>
  </si>
  <si>
    <t>Procrastination; depression; anxiety; unwanted effects</t>
  </si>
  <si>
    <t>43% reported unwanted effects in both arms</t>
  </si>
  <si>
    <t>LLM-VR-CBT</t>
  </si>
  <si>
    <t>Academic anxiety</t>
  </si>
  <si>
    <t>LLM + RAG</t>
  </si>
  <si>
    <t>Traditional CBT + minimal support</t>
  </si>
  <si>
    <t>Academic anxiety; heart rate</t>
  </si>
  <si>
    <t>Non-inferior to traditional CBT</t>
  </si>
  <si>
    <t>GenAI-enabled CBT app</t>
  </si>
  <si>
    <t>US adults with symptoms</t>
  </si>
  <si>
    <t>6 weeks</t>
  </si>
  <si>
    <t>Digital CBT workbook</t>
  </si>
  <si>
    <t>Engagement; GAD-7; PHQ-9; adverse events</t>
  </si>
  <si>
    <t>Higher engagement than workbook</t>
  </si>
  <si>
    <t>IVAM-ED (Alexa)</t>
  </si>
  <si>
    <t>Mental distress in diabetes</t>
  </si>
  <si>
    <t>Older adults with T2D, Brazil</t>
  </si>
  <si>
    <t>Behavioural intervention model</t>
  </si>
  <si>
    <t>Rule-based voice skill</t>
  </si>
  <si>
    <t>Smart speaker</t>
  </si>
  <si>
    <t>12 weeks</t>
  </si>
  <si>
    <t>Usual care</t>
  </si>
  <si>
    <t>Mental distress; QoL; perceived stress; self-care; HbA1c</t>
  </si>
  <si>
    <t>Commercial smart speaker programmed for intervention</t>
  </si>
  <si>
    <t>LLM-assisted counselling</t>
  </si>
  <si>
    <t>Unemployment distress and career adaptability</t>
  </si>
  <si>
    <t>Unemployed adults, China</t>
  </si>
  <si>
    <t>CBT + career adaptability</t>
  </si>
  <si>
    <t>Randomised comparison</t>
  </si>
  <si>
    <t>12 bi-weekly sessions (6 months)</t>
  </si>
  <si>
    <t>Supervised human online counselling</t>
  </si>
  <si>
    <t>GAD-7; career adaptability; acceptance</t>
  </si>
  <si>
    <t>Authors caution against generalising superiority</t>
  </si>
  <si>
    <t>Socratic vs didactic counselling chatbots</t>
  </si>
  <si>
    <t>Academic stress</t>
  </si>
  <si>
    <t>Socratic questioning (CBT) vs didactic</t>
  </si>
  <si>
    <t>Within-subjects comparison</t>
  </si>
  <si>
    <t>Repeated sessions</t>
  </si>
  <si>
    <t>Counselling style</t>
  </si>
  <si>
    <t>Perceived stress; therapeutic alliance</t>
  </si>
  <si>
    <t>Didactic style outperformed Socratic style</t>
  </si>
  <si>
    <t>SAR-delivered CBT exercises</t>
  </si>
  <si>
    <t>Psychological distress and anxiety</t>
  </si>
  <si>
    <t>Robot vs text</t>
  </si>
  <si>
    <t>Randomised comparison (3 arms)</t>
  </si>
  <si>
    <t>15 days</t>
  </si>
  <si>
    <t>Chatbot + worksheets</t>
  </si>
  <si>
    <t>Distress; session anxiety; adherence</t>
  </si>
  <si>
    <t>Robot and worksheet reduced distress; chatbot did not</t>
  </si>
  <si>
    <t>MI chatbot in primary care</t>
  </si>
  <si>
    <t>Lifestyle (NCD prevention)</t>
  </si>
  <si>
    <t>Adults 45-75 with/at risk of hypertension or diabetes</t>
  </si>
  <si>
    <t>Motivational interviewing</t>
  </si>
  <si>
    <t>Pragmatic RCT</t>
  </si>
  <si>
    <t>12 weeks; 9-month follow-up</t>
  </si>
  <si>
    <t>Physical activity; diet; committed action; blood pressure</t>
  </si>
  <si>
    <t>Dose-response; sustained at 9 months</t>
  </si>
  <si>
    <t>Wysa</t>
  </si>
  <si>
    <t>Depression and anxiety on waiting list</t>
  </si>
  <si>
    <t>NHS Talking Therapies patients</t>
  </si>
  <si>
    <t>Hybrid (NLP + scripted)</t>
  </si>
  <si>
    <t>Usual waiting</t>
  </si>
  <si>
    <t>PHQ-9; GAD-7; QoL; engagement</t>
  </si>
  <si>
    <t>Under-powered; engagement limited by conversational errors</t>
  </si>
  <si>
    <t>Embodied ER intervention avatars</t>
  </si>
  <si>
    <t>Emotion regulation</t>
  </si>
  <si>
    <t>Emotion regulation (psychoeducation, gratitude, reappraisal)</t>
  </si>
  <si>
    <t>ECA</t>
  </si>
  <si>
    <t>Between-subjects experiment (4 arms)</t>
  </si>
  <si>
    <t>Audio-only control</t>
  </si>
  <si>
    <t>Emotions; satisfaction; user experience</t>
  </si>
  <si>
    <t>Realistic avatar lowered satisfaction (uncanny valley)</t>
  </si>
  <si>
    <t>Solution-focused ECA on robot</t>
  </si>
  <si>
    <t>Mental well-being in later life</t>
  </si>
  <si>
    <t>Older adults</t>
  </si>
  <si>
    <t>SFBT vs problem-focused approach</t>
  </si>
  <si>
    <t>Scripted</t>
  </si>
  <si>
    <t>Randomised experiment</t>
  </si>
  <si>
    <t>Problem-focused approach</t>
  </si>
  <si>
    <t>K10 distress; robot impressions</t>
  </si>
  <si>
    <t>Perceived intelligence, not framework, predicted outcome</t>
  </si>
  <si>
    <t>Anxiety Receipt</t>
  </si>
  <si>
    <t>Anxiety externalisation</t>
  </si>
  <si>
    <t>Expressive Therapies Continuum + CBT/ACT</t>
  </si>
  <si>
    <t>Tangible interface</t>
  </si>
  <si>
    <t>Between-subjects experiment (EEG)</t>
  </si>
  <si>
    <t>Screen-based interface</t>
  </si>
  <si>
    <t>EEG beta and frontal alpha asymmetry</t>
  </si>
  <si>
    <t>Physiological outcome only</t>
  </si>
  <si>
    <t>Classical Chinese poetry support</t>
  </si>
  <si>
    <t>Negative affect</t>
  </si>
  <si>
    <t>Poetry therapy (RES model)</t>
  </si>
  <si>
    <t>Multimodal (voice, image)</t>
  </si>
  <si>
    <t>Between-subjects experiment</t>
  </si>
  <si>
    <t>Text-only version</t>
  </si>
  <si>
    <t>Affect; feeling understood; usability</t>
  </si>
  <si>
    <t>Culturally grounded design</t>
  </si>
  <si>
    <t>Woebot for Postpartum Mood and Anxiety</t>
  </si>
  <si>
    <t>Postpartum mood</t>
  </si>
  <si>
    <t>Postpartum individuals</t>
  </si>
  <si>
    <t>Feasibility; acceptability; satisfaction; mood</t>
  </si>
  <si>
    <t>Feasibility met across education levels</t>
  </si>
  <si>
    <t>Woebot (W-GenZD)</t>
  </si>
  <si>
    <t>Adolescent depression</t>
  </si>
  <si>
    <t>Adolescents in outpatient care</t>
  </si>
  <si>
    <t>RCT (non-inferiority)</t>
  </si>
  <si>
    <t>Group telehealth CBT</t>
  </si>
  <si>
    <t>PHQ-8; working alliance; anxiety</t>
  </si>
  <si>
    <t>Non-inferior to clinician-led group CBT</t>
  </si>
  <si>
    <t>Ai-Aun</t>
  </si>
  <si>
    <t>Mental health in later life</t>
  </si>
  <si>
    <t>Thai older adults</t>
  </si>
  <si>
    <t>Mixed (CBT, mindfulness, psychoeducation)</t>
  </si>
  <si>
    <t>ECA (avatar)</t>
  </si>
  <si>
    <t>No intervention</t>
  </si>
  <si>
    <t>Geriatric mental health</t>
  </si>
  <si>
    <t>High satisfaction</t>
  </si>
  <si>
    <t>Mindfulness and values chatbots</t>
  </si>
  <si>
    <t>Well-being and stress</t>
  </si>
  <si>
    <t>Post-secondary students</t>
  </si>
  <si>
    <t>Mindfulness (mindfulness-to-meaning)</t>
  </si>
  <si>
    <t>Randomised experiments (2 studies)</t>
  </si>
  <si>
    <t>1 and 4 weeks</t>
  </si>
  <si>
    <t>Active check-in control</t>
  </si>
  <si>
    <t>Well-being; decentering; reappraisal</t>
  </si>
  <si>
    <t>Effect via decentering</t>
  </si>
  <si>
    <t>Person-centred social AI messages</t>
  </si>
  <si>
    <t>Loneliness and anxiety</t>
  </si>
  <si>
    <t>Adults (online panel)</t>
  </si>
  <si>
    <t>Supportive communication (person-centred messages)</t>
  </si>
  <si>
    <t>2x2 between-subjects experiment</t>
  </si>
  <si>
    <t>Low person-centred messages</t>
  </si>
  <si>
    <t>Emotional validation; support quality</t>
  </si>
  <si>
    <t>Social presence moderated effects</t>
  </si>
  <si>
    <t>Multi-chatbot group MI</t>
  </si>
  <si>
    <t>Premenstrual syndrome coping</t>
  </si>
  <si>
    <t>Women</t>
  </si>
  <si>
    <t>Motivational interviewing (group)</t>
  </si>
  <si>
    <t>LLM (multi-agent)</t>
  </si>
  <si>
    <t>Controlled study (3 conditions)</t>
  </si>
  <si>
    <t>2 menstrual cycles</t>
  </si>
  <si>
    <t>No intervention + one-to-one chatbot</t>
  </si>
  <si>
    <t>Engagement; language convergence; coping</t>
  </si>
  <si>
    <t>Group format increased engagement and social learning</t>
  </si>
  <si>
    <t>emol</t>
  </si>
  <si>
    <t>Depression on psychiatric waiting lists</t>
  </si>
  <si>
    <t>Adolescents, Japan</t>
  </si>
  <si>
    <t>ACT</t>
  </si>
  <si>
    <t>Rule-based (commercial)</t>
  </si>
  <si>
    <t>RCT (terminated)</t>
  </si>
  <si>
    <t>96 eligible</t>
  </si>
  <si>
    <t>8 weekly sessions</t>
  </si>
  <si>
    <t>Standard information</t>
  </si>
  <si>
    <t>PHQ-9</t>
  </si>
  <si>
    <t>Feasibility only</t>
  </si>
  <si>
    <t>Terminated early; recruitment and implementation barriers</t>
  </si>
  <si>
    <t>Digital programme for anxiety (CA + human support)</t>
  </si>
  <si>
    <t>Generalised anxiety</t>
  </si>
  <si>
    <t>Adults, UK NHS</t>
  </si>
  <si>
    <t>ML-driven CA with clinician oversight</t>
  </si>
  <si>
    <t>Non-randomised controlled (propensity-matched)</t>
  </si>
  <si>
    <t>Up to 9 weeks; 1-month follow-up</t>
  </si>
  <si>
    <t>Matched waitlist; face-to-face and typed CBT</t>
  </si>
  <si>
    <t>GAD-7; engagement; safety</t>
  </si>
  <si>
    <t>Non-inferior to human-delivered CBT</t>
  </si>
  <si>
    <t>High vs low social-cue chatbots</t>
  </si>
  <si>
    <t>College students with PHQ-9 &gt;= 9</t>
  </si>
  <si>
    <t>Text vs multimodal (voice, animation)</t>
  </si>
  <si>
    <t>16 weeks</t>
  </si>
  <si>
    <t>Text-only chatbot</t>
  </si>
  <si>
    <t>PHQ-9; GAD-7; PANAS; alliance; adherence</t>
  </si>
  <si>
    <t>Social cues improved symptoms and adherence</t>
  </si>
  <si>
    <t>VR interpersonal ER agent</t>
  </si>
  <si>
    <t>Interpersonal emotion regulation strategies</t>
  </si>
  <si>
    <t>Between-subjects experiments (2 studies)</t>
  </si>
  <si>
    <t>No agent + non-supportive agent</t>
  </si>
  <si>
    <t>Emotional state; trust; social presence</t>
  </si>
  <si>
    <t>Emotional voice tone improved regulation</t>
  </si>
  <si>
    <t>Moa</t>
  </si>
  <si>
    <t>Procrastination and stress</t>
  </si>
  <si>
    <t>University students, Korea</t>
  </si>
  <si>
    <t>Semi-generative (hybrid)</t>
  </si>
  <si>
    <t>Text (in to-do app)</t>
  </si>
  <si>
    <t>Pilot RCT</t>
  </si>
  <si>
    <t>30 days; 2-month follow-up</t>
  </si>
  <si>
    <t>To-do app without chatbot</t>
  </si>
  <si>
    <t>Procrastination; time management; stress</t>
  </si>
  <si>
    <t>Engagement patterns linked to change</t>
  </si>
  <si>
    <t>CBT AI chatbot</t>
  </si>
  <si>
    <t>Depression and loneliness</t>
  </si>
  <si>
    <t>7 days</t>
  </si>
  <si>
    <t>CES-D; GAD-7; UCLA loneliness</t>
  </si>
  <si>
    <t>Depression and loneliness improved; anxiety did not</t>
  </si>
  <si>
    <t>LLM agent in short-video app</t>
  </si>
  <si>
    <t>Depression and anxiety</t>
  </si>
  <si>
    <t>Mixed (CBT, problem-solving, positive psychology)</t>
  </si>
  <si>
    <t>28 days</t>
  </si>
  <si>
    <t>Depression; anxiety</t>
  </si>
  <si>
    <t>Benefit required sufficient use</t>
  </si>
  <si>
    <t>Topic-based chatbots</t>
  </si>
  <si>
    <t>Mental health self-care</t>
  </si>
  <si>
    <t>General population, Hong Kong</t>
  </si>
  <si>
    <t>Stress management, emotion regulation, values clarification</t>
  </si>
  <si>
    <t>10 days; 1-month follow-up</t>
  </si>
  <si>
    <t>Self-care efficacy; literacy; behaviour; well-being</t>
  </si>
  <si>
    <t>Prevention focus</t>
  </si>
  <si>
    <t>MI-oriented AI digital assistant</t>
  </si>
  <si>
    <t>COVID-19 vaccine hesitancy</t>
  </si>
  <si>
    <t>Vaccine-hesitant adults, Hong Kong</t>
  </si>
  <si>
    <t>Rule-based / NLU</t>
  </si>
  <si>
    <t>Text (+ web modules)</t>
  </si>
  <si>
    <t>5 weeks; 6-month follow-up</t>
  </si>
  <si>
    <t>Information messages</t>
  </si>
  <si>
    <t>Vaccine hesitancy; readiness; confidence; trust</t>
  </si>
  <si>
    <t>Linked report U05685</t>
  </si>
  <si>
    <t>STARS (WHO) feasibility</t>
  </si>
  <si>
    <t>Young people, Jordan</t>
  </si>
  <si>
    <t>CBT (transdiagnostic)</t>
  </si>
  <si>
    <t>Feasibility RCT</t>
  </si>
  <si>
    <t>10 lessons (8 weeks)</t>
  </si>
  <si>
    <t>Enhanced care as usual</t>
  </si>
  <si>
    <t>HSCL-25; functioning; feasibility</t>
  </si>
  <si>
    <t>Precursor to U00135</t>
  </si>
  <si>
    <t>bCBT app virtual agent features</t>
  </si>
  <si>
    <t>Brief CBT</t>
  </si>
  <si>
    <t>Factorial RCT</t>
  </si>
  <si>
    <t>2 weeks</t>
  </si>
  <si>
    <t>Agent feature variants</t>
  </si>
  <si>
    <t>PHQ-8; PSS; rumination; usability</t>
  </si>
  <si>
    <t>Conversation did not improve outcomes; animation improved UX</t>
  </si>
  <si>
    <t>ChatGPT structured counselling</t>
  </si>
  <si>
    <t>Anxiety and career readiness</t>
  </si>
  <si>
    <t>Unemployed graduates, China</t>
  </si>
  <si>
    <t>Structured counselling (career, CBT)</t>
  </si>
  <si>
    <t>Randomised pre-post control</t>
  </si>
  <si>
    <t>8 sessions</t>
  </si>
  <si>
    <t>Human counselling</t>
  </si>
  <si>
    <t>GAD-7; career adaptability</t>
  </si>
  <si>
    <t>Stakeholder focus groups</t>
  </si>
  <si>
    <t>MIcha</t>
  </si>
  <si>
    <t>Behaviour change</t>
  </si>
  <si>
    <t>Single conversation</t>
  </si>
  <si>
    <t>Control conversation</t>
  </si>
  <si>
    <t>Readiness to change; harms</t>
  </si>
  <si>
    <t>User behaviour types moderated outcomes</t>
  </si>
  <si>
    <t>PsyBot</t>
  </si>
  <si>
    <t>Loneliness</t>
  </si>
  <si>
    <t>University students, Indonesia</t>
  </si>
  <si>
    <t>Psychological first aid</t>
  </si>
  <si>
    <t>Text (WhatsApp)</t>
  </si>
  <si>
    <t>Single 30-min session</t>
  </si>
  <si>
    <t>Neutral activity</t>
  </si>
  <si>
    <t>UCLA loneliness</t>
  </si>
  <si>
    <t>Transcripts checked for PFA fidelity</t>
  </si>
  <si>
    <t>Woebot generative vs rules-based</t>
  </si>
  <si>
    <t>Mental health support</t>
  </si>
  <si>
    <t>LLM with guardrails vs rule-based</t>
  </si>
  <si>
    <t>Rule-based version</t>
  </si>
  <si>
    <t>Satisfaction; alliance; empathy accuracy; engagement; adverse events</t>
  </si>
  <si>
    <t>Comparable experience; guardrails validated</t>
  </si>
  <si>
    <t>PST chatbot (GPT-4)</t>
  </si>
  <si>
    <t>Post-COVID distress</t>
  </si>
  <si>
    <t>Problem-solving therapy</t>
  </si>
  <si>
    <t>Controlled experiment</t>
  </si>
  <si>
    <t>Control group</t>
  </si>
  <si>
    <t>Problem awareness; problem solving; relationship quality</t>
  </si>
  <si>
    <t>No effect on relationship quality</t>
  </si>
  <si>
    <t>Directive vs non-directive virtual agent</t>
  </si>
  <si>
    <t>Stress</t>
  </si>
  <si>
    <t>Stress management (directive vs non-directive guidance)</t>
  </si>
  <si>
    <t>Multiple sessions</t>
  </si>
  <si>
    <t>Guidance style</t>
  </si>
  <si>
    <t>Stress; therapeutic alliance</t>
  </si>
  <si>
    <t>Alliance depended on alexithymia</t>
  </si>
  <si>
    <t>ED ESSI</t>
  </si>
  <si>
    <t>Eating disorders (waitlist)</t>
  </si>
  <si>
    <t>People on ED treatment waitlists</t>
  </si>
  <si>
    <t>Single-session intervention (psychoeducation, CBT)</t>
  </si>
  <si>
    <t>Single 30-min session; 3-month follow-up</t>
  </si>
  <si>
    <t>Web information</t>
  </si>
  <si>
    <t>ED pathology; depression; anxiety; motivation</t>
  </si>
  <si>
    <t>Co-designed with lived experience</t>
  </si>
  <si>
    <t>Amanda</t>
  </si>
  <si>
    <t>Relationship distress</t>
  </si>
  <si>
    <t>Adults in relationships</t>
  </si>
  <si>
    <t>Single-session relationship intervention (conflict reappraisal)</t>
  </si>
  <si>
    <t>Single session; 2-week follow-up</t>
  </si>
  <si>
    <t>Writing task</t>
  </si>
  <si>
    <t>Relationship satisfaction; communication; well-being</t>
  </si>
  <si>
    <t>Both arms improved; few group differences</t>
  </si>
  <si>
    <t>MIBot</t>
  </si>
  <si>
    <t>Readiness to quit smoking</t>
  </si>
  <si>
    <t>Smokers</t>
  </si>
  <si>
    <t>Hybrid (scripted + generative reflections)</t>
  </si>
  <si>
    <t>Quasi-experimental cohort comparison</t>
  </si>
  <si>
    <t>Single conversation; 1-week follow-up</t>
  </si>
  <si>
    <t>Pre- vs post-ChatGPT cohorts</t>
  </si>
  <si>
    <t>Readiness/confidence; interaction metrics</t>
  </si>
  <si>
    <t>User expectations shifted after ChatGPT</t>
  </si>
  <si>
    <t>CBT-I chatbot</t>
  </si>
  <si>
    <t>Insomnia, depression, anxiety</t>
  </si>
  <si>
    <t>Psychiatric outpatients, Taiwan</t>
  </si>
  <si>
    <t>CBT-I</t>
  </si>
  <si>
    <t>Sleep education website</t>
  </si>
  <si>
    <t>PSQI; PHQ-9; BDI; BAI</t>
  </si>
  <si>
    <t>High attrition</t>
  </si>
  <si>
    <t>iCBT adherence chatbot</t>
  </si>
  <si>
    <t>Subthreshold depression</t>
  </si>
  <si>
    <t>Employees, Japan</t>
  </si>
  <si>
    <t>CBT (adherence support)</t>
  </si>
  <si>
    <t>iCBT alone</t>
  </si>
  <si>
    <t>iCBT completion</t>
  </si>
  <si>
    <t>Completion 35% vs 19%</t>
  </si>
  <si>
    <t>MISHA</t>
  </si>
  <si>
    <t>Student stress</t>
  </si>
  <si>
    <t>Students, Switzerland</t>
  </si>
  <si>
    <t>Stress management coaching (CBT-based)</t>
  </si>
  <si>
    <t>PSS; depression; anxiety; somatic symptoms</t>
  </si>
  <si>
    <t>Per-protocol effects medium</t>
  </si>
  <si>
    <t>Adaptive Socratic ECA</t>
  </si>
  <si>
    <t>Negative automatic thoughts</t>
  </si>
  <si>
    <t>CBT (Socratic questioning)</t>
  </si>
  <si>
    <t>Rule-based + distress detection</t>
  </si>
  <si>
    <t>Comparative experiment</t>
  </si>
  <si>
    <t>Random number of questions</t>
  </si>
  <si>
    <t>Distress; negative emotion; cognitive change</t>
  </si>
  <si>
    <t>Adaptation based on detected distress</t>
  </si>
  <si>
    <t>Zenny</t>
  </si>
  <si>
    <t>Well-being promotion</t>
  </si>
  <si>
    <t>US adults</t>
  </si>
  <si>
    <t>Positive psychology (+ CBT)</t>
  </si>
  <si>
    <t>1 month</t>
  </si>
  <si>
    <t>Active control (online resources)</t>
  </si>
  <si>
    <t>WHO-5; flourishing; MHC-SF</t>
  </si>
  <si>
    <t>Both groups improved equally</t>
  </si>
  <si>
    <t>QuitBot</t>
  </si>
  <si>
    <t>Smoking cessation</t>
  </si>
  <si>
    <t>Adult smokers</t>
  </si>
  <si>
    <t>ACT-based cessation counselling</t>
  </si>
  <si>
    <t>Rule-based + LLM Q&amp;A</t>
  </si>
  <si>
    <t>RCT (pilot within 11-step UCD)</t>
  </si>
  <si>
    <t>42 days</t>
  </si>
  <si>
    <t>Comparator programme</t>
  </si>
  <si>
    <t>Abstinence; engagement</t>
  </si>
  <si>
    <t>LLM Q&amp;A added after user feedback</t>
  </si>
  <si>
    <t>BalanceUP</t>
  </si>
  <si>
    <t>Mental well-being with headaches</t>
  </si>
  <si>
    <t>Adults with frequent headaches</t>
  </si>
  <si>
    <t>Coaching with behaviour change techniques</t>
  </si>
  <si>
    <t>PHQ-ADS; stress; self-efficacy</t>
  </si>
  <si>
    <t>Follow-up report U07300 excluded (single-arm)</t>
  </si>
  <si>
    <t>MI vs confrontational smoking chatbot</t>
  </si>
  <si>
    <t>MI vs confrontational counselling</t>
  </si>
  <si>
    <t>Confrontational style</t>
  </si>
  <si>
    <t>Intention to quit; self-efficacy; engagement; alliance; empathy</t>
  </si>
  <si>
    <t>MI rated better; cessation outcomes similar</t>
  </si>
  <si>
    <t>Vitalk</t>
  </si>
  <si>
    <t>Health-worker well-being</t>
  </si>
  <si>
    <t>Health workers, Malawi</t>
  </si>
  <si>
    <t>CBT / resilience skills</t>
  </si>
  <si>
    <t>Internet resources</t>
  </si>
  <si>
    <t>GAD-7; PHQ-9; burnout; loneliness; resilience</t>
  </si>
  <si>
    <t>High attrition (511 completers)</t>
  </si>
  <si>
    <t>Mental health with chronic disease</t>
  </si>
  <si>
    <t>Adults with arthritis or diabetes</t>
  </si>
  <si>
    <t>PHQ-9; GAD-7; PSS</t>
  </si>
  <si>
    <t>Within-group effects</t>
  </si>
  <si>
    <t>Fido</t>
  </si>
  <si>
    <t>Subclinical depression and anxiety</t>
  </si>
  <si>
    <t>Young adults, Poland</t>
  </si>
  <si>
    <t>Self-help book</t>
  </si>
  <si>
    <t>PHQ-9; GAD-7; loneliness</t>
  </si>
  <si>
    <t>Non-English, highly inflected language</t>
  </si>
  <si>
    <t>ELME</t>
  </si>
  <si>
    <t>Adults with moderate-high stress</t>
  </si>
  <si>
    <t>Mindfulness, interoception, psychoeducation</t>
  </si>
  <si>
    <t>3 weeks; 6-week follow-up</t>
  </si>
  <si>
    <t>PSS; mindfulness; well-being; emotion regulation</t>
  </si>
  <si>
    <t>Lab stress test included</t>
  </si>
  <si>
    <t>ED services-uptake chatbot</t>
  </si>
  <si>
    <t>Eating-disorder help-seeking</t>
  </si>
  <si>
    <t>Adults screening positive for ED</t>
  </si>
  <si>
    <t>MI + psychoeducation (components)</t>
  </si>
  <si>
    <t>Optimisation (factorial) RCT</t>
  </si>
  <si>
    <t>14 weeks</t>
  </si>
  <si>
    <t>Component on/off</t>
  </si>
  <si>
    <t>Services use; helpfulness; change attitudes</t>
  </si>
  <si>
    <t>Repeated check-ins increased services use; MI reduced change attitudes</t>
  </si>
  <si>
    <t>Future You</t>
  </si>
  <si>
    <t>Anxiety and future self-continuity</t>
  </si>
  <si>
    <t>Young adults 18-30</t>
  </si>
  <si>
    <t>Prospection / future self-continuity</t>
  </si>
  <si>
    <t>Text + age-progressed image</t>
  </si>
  <si>
    <t>RCT (preregistered)</t>
  </si>
  <si>
    <t>Control conditions</t>
  </si>
  <si>
    <t>Anxiety; negative emotion; future self-continuity</t>
  </si>
  <si>
    <t>Personalised synthetic memory</t>
  </si>
  <si>
    <t>GAMBOT2</t>
  </si>
  <si>
    <t>Problem gambling</t>
  </si>
  <si>
    <t>Adults with moderate-risk/problem gambling</t>
  </si>
  <si>
    <t>Text (LINE)</t>
  </si>
  <si>
    <t>4 weeks; 12-week follow-up</t>
  </si>
  <si>
    <t>Guided vs unguided</t>
  </si>
  <si>
    <t>G-SAS; stage of change</t>
  </si>
  <si>
    <t>Therapist feedback added no benefit</t>
  </si>
  <si>
    <t>VACT-CP virtual coach</t>
  </si>
  <si>
    <t>Chronic pain</t>
  </si>
  <si>
    <t>Veterans</t>
  </si>
  <si>
    <t>Scripted relational agent</t>
  </si>
  <si>
    <t>7 weeks</t>
  </si>
  <si>
    <t>Waitlist + TAU</t>
  </si>
  <si>
    <t>Feasibility; pain; mental health; ACT processes</t>
  </si>
  <si>
    <t>Feasible and acceptable</t>
  </si>
  <si>
    <t>Emohaa</t>
  </si>
  <si>
    <t>Mental distress</t>
  </si>
  <si>
    <t>Adults, China</t>
  </si>
  <si>
    <t>CBT + emotional support</t>
  </si>
  <si>
    <t>Hybrid (scripted CBT-Bot + generative ES-Bot)</t>
  </si>
  <si>
    <t>RCT (3 arms)</t>
  </si>
  <si>
    <t>Control</t>
  </si>
  <si>
    <t>Depression; anxiety; insomnia; affect</t>
  </si>
  <si>
    <t>Full version (CBT + ES) best</t>
  </si>
  <si>
    <t>Robotic well-being companion</t>
  </si>
  <si>
    <t>Psychological well-being</t>
  </si>
  <si>
    <t>Positive psychology</t>
  </si>
  <si>
    <t>Controlled deployment (3 conditions)</t>
  </si>
  <si>
    <t>Assistant-like robot</t>
  </si>
  <si>
    <t>Alliance; well-being; readiness for change</t>
  </si>
  <si>
    <t>Companion-like delivery strengthened alliance</t>
  </si>
  <si>
    <t>TeaBot</t>
  </si>
  <si>
    <t>Cognitive distortions</t>
  </si>
  <si>
    <t>LLM (fine-tuned GPT-3)</t>
  </si>
  <si>
    <t>Mental health measures</t>
  </si>
  <si>
    <t>Early Central Asian LLM study</t>
  </si>
  <si>
    <t>Chatbot-assisted therapy (CAT)</t>
  </si>
  <si>
    <t>Methamphetamine use disorder</t>
  </si>
  <si>
    <t>Outpatients</t>
  </si>
  <si>
    <t>CBT-based psychosocial</t>
  </si>
  <si>
    <t>6 months</t>
  </si>
  <si>
    <t>Standard outpatient care</t>
  </si>
  <si>
    <t>Retention; urine tests; satisfaction</t>
  </si>
  <si>
    <t>Preliminary</t>
  </si>
  <si>
    <t>Virtual human CBSM</t>
  </si>
  <si>
    <t>Distressed adult women</t>
  </si>
  <si>
    <t>Cognitive behavioural stress management</t>
  </si>
  <si>
    <t>Pilot RCT (3 arms)</t>
  </si>
  <si>
    <t>1 session + 2 weeks homework</t>
  </si>
  <si>
    <t>Teletherapy + e-manual</t>
  </si>
  <si>
    <t>Feasibility; acceptability; rapport; stress</t>
  </si>
  <si>
    <t>Prepared full RCT</t>
  </si>
  <si>
    <t>Postpartum mental health chatbot</t>
  </si>
  <si>
    <t>Postpartum women</t>
  </si>
  <si>
    <t>PHQ-9; GAD-7; acceptability</t>
  </si>
  <si>
    <t>High acceptability</t>
  </si>
  <si>
    <t>Cecil(y)</t>
  </si>
  <si>
    <t>Single 8-min session</t>
  </si>
  <si>
    <t>Intention to quit; satisfaction</t>
  </si>
  <si>
    <t>Both styles increased intention to quit</t>
  </si>
  <si>
    <t>Stressbot</t>
  </si>
  <si>
    <t>Coping self-efficacy (social cognitive theory)</t>
  </si>
  <si>
    <t>Text (Messenger)</t>
  </si>
  <si>
    <t>NR; 1-month follow-up</t>
  </si>
  <si>
    <t>Stress; coping self-efficacy; QoL</t>
  </si>
  <si>
    <t>Short-term effects only</t>
  </si>
  <si>
    <t>Supportive chatbots vs human (WoZ)</t>
  </si>
  <si>
    <t>Distress</t>
  </si>
  <si>
    <t>Supportive communication (message contingency)</t>
  </si>
  <si>
    <t>Wizard-of-Oz</t>
  </si>
  <si>
    <t>Human + low-contingency chatbot</t>
  </si>
  <si>
    <t>Warmth; competence; reappraisal; distress</t>
  </si>
  <si>
    <t>Reappraisal pathway</t>
  </si>
  <si>
    <t>MBSR by virtual human, teletherapist or chatbot</t>
  </si>
  <si>
    <t>Mindfulness-based stress reduction</t>
  </si>
  <si>
    <t>ECA vs text</t>
  </si>
  <si>
    <t>1 session + 4 weeks homework</t>
  </si>
  <si>
    <t>Teletherapy + chatbot</t>
  </si>
  <si>
    <t>PSS; mindfulness; physiology; adherence</t>
  </si>
  <si>
    <t>All arms improved; virtual human raised homework adherence</t>
  </si>
  <si>
    <t>Body image chatbot</t>
  </si>
  <si>
    <t>Body image and well-being</t>
  </si>
  <si>
    <t>Adolescents, Brazil</t>
  </si>
  <si>
    <t>CBT-based microinterventions</t>
  </si>
  <si>
    <t>Assessment only</t>
  </si>
  <si>
    <t>State and trait body image; well-being</t>
  </si>
  <si>
    <t>LMIC scale-up</t>
  </si>
  <si>
    <t>Virtual agent in iCBT</t>
  </si>
  <si>
    <t>Same content without agent</t>
  </si>
  <si>
    <t>PHQ-9; engagement</t>
  </si>
  <si>
    <t>Short paper</t>
  </si>
  <si>
    <t>Chatbot positive psychology interventions</t>
  </si>
  <si>
    <t>Well-being</t>
  </si>
  <si>
    <t>Randomised experiments (2)</t>
  </si>
  <si>
    <t>Control groups</t>
  </si>
  <si>
    <t>Subjective well-being; depression; anxiety; resilience</t>
  </si>
  <si>
    <t>Interaction mattered more than adaptiveness</t>
  </si>
  <si>
    <t>TEO</t>
  </si>
  <si>
    <t>Stress and anxiety in ageing workers</t>
  </si>
  <si>
    <t>Workers aged &gt;55</t>
  </si>
  <si>
    <t>Hybrid (NLU + scripted)</t>
  </si>
  <si>
    <t>Voice/text</t>
  </si>
  <si>
    <t>RCT (4 arms)</t>
  </si>
  <si>
    <t>Therapy alone + waitlist</t>
  </si>
  <si>
    <t>Anxiety; stress; depression</t>
  </si>
  <si>
    <t>Agent mainly added value combined with therapy</t>
  </si>
  <si>
    <t>MI-style smoking chatbot</t>
  </si>
  <si>
    <t>Neutral chatbot</t>
  </si>
  <si>
    <t>Engagement; alliance; empathy; motivation to quit</t>
  </si>
  <si>
    <t>Motivation increased in both arms</t>
  </si>
  <si>
    <t>CBT app with embedded CA (primary care)</t>
  </si>
  <si>
    <t>Adolescents 13-17</t>
  </si>
  <si>
    <t>PHQ-9; acceptability; usability</t>
  </si>
  <si>
    <t>Implementation barriers in primary care</t>
  </si>
  <si>
    <t>Relational agent for alcohol SBIRT</t>
  </si>
  <si>
    <t>Alcohol use</t>
  </si>
  <si>
    <t>Veterans in primary care</t>
  </si>
  <si>
    <t>Screening, brief intervention, referral (MI-informed)</t>
  </si>
  <si>
    <t>2 visits; 3-month follow-up</t>
  </si>
  <si>
    <t>Drinks per day; drinking days; referrals</t>
  </si>
  <si>
    <t>Drinking fell in both arms</t>
  </si>
  <si>
    <t>KANOPEE</t>
  </si>
  <si>
    <t>Insomnia</t>
  </si>
  <si>
    <t>General population, France</t>
  </si>
  <si>
    <t>CBT-I (behavioural)</t>
  </si>
  <si>
    <t>Non-randomised controlled (app comparison)</t>
  </si>
  <si>
    <t>17 days</t>
  </si>
  <si>
    <t>Sleep diary app</t>
  </si>
  <si>
    <t>Insomnia Severity Index; sleep parameters</t>
  </si>
  <si>
    <t>Real-world, no clinician involvement</t>
  </si>
  <si>
    <t>Philobot</t>
  </si>
  <si>
    <t>Psychological resilience</t>
  </si>
  <si>
    <t>Hybrid</t>
  </si>
  <si>
    <t>4 days</t>
  </si>
  <si>
    <t>CBT reading</t>
  </si>
  <si>
    <t>Resilience</t>
  </si>
  <si>
    <t>Within-group gain only</t>
  </si>
  <si>
    <t>XiaoE</t>
  </si>
  <si>
    <t>1 week; 1-month follow-up</t>
  </si>
  <si>
    <t>E-book + general chatbot (Xiaoai)</t>
  </si>
  <si>
    <t>PHQ-9; working alliance; usability</t>
  </si>
  <si>
    <t>Outperformed general-purpose chatbot</t>
  </si>
  <si>
    <t>Chatbot self-help for depression</t>
  </si>
  <si>
    <t>Bibliotherapy</t>
  </si>
  <si>
    <t>PHQ-9; GAD-7; PANAS; alliance</t>
  </si>
  <si>
    <t>Long follow-up</t>
  </si>
  <si>
    <t>Digital human loneliness/stress intervention</t>
  </si>
  <si>
    <t>Loneliness and stress</t>
  </si>
  <si>
    <t>At-risk adults (COVID-19)</t>
  </si>
  <si>
    <t>CBT + positive psychology</t>
  </si>
  <si>
    <t>1 week</t>
  </si>
  <si>
    <t>Feasibility; loneliness; stress</t>
  </si>
  <si>
    <t>Older adults in retirement villages</t>
  </si>
  <si>
    <t>Woebot-SUDs</t>
  </si>
  <si>
    <t>Substance misuse</t>
  </si>
  <si>
    <t>CBT (+ MI, DBT)</t>
  </si>
  <si>
    <t>Substance use occasions; mood</t>
  </si>
  <si>
    <t>Mood outcomes unchanged</t>
  </si>
  <si>
    <t>Column-method robot</t>
  </si>
  <si>
    <t>Anger mood</t>
  </si>
  <si>
    <t>CBT column method</t>
  </si>
  <si>
    <t>Robot without proposed strategies</t>
  </si>
  <si>
    <t>Self-disclosure; anger</t>
  </si>
  <si>
    <t>Self-schema estimation weak</t>
  </si>
  <si>
    <t>Popbots</t>
  </si>
  <si>
    <t>Daily stress</t>
  </si>
  <si>
    <t>Multiple CBT/behavioural micro-interventions</t>
  </si>
  <si>
    <t>Rule-based (shallow bots)</t>
  </si>
  <si>
    <t>Randomised comparison of bots</t>
  </si>
  <si>
    <t>Alternative bots</t>
  </si>
  <si>
    <t>Stress; PHQ-4</t>
  </si>
  <si>
    <t>Preceded by Wizard-of-Oz study</t>
  </si>
  <si>
    <t>Tess</t>
  </si>
  <si>
    <t>University students, Argentina</t>
  </si>
  <si>
    <t>Integrative (CBT, MI, SFBT, psychoeducation)</t>
  </si>
  <si>
    <t>Psychoeducation book</t>
  </si>
  <si>
    <t>PHQ-9; GAD-7</t>
  </si>
  <si>
    <t>High attrition; within-group anxiety decrease</t>
  </si>
  <si>
    <t>Digital-SAT (VR + chatbot)</t>
  </si>
  <si>
    <t>Emotional stress</t>
  </si>
  <si>
    <t>Nurses</t>
  </si>
  <si>
    <t>SAT stress-care counselling method</t>
  </si>
  <si>
    <t>VR + text</t>
  </si>
  <si>
    <t>Controlled intervention study</t>
  </si>
  <si>
    <t>VR or chatbot alone</t>
  </si>
  <si>
    <t>Combined use best</t>
  </si>
  <si>
    <t>Todaki</t>
  </si>
  <si>
    <t>Adult attention deficit</t>
  </si>
  <si>
    <t>Adults 19-60</t>
  </si>
  <si>
    <t>CBT + psychoeducation</t>
  </si>
  <si>
    <t>Information book</t>
  </si>
  <si>
    <t>ADHD symptoms; depression; anxiety</t>
  </si>
  <si>
    <t>Feasibility/usability focus</t>
  </si>
  <si>
    <t>Panic CBT chatbot</t>
  </si>
  <si>
    <t>Panic disorder</t>
  </si>
  <si>
    <t>Patients</t>
  </si>
  <si>
    <t>Book</t>
  </si>
  <si>
    <t>Panic severity; social phobia</t>
  </si>
  <si>
    <t>Small sample</t>
  </si>
  <si>
    <t>eTher</t>
  </si>
  <si>
    <t>Acrophobia</t>
  </si>
  <si>
    <t>Exposure therapy + relaxation</t>
  </si>
  <si>
    <t>Rule-based (biofeedback-adaptive)</t>
  </si>
  <si>
    <t>VR ECA</t>
  </si>
  <si>
    <t>Controlled pilot</t>
  </si>
  <si>
    <t>4 sessions</t>
  </si>
  <si>
    <t>Sessions without agent</t>
  </si>
  <si>
    <t>Task time; physiological relaxation</t>
  </si>
  <si>
    <t>Very small sample</t>
  </si>
  <si>
    <t>Sunny</t>
  </si>
  <si>
    <t>Well-being and social connection</t>
  </si>
  <si>
    <t>Friend groups</t>
  </si>
  <si>
    <t>Positive psychology (gratitude, positive messages)</t>
  </si>
  <si>
    <t>Controlled field study</t>
  </si>
  <si>
    <t>10 days</t>
  </si>
  <si>
    <t>Group-level chatbot</t>
  </si>
  <si>
    <t>Self-guided SAT system with chatbot</t>
  </si>
  <si>
    <t>Employee stress</t>
  </si>
  <si>
    <t>SAT counselling method</t>
  </si>
  <si>
    <t>System without chatbot</t>
  </si>
  <si>
    <t>Continuous use; stress</t>
  </si>
  <si>
    <t>GAMBOT</t>
  </si>
  <si>
    <t>Problem gamblers, Japan</t>
  </si>
  <si>
    <t>PGSI; G-SAS</t>
  </si>
  <si>
    <t>Primary null; secondary positive; low dropout</t>
  </si>
  <si>
    <t>MYLO vs ELIZA</t>
  </si>
  <si>
    <t>Problem distress</t>
  </si>
  <si>
    <t>Method of levels vs humanistic counselling</t>
  </si>
  <si>
    <t>Randomised controlled study</t>
  </si>
  <si>
    <t>Single conversation; follow-up</t>
  </si>
  <si>
    <t>ELIZA</t>
  </si>
  <si>
    <t>Problem distress and resolution; usability</t>
  </si>
  <si>
    <t>MYLO lowered distress at follow-up</t>
  </si>
  <si>
    <t>Vincent</t>
  </si>
  <si>
    <t>Self-compassion</t>
  </si>
  <si>
    <t>Care-giving vs care-receiving bot</t>
  </si>
  <si>
    <t>Caring for the bot raised self-compassion</t>
  </si>
  <si>
    <t>Vivibot</t>
  </si>
  <si>
    <t>Well-being after cancer</t>
  </si>
  <si>
    <t>Young adults after cancer treatment</t>
  </si>
  <si>
    <t>Randomised feasibility trial</t>
  </si>
  <si>
    <t>4 weeks; 8-week follow-up</t>
  </si>
  <si>
    <t>Delayed access</t>
  </si>
  <si>
    <t>Anxiety; depression; positive/negative emotion</t>
  </si>
  <si>
    <t>Anxiety reduction</t>
  </si>
  <si>
    <t>Virtual coach for cognitive restructuring</t>
  </si>
  <si>
    <t>Public speaking anxiety</t>
  </si>
  <si>
    <t>CBT (cognitive restructuring)</t>
  </si>
  <si>
    <t>Control condition</t>
  </si>
  <si>
    <t>Speech anxiety thoughts; presentation experience</t>
  </si>
  <si>
    <t>Corpus of clinician examples</t>
  </si>
  <si>
    <t>ECA for unguided iCBT</t>
  </si>
  <si>
    <t>Preventive mental health</t>
  </si>
  <si>
    <t>Adults, Japan</t>
  </si>
  <si>
    <t>CBT + behavioural activation</t>
  </si>
  <si>
    <t>Positive and negative mental health</t>
  </si>
  <si>
    <t>Large controlled sample</t>
  </si>
  <si>
    <t>College students, US</t>
  </si>
  <si>
    <t>Integrative (CBT and others)</t>
  </si>
  <si>
    <t>2 or 4 weeks</t>
  </si>
  <si>
    <t>Information-only ebook</t>
  </si>
  <si>
    <t>PHQ-9; GAD-7; PANAS</t>
  </si>
  <si>
    <t>Early integrative AI</t>
  </si>
  <si>
    <t>Shim</t>
  </si>
  <si>
    <t>Mental well-being</t>
  </si>
  <si>
    <t>Non-clinical adults</t>
  </si>
  <si>
    <t>Positive psychology + CBT</t>
  </si>
  <si>
    <t>Flourishing; PSS</t>
  </si>
  <si>
    <t>Effects among adherers</t>
  </si>
  <si>
    <t>Woebot</t>
  </si>
  <si>
    <t>Landmark early trial</t>
  </si>
  <si>
    <t>Virtual EFT practitioner</t>
  </si>
  <si>
    <t>Emotional health</t>
  </si>
  <si>
    <t>Emotional Freedom Technique</t>
  </si>
  <si>
    <t>Quasi-experiment</t>
  </si>
  <si>
    <t>Neutral vs empathic agent</t>
  </si>
  <si>
    <t>Emotion ratings; rapport</t>
  </si>
  <si>
    <t>Demonstration paper</t>
  </si>
  <si>
    <t>Help4Mood</t>
  </si>
  <si>
    <t>Patients with MDD (3 countries)</t>
  </si>
  <si>
    <t>CBT elements + self-monitoring</t>
  </si>
  <si>
    <t>BDI-II; usage</t>
  </si>
  <si>
    <t>Repetitiveness reduced acceptability</t>
  </si>
  <si>
    <t>Context (keyword)</t>
  </si>
  <si>
    <t>Population (keyword)</t>
  </si>
  <si>
    <t>Counselling approach (keyword)</t>
  </si>
  <si>
    <t>Dialogue technique (keyword)</t>
  </si>
  <si>
    <t>Modality (keyword)</t>
  </si>
  <si>
    <t>Evaluation design (keyword)</t>
  </si>
  <si>
    <t>In Level-2 synthesis</t>
  </si>
  <si>
    <t>Students</t>
  </si>
  <si>
    <t>LLM / generative</t>
  </si>
  <si>
    <t>Randomised controlled (RCT or randomised experiment)</t>
  </si>
  <si>
    <t>Workers</t>
  </si>
  <si>
    <t>VR / AR</t>
  </si>
  <si>
    <t>Usability / acceptability / qualitative</t>
  </si>
  <si>
    <t>Well-being/positive</t>
  </si>
  <si>
    <t>Patients/clinical</t>
  </si>
  <si>
    <t>Real-world use / log analysis</t>
  </si>
  <si>
    <t>Relationships/conflict</t>
  </si>
  <si>
    <t>NLU / ML (hybrid)</t>
  </si>
  <si>
    <t>Single-arm pre-post outcome study</t>
  </si>
  <si>
    <t>General mental health</t>
  </si>
  <si>
    <t>General adults</t>
  </si>
  <si>
    <t>Hybrid (rule + generative)</t>
  </si>
  <si>
    <t>Voice</t>
  </si>
  <si>
    <t>Experiment on perceptions or design variants</t>
  </si>
  <si>
    <t>Rule-based / scripted</t>
  </si>
  <si>
    <t>Depression/anxiety</t>
  </si>
  <si>
    <t>Person-centred / helping skills</t>
  </si>
  <si>
    <t>Not reported</t>
  </si>
  <si>
    <t>Other named approach</t>
  </si>
  <si>
    <t>Embodied virtual agent</t>
  </si>
  <si>
    <t>Health behaviour/chronic illness</t>
  </si>
  <si>
    <t>Career/academic</t>
  </si>
  <si>
    <t>Non-randomised controlled comparison</t>
  </si>
  <si>
    <t>Exposure</t>
  </si>
  <si>
    <t>Adolescents/youth</t>
  </si>
  <si>
    <t>Substance use/smoking</t>
  </si>
  <si>
    <t>Solution-focused</t>
  </si>
  <si>
    <t>Behavioural activation</t>
  </si>
  <si>
    <t>Sleep</t>
  </si>
  <si>
    <t>Multimodal / tangible</t>
  </si>
  <si>
    <t>Psychoeducation</t>
  </si>
  <si>
    <t>Perinatal/parents</t>
  </si>
  <si>
    <t>Eating/body image</t>
  </si>
  <si>
    <t>Trauma/suicide/crisis</t>
  </si>
  <si>
    <t>Loneliness/social</t>
  </si>
  <si>
    <t>DBT</t>
  </si>
  <si>
    <t>Core retrieved (IC5)</t>
  </si>
  <si>
    <t>Eligible CDS evaluations (IC5-IC8, Level-1)</t>
  </si>
  <si>
    <t>Final synthesis (IC5-IC10, Level-2)</t>
  </si>
  <si>
    <t>Total</t>
  </si>
  <si>
    <t>Note: 2027 = early-access articles dated 2027 in the databases.</t>
  </si>
  <si>
    <t>Dimension</t>
  </si>
  <si>
    <t>Category</t>
  </si>
  <si>
    <t>Level-1 eligible (n)</t>
  </si>
  <si>
    <t>Level-1 %</t>
  </si>
  <si>
    <t>Level-2 final (n)</t>
  </si>
  <si>
    <t>Level-2 %</t>
  </si>
  <si>
    <t>Context</t>
  </si>
  <si>
    <t>Evaluation design</t>
  </si>
  <si>
    <t>Level-2 extraction (manual coding)</t>
  </si>
  <si>
    <t>n</t>
  </si>
  <si>
    <t>Note: Level-1 columns are keyword codes from titles/abstracts (check by hand); Level-2 coding is manual (Final_set_extraction).</t>
  </si>
  <si>
    <t>Code</t>
  </si>
  <si>
    <t>Meaning</t>
  </si>
  <si>
    <t>DUP:Uxxxxx</t>
  </si>
  <si>
    <t>Duplicate record of another Unique ID</t>
  </si>
  <si>
    <t>LINK:Uxxxxx</t>
  </si>
  <si>
    <t>Secondary report of an included study (counted once as a study)</t>
  </si>
  <si>
    <t>Result codes</t>
  </si>
  <si>
    <t>Favours CDS = primary outcome favoured CDS over comparator; Mixed = some outcomes favoured; No difference = no between-group difference; Feasibility only = trial designed for feasibility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</si>
</sst>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/>
  </sheetViews>
  <sheetFormatPr defaultRowHeight="15" x14ac:dyDescent="0.25"/>
  <cols>
    <col min="1" max="1" width="78" customWidth="1"/>
    <col min="2" max="2" width="12" customWidth="1"/>
    <col min="3" max="3" width="60" customWidth="1"/>
  </cols>
  <sheetData>
    <row r="1" spans="1:3" ht="17.25" x14ac:dyDescent="0.3">
      <c r="A1" s="1" t="s">
        <v>0</v>
      </c>
    </row>
    <row r="2" spans="1:3" x14ac:dyDescent="0.25">
      <c r="A2" t="s">
        <v>1</v>
      </c>
    </row>
    <row r="4" spans="1:3" x14ac:dyDescent="0.25">
      <c r="A4" s="2" t="s">
        <v>2</v>
      </c>
    </row>
    <row r="5" spans="1:3" x14ac:dyDescent="0.25">
      <c r="A5" t="s">
        <v>3</v>
      </c>
      <c r="B5">
        <v>20130</v>
      </c>
    </row>
    <row r="6" spans="1:3" x14ac:dyDescent="0.25">
      <c r="A6" t="s">
        <v>4</v>
      </c>
      <c r="B6">
        <v>7526</v>
      </c>
    </row>
    <row r="7" spans="1:3" x14ac:dyDescent="0.25">
      <c r="A7" s="2" t="s">
        <v>5</v>
      </c>
    </row>
    <row r="8" spans="1:3" x14ac:dyDescent="0.25">
      <c r="A8" t="s">
        <v>6</v>
      </c>
      <c r="B8">
        <v>12604</v>
      </c>
    </row>
    <row r="9" spans="1:3" x14ac:dyDescent="0.25">
      <c r="A9" t="s">
        <v>7</v>
      </c>
      <c r="B9">
        <v>9718</v>
      </c>
      <c r="C9" t="s">
        <v>8</v>
      </c>
    </row>
    <row r="10" spans="1:3" x14ac:dyDescent="0.25">
      <c r="A10" t="s">
        <v>9</v>
      </c>
      <c r="B10">
        <v>2886</v>
      </c>
      <c r="C10" t="s">
        <v>10</v>
      </c>
    </row>
    <row r="11" spans="1:3" x14ac:dyDescent="0.25">
      <c r="A11" t="s">
        <v>11</v>
      </c>
      <c r="B11">
        <v>319</v>
      </c>
    </row>
    <row r="12" spans="1:3" x14ac:dyDescent="0.25">
      <c r="A12" t="s">
        <v>12</v>
      </c>
      <c r="B12">
        <v>2567</v>
      </c>
    </row>
    <row r="13" spans="1:3" x14ac:dyDescent="0.25">
      <c r="A13" s="2" t="s">
        <v>13</v>
      </c>
    </row>
    <row r="14" spans="1:3" x14ac:dyDescent="0.25">
      <c r="A14" t="s">
        <v>14</v>
      </c>
      <c r="B14">
        <f>B12-B15</f>
        <v>925</v>
      </c>
      <c r="C14" t="s">
        <v>15</v>
      </c>
    </row>
    <row r="15" spans="1:3" x14ac:dyDescent="0.25">
      <c r="A15" t="s">
        <v>16</v>
      </c>
      <c r="B15">
        <f>COUNTA(Eligibility_core!A:A)-1</f>
        <v>1642</v>
      </c>
    </row>
    <row r="16" spans="1:3" x14ac:dyDescent="0.25">
      <c r="A16" t="s">
        <v>17</v>
      </c>
      <c r="B16">
        <f>COUNTIF(Eligibility_core!J:J,"N6")</f>
        <v>198</v>
      </c>
    </row>
    <row r="17" spans="1:3" x14ac:dyDescent="0.25">
      <c r="A17" t="s">
        <v>18</v>
      </c>
      <c r="B17">
        <f>COUNTIF(Eligibility_core!J:J,"N7")</f>
        <v>801</v>
      </c>
    </row>
    <row r="18" spans="1:3" x14ac:dyDescent="0.25">
      <c r="A18" t="s">
        <v>19</v>
      </c>
      <c r="B18">
        <f>COUNTIF(Eligibility_core!J:J,"N8")</f>
        <v>306</v>
      </c>
    </row>
    <row r="19" spans="1:3" x14ac:dyDescent="0.25">
      <c r="A19" t="s">
        <v>20</v>
      </c>
      <c r="B19">
        <f>COUNTIF(Eligibility_core!J:J,"DUP*")</f>
        <v>2</v>
      </c>
    </row>
    <row r="20" spans="1:3" x14ac:dyDescent="0.25">
      <c r="A20" t="s">
        <v>21</v>
      </c>
      <c r="B20">
        <f>COUNTIF(Eligibility_core!L:L,"Yes")</f>
        <v>335</v>
      </c>
      <c r="C20" t="s">
        <v>22</v>
      </c>
    </row>
    <row r="21" spans="1:3" x14ac:dyDescent="0.25">
      <c r="A21" t="s">
        <v>23</v>
      </c>
      <c r="B21">
        <f>COUNTIF(Eligibility_core!J:J,"N9")</f>
        <v>142</v>
      </c>
      <c r="C21" t="s">
        <v>24</v>
      </c>
    </row>
    <row r="22" spans="1:3" x14ac:dyDescent="0.25">
      <c r="A22" t="s">
        <v>25</v>
      </c>
      <c r="B22">
        <f>COUNTIF(Eligibility_core!J:J,"N10")</f>
        <v>76</v>
      </c>
      <c r="C22" t="s">
        <v>24</v>
      </c>
    </row>
    <row r="23" spans="1:3" x14ac:dyDescent="0.25">
      <c r="A23" s="2" t="s">
        <v>26</v>
      </c>
    </row>
    <row r="24" spans="1:3" x14ac:dyDescent="0.25">
      <c r="A24" t="s">
        <v>27</v>
      </c>
      <c r="B24">
        <f>COUNTIF(Eligibility_core!J:J,"I")</f>
        <v>115</v>
      </c>
      <c r="C24" t="s">
        <v>28</v>
      </c>
    </row>
    <row r="25" spans="1:3" x14ac:dyDescent="0.25">
      <c r="A25" t="s">
        <v>29</v>
      </c>
      <c r="B25">
        <f>B24+COUNTIF(Eligibility_core!J:J,"LINK*")</f>
        <v>117</v>
      </c>
    </row>
    <row r="27" spans="1:3" x14ac:dyDescent="0.25">
      <c r="A27" s="2" t="s">
        <v>30</v>
      </c>
    </row>
    <row r="28" spans="1:3" ht="45" customHeight="1" x14ac:dyDescent="0.25">
      <c r="A28" s="3" t="s">
        <v>31</v>
      </c>
    </row>
    <row r="29" spans="1:3" ht="45" customHeight="1" x14ac:dyDescent="0.25">
      <c r="A29" s="3" t="s">
        <v>32</v>
      </c>
    </row>
    <row r="30" spans="1:3" ht="45" customHeight="1" x14ac:dyDescent="0.25">
      <c r="A30" s="3" t="s">
        <v>33</v>
      </c>
    </row>
    <row r="31" spans="1:3" ht="45" customHeight="1" x14ac:dyDescent="0.25">
      <c r="A31" s="3" t="s">
        <v>34</v>
      </c>
    </row>
    <row r="32" spans="1:3" ht="45" customHeight="1" x14ac:dyDescent="0.25">
      <c r="A32" s="3" t="s">
        <v>35</v>
      </c>
    </row>
    <row r="33" spans="1:1" ht="45" customHeight="1" x14ac:dyDescent="0.25">
      <c r="A33" s="3" t="s">
        <v>36</v>
      </c>
    </row>
    <row r="34" spans="1:1" ht="45" customHeight="1" x14ac:dyDescent="0.25">
      <c r="A34" s="3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60" customWidth="1"/>
    <col min="3" max="3" width="18" customWidth="1"/>
    <col min="4" max="4" width="7" customWidth="1"/>
    <col min="5" max="5" width="11" customWidth="1"/>
    <col min="6" max="6" width="16" customWidth="1"/>
    <col min="7" max="7" width="30" customWidth="1"/>
    <col min="8" max="8" width="24" customWidth="1"/>
    <col min="9" max="9" width="28" customWidth="1"/>
    <col min="10" max="10" width="10" customWidth="1"/>
    <col min="11" max="11" width="48" customWidth="1"/>
    <col min="12" max="13" width="11" customWidth="1"/>
    <col min="14" max="14" width="14" customWidth="1"/>
    <col min="15" max="15" width="10" customWidth="1"/>
  </cols>
  <sheetData>
    <row r="1" spans="1:15" ht="60" x14ac:dyDescent="0.2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  <c r="N1" s="4" t="s">
        <v>51</v>
      </c>
      <c r="O1" s="4" t="s">
        <v>52</v>
      </c>
    </row>
    <row r="2" spans="1:15" x14ac:dyDescent="0.25">
      <c r="A2" t="s">
        <v>53</v>
      </c>
      <c r="B2" t="s">
        <v>54</v>
      </c>
      <c r="C2" t="s">
        <v>55</v>
      </c>
      <c r="D2">
        <v>2027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63</v>
      </c>
      <c r="N2" s="5"/>
      <c r="O2" t="str">
        <f t="shared" ref="O2:O65" si="0">IF(N2="","",IF(N2=J2,1,0))</f>
        <v/>
      </c>
    </row>
    <row r="3" spans="1:15" x14ac:dyDescent="0.25">
      <c r="A3" t="s">
        <v>64</v>
      </c>
      <c r="B3" t="s">
        <v>65</v>
      </c>
      <c r="C3" t="s">
        <v>66</v>
      </c>
      <c r="D3">
        <v>2026</v>
      </c>
      <c r="E3" t="s">
        <v>56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18</v>
      </c>
      <c r="L3" t="s">
        <v>72</v>
      </c>
      <c r="M3" t="s">
        <v>72</v>
      </c>
      <c r="N3" s="5"/>
      <c r="O3" t="str">
        <f t="shared" si="0"/>
        <v/>
      </c>
    </row>
    <row r="4" spans="1:15" x14ac:dyDescent="0.25">
      <c r="A4" t="s">
        <v>73</v>
      </c>
      <c r="B4" t="s">
        <v>74</v>
      </c>
      <c r="C4" t="s">
        <v>75</v>
      </c>
      <c r="D4">
        <v>2026</v>
      </c>
      <c r="E4" t="s">
        <v>56</v>
      </c>
      <c r="F4" t="s">
        <v>67</v>
      </c>
      <c r="G4" t="s">
        <v>76</v>
      </c>
      <c r="H4" t="s">
        <v>77</v>
      </c>
      <c r="I4" t="s">
        <v>78</v>
      </c>
      <c r="J4" t="s">
        <v>79</v>
      </c>
      <c r="K4" t="s">
        <v>80</v>
      </c>
      <c r="L4" t="s">
        <v>72</v>
      </c>
      <c r="M4" t="s">
        <v>72</v>
      </c>
      <c r="N4" s="5"/>
      <c r="O4" t="str">
        <f t="shared" si="0"/>
        <v/>
      </c>
    </row>
    <row r="5" spans="1:15" x14ac:dyDescent="0.25">
      <c r="A5" t="s">
        <v>81</v>
      </c>
      <c r="B5" t="s">
        <v>82</v>
      </c>
      <c r="C5" t="s">
        <v>83</v>
      </c>
      <c r="D5">
        <v>2026</v>
      </c>
      <c r="E5" t="s">
        <v>56</v>
      </c>
      <c r="F5" t="s">
        <v>67</v>
      </c>
      <c r="G5" t="s">
        <v>84</v>
      </c>
      <c r="H5" t="s">
        <v>85</v>
      </c>
      <c r="I5" t="s">
        <v>86</v>
      </c>
      <c r="J5" t="s">
        <v>87</v>
      </c>
      <c r="K5" t="s">
        <v>19</v>
      </c>
      <c r="L5" t="s">
        <v>72</v>
      </c>
      <c r="M5" t="s">
        <v>72</v>
      </c>
      <c r="N5" s="5"/>
      <c r="O5" t="str">
        <f t="shared" si="0"/>
        <v/>
      </c>
    </row>
    <row r="6" spans="1:15" x14ac:dyDescent="0.25">
      <c r="A6" t="s">
        <v>88</v>
      </c>
      <c r="B6" t="s">
        <v>89</v>
      </c>
      <c r="C6" t="s">
        <v>90</v>
      </c>
      <c r="D6">
        <v>2026</v>
      </c>
      <c r="E6" t="s">
        <v>56</v>
      </c>
      <c r="F6" t="s">
        <v>67</v>
      </c>
      <c r="G6" t="s">
        <v>68</v>
      </c>
      <c r="H6" t="s">
        <v>91</v>
      </c>
      <c r="I6" t="s">
        <v>92</v>
      </c>
      <c r="J6" t="s">
        <v>79</v>
      </c>
      <c r="K6" t="s">
        <v>80</v>
      </c>
      <c r="L6" t="s">
        <v>72</v>
      </c>
      <c r="M6" t="s">
        <v>72</v>
      </c>
      <c r="N6" s="5"/>
      <c r="O6" t="str">
        <f t="shared" si="0"/>
        <v/>
      </c>
    </row>
    <row r="7" spans="1:15" x14ac:dyDescent="0.25">
      <c r="A7" t="s">
        <v>93</v>
      </c>
      <c r="B7" t="s">
        <v>94</v>
      </c>
      <c r="C7" t="s">
        <v>95</v>
      </c>
      <c r="D7">
        <v>2026</v>
      </c>
      <c r="E7" t="s">
        <v>56</v>
      </c>
      <c r="F7" t="s">
        <v>67</v>
      </c>
      <c r="G7" t="s">
        <v>84</v>
      </c>
      <c r="H7" t="s">
        <v>96</v>
      </c>
      <c r="I7" t="s">
        <v>97</v>
      </c>
      <c r="J7" t="s">
        <v>98</v>
      </c>
      <c r="K7" t="s">
        <v>99</v>
      </c>
      <c r="L7" t="s">
        <v>63</v>
      </c>
      <c r="M7" t="s">
        <v>72</v>
      </c>
      <c r="N7" s="5"/>
      <c r="O7" t="str">
        <f t="shared" si="0"/>
        <v/>
      </c>
    </row>
    <row r="8" spans="1:15" x14ac:dyDescent="0.25">
      <c r="A8" t="s">
        <v>100</v>
      </c>
      <c r="B8" t="s">
        <v>101</v>
      </c>
      <c r="C8" t="s">
        <v>102</v>
      </c>
      <c r="D8">
        <v>2026</v>
      </c>
      <c r="E8" t="s">
        <v>56</v>
      </c>
      <c r="F8" t="s">
        <v>67</v>
      </c>
      <c r="G8" t="s">
        <v>84</v>
      </c>
      <c r="H8" t="s">
        <v>103</v>
      </c>
      <c r="I8" t="s">
        <v>104</v>
      </c>
      <c r="J8" t="s">
        <v>79</v>
      </c>
      <c r="K8" t="s">
        <v>80</v>
      </c>
      <c r="L8" t="s">
        <v>72</v>
      </c>
      <c r="M8" t="s">
        <v>72</v>
      </c>
      <c r="N8" s="5"/>
      <c r="O8" t="str">
        <f t="shared" si="0"/>
        <v/>
      </c>
    </row>
    <row r="9" spans="1:15" x14ac:dyDescent="0.25">
      <c r="A9" t="s">
        <v>105</v>
      </c>
      <c r="B9" t="s">
        <v>106</v>
      </c>
      <c r="C9" t="s">
        <v>107</v>
      </c>
      <c r="D9">
        <v>2026</v>
      </c>
      <c r="E9" t="s">
        <v>56</v>
      </c>
      <c r="F9" t="s">
        <v>67</v>
      </c>
      <c r="G9" t="s">
        <v>108</v>
      </c>
      <c r="H9" t="s">
        <v>109</v>
      </c>
      <c r="I9" t="s">
        <v>110</v>
      </c>
      <c r="J9" t="s">
        <v>87</v>
      </c>
      <c r="K9" t="s">
        <v>19</v>
      </c>
      <c r="L9" t="s">
        <v>72</v>
      </c>
      <c r="M9" t="s">
        <v>72</v>
      </c>
      <c r="N9" s="5"/>
      <c r="O9" t="str">
        <f t="shared" si="0"/>
        <v/>
      </c>
    </row>
    <row r="10" spans="1:15" x14ac:dyDescent="0.25">
      <c r="A10" t="s">
        <v>111</v>
      </c>
      <c r="B10" t="s">
        <v>112</v>
      </c>
      <c r="C10" t="s">
        <v>113</v>
      </c>
      <c r="D10">
        <v>2026</v>
      </c>
      <c r="E10" t="s">
        <v>56</v>
      </c>
      <c r="F10" t="s">
        <v>67</v>
      </c>
      <c r="G10" t="s">
        <v>84</v>
      </c>
      <c r="H10" t="s">
        <v>109</v>
      </c>
      <c r="I10" t="s">
        <v>114</v>
      </c>
      <c r="J10" t="s">
        <v>87</v>
      </c>
      <c r="K10" t="s">
        <v>19</v>
      </c>
      <c r="L10" t="s">
        <v>72</v>
      </c>
      <c r="M10" t="s">
        <v>72</v>
      </c>
      <c r="N10" s="5"/>
      <c r="O10" t="str">
        <f t="shared" si="0"/>
        <v/>
      </c>
    </row>
    <row r="11" spans="1:15" x14ac:dyDescent="0.25">
      <c r="A11" t="s">
        <v>115</v>
      </c>
      <c r="B11" t="s">
        <v>116</v>
      </c>
      <c r="C11" t="s">
        <v>117</v>
      </c>
      <c r="D11">
        <v>2026</v>
      </c>
      <c r="E11" t="s">
        <v>56</v>
      </c>
      <c r="F11" t="s">
        <v>67</v>
      </c>
      <c r="G11" t="s">
        <v>118</v>
      </c>
      <c r="H11" t="s">
        <v>119</v>
      </c>
      <c r="I11" t="s">
        <v>120</v>
      </c>
      <c r="J11" t="s">
        <v>79</v>
      </c>
      <c r="K11" t="s">
        <v>80</v>
      </c>
      <c r="L11" t="s">
        <v>72</v>
      </c>
      <c r="M11" t="s">
        <v>72</v>
      </c>
      <c r="N11" s="5"/>
      <c r="O11" t="str">
        <f t="shared" si="0"/>
        <v/>
      </c>
    </row>
    <row r="12" spans="1:15" x14ac:dyDescent="0.25">
      <c r="A12" t="s">
        <v>121</v>
      </c>
      <c r="B12" t="s">
        <v>122</v>
      </c>
      <c r="C12" t="s">
        <v>123</v>
      </c>
      <c r="D12">
        <v>2026</v>
      </c>
      <c r="E12" t="s">
        <v>56</v>
      </c>
      <c r="F12" t="s">
        <v>57</v>
      </c>
      <c r="G12" t="s">
        <v>124</v>
      </c>
      <c r="H12" t="s">
        <v>125</v>
      </c>
      <c r="I12" t="s">
        <v>126</v>
      </c>
      <c r="J12" t="s">
        <v>71</v>
      </c>
      <c r="K12" t="s">
        <v>18</v>
      </c>
      <c r="L12" t="s">
        <v>72</v>
      </c>
      <c r="M12" t="s">
        <v>72</v>
      </c>
      <c r="N12" s="5"/>
      <c r="O12" t="str">
        <f t="shared" si="0"/>
        <v/>
      </c>
    </row>
    <row r="13" spans="1:15" x14ac:dyDescent="0.25">
      <c r="A13" t="s">
        <v>127</v>
      </c>
      <c r="B13" t="s">
        <v>128</v>
      </c>
      <c r="C13" t="s">
        <v>123</v>
      </c>
      <c r="D13">
        <v>2026</v>
      </c>
      <c r="E13" t="s">
        <v>56</v>
      </c>
      <c r="F13" t="s">
        <v>57</v>
      </c>
      <c r="G13" t="s">
        <v>129</v>
      </c>
      <c r="H13" t="s">
        <v>125</v>
      </c>
      <c r="I13" t="s">
        <v>130</v>
      </c>
      <c r="J13" t="s">
        <v>71</v>
      </c>
      <c r="K13" t="s">
        <v>18</v>
      </c>
      <c r="L13" t="s">
        <v>72</v>
      </c>
      <c r="M13" t="s">
        <v>72</v>
      </c>
      <c r="N13" s="5"/>
      <c r="O13" t="str">
        <f t="shared" si="0"/>
        <v/>
      </c>
    </row>
    <row r="14" spans="1:15" x14ac:dyDescent="0.25">
      <c r="A14" t="s">
        <v>131</v>
      </c>
      <c r="B14" t="s">
        <v>132</v>
      </c>
      <c r="C14" t="s">
        <v>133</v>
      </c>
      <c r="D14">
        <v>2026</v>
      </c>
      <c r="E14" t="s">
        <v>56</v>
      </c>
      <c r="F14" t="s">
        <v>57</v>
      </c>
      <c r="G14" t="s">
        <v>134</v>
      </c>
      <c r="H14" t="s">
        <v>135</v>
      </c>
      <c r="I14" t="s">
        <v>136</v>
      </c>
      <c r="J14" t="s">
        <v>79</v>
      </c>
      <c r="K14" t="s">
        <v>80</v>
      </c>
      <c r="L14" t="s">
        <v>72</v>
      </c>
      <c r="M14" t="s">
        <v>72</v>
      </c>
      <c r="N14" s="5"/>
      <c r="O14" t="str">
        <f t="shared" si="0"/>
        <v/>
      </c>
    </row>
    <row r="15" spans="1:15" x14ac:dyDescent="0.25">
      <c r="A15" t="s">
        <v>137</v>
      </c>
      <c r="B15" t="s">
        <v>138</v>
      </c>
      <c r="C15" t="s">
        <v>139</v>
      </c>
      <c r="D15">
        <v>2026</v>
      </c>
      <c r="E15" t="s">
        <v>56</v>
      </c>
      <c r="F15" t="s">
        <v>57</v>
      </c>
      <c r="G15" t="s">
        <v>134</v>
      </c>
      <c r="H15" t="s">
        <v>140</v>
      </c>
      <c r="I15" t="s">
        <v>141</v>
      </c>
      <c r="J15" t="s">
        <v>98</v>
      </c>
      <c r="K15" t="s">
        <v>99</v>
      </c>
      <c r="L15" t="s">
        <v>63</v>
      </c>
      <c r="M15" t="s">
        <v>72</v>
      </c>
      <c r="N15" s="5"/>
      <c r="O15" t="str">
        <f t="shared" si="0"/>
        <v/>
      </c>
    </row>
    <row r="16" spans="1:15" x14ac:dyDescent="0.25">
      <c r="A16" t="s">
        <v>142</v>
      </c>
      <c r="B16" t="s">
        <v>143</v>
      </c>
      <c r="C16" t="s">
        <v>144</v>
      </c>
      <c r="D16">
        <v>2026</v>
      </c>
      <c r="E16" t="s">
        <v>56</v>
      </c>
      <c r="F16" t="s">
        <v>57</v>
      </c>
      <c r="G16" t="s">
        <v>145</v>
      </c>
      <c r="H16" t="s">
        <v>146</v>
      </c>
      <c r="I16" t="s">
        <v>147</v>
      </c>
      <c r="J16" t="s">
        <v>87</v>
      </c>
      <c r="K16" t="s">
        <v>19</v>
      </c>
      <c r="L16" t="s">
        <v>72</v>
      </c>
      <c r="M16" t="s">
        <v>72</v>
      </c>
      <c r="N16" s="5"/>
      <c r="O16" t="str">
        <f t="shared" si="0"/>
        <v/>
      </c>
    </row>
    <row r="17" spans="1:15" x14ac:dyDescent="0.25">
      <c r="A17" t="s">
        <v>148</v>
      </c>
      <c r="B17" t="s">
        <v>149</v>
      </c>
      <c r="C17" t="s">
        <v>150</v>
      </c>
      <c r="D17">
        <v>2026</v>
      </c>
      <c r="E17" t="s">
        <v>56</v>
      </c>
      <c r="F17" t="s">
        <v>67</v>
      </c>
      <c r="G17" t="s">
        <v>151</v>
      </c>
      <c r="H17" t="s">
        <v>152</v>
      </c>
      <c r="I17" t="s">
        <v>153</v>
      </c>
      <c r="J17" t="s">
        <v>71</v>
      </c>
      <c r="K17" t="s">
        <v>18</v>
      </c>
      <c r="L17" t="s">
        <v>72</v>
      </c>
      <c r="M17" t="s">
        <v>72</v>
      </c>
      <c r="N17" s="5"/>
      <c r="O17" t="str">
        <f t="shared" si="0"/>
        <v/>
      </c>
    </row>
    <row r="18" spans="1:15" x14ac:dyDescent="0.25">
      <c r="A18" t="s">
        <v>154</v>
      </c>
      <c r="B18" t="s">
        <v>155</v>
      </c>
      <c r="C18" t="s">
        <v>156</v>
      </c>
      <c r="D18">
        <v>2026</v>
      </c>
      <c r="E18" t="s">
        <v>56</v>
      </c>
      <c r="F18" t="s">
        <v>67</v>
      </c>
      <c r="G18" t="s">
        <v>84</v>
      </c>
      <c r="H18" t="s">
        <v>157</v>
      </c>
      <c r="I18" t="s">
        <v>158</v>
      </c>
      <c r="J18" t="s">
        <v>79</v>
      </c>
      <c r="K18" t="s">
        <v>80</v>
      </c>
      <c r="L18" t="s">
        <v>72</v>
      </c>
      <c r="M18" t="s">
        <v>72</v>
      </c>
      <c r="N18" s="5"/>
      <c r="O18" t="str">
        <f t="shared" si="0"/>
        <v/>
      </c>
    </row>
    <row r="19" spans="1:15" x14ac:dyDescent="0.25">
      <c r="A19" t="s">
        <v>159</v>
      </c>
      <c r="B19" t="s">
        <v>160</v>
      </c>
      <c r="C19" t="s">
        <v>161</v>
      </c>
      <c r="D19">
        <v>2026</v>
      </c>
      <c r="E19" t="s">
        <v>56</v>
      </c>
      <c r="F19" t="s">
        <v>57</v>
      </c>
      <c r="G19" t="s">
        <v>162</v>
      </c>
      <c r="H19" t="s">
        <v>163</v>
      </c>
      <c r="I19" t="s">
        <v>164</v>
      </c>
      <c r="J19" t="s">
        <v>165</v>
      </c>
      <c r="K19" t="s">
        <v>166</v>
      </c>
      <c r="L19" t="s">
        <v>63</v>
      </c>
      <c r="M19" t="s">
        <v>72</v>
      </c>
      <c r="N19" s="5"/>
      <c r="O19" t="str">
        <f t="shared" si="0"/>
        <v/>
      </c>
    </row>
    <row r="20" spans="1:15" x14ac:dyDescent="0.25">
      <c r="A20" t="s">
        <v>167</v>
      </c>
      <c r="B20" t="s">
        <v>168</v>
      </c>
      <c r="C20" t="s">
        <v>169</v>
      </c>
      <c r="D20">
        <v>2026</v>
      </c>
      <c r="E20" t="s">
        <v>56</v>
      </c>
      <c r="F20" t="s">
        <v>67</v>
      </c>
      <c r="G20" t="s">
        <v>170</v>
      </c>
      <c r="H20" t="s">
        <v>171</v>
      </c>
      <c r="I20" t="s">
        <v>172</v>
      </c>
      <c r="J20" t="s">
        <v>98</v>
      </c>
      <c r="K20" t="s">
        <v>99</v>
      </c>
      <c r="L20" t="s">
        <v>63</v>
      </c>
      <c r="M20" t="s">
        <v>72</v>
      </c>
      <c r="N20" s="5"/>
      <c r="O20" t="str">
        <f t="shared" si="0"/>
        <v/>
      </c>
    </row>
    <row r="21" spans="1:15" x14ac:dyDescent="0.25">
      <c r="A21" t="s">
        <v>173</v>
      </c>
      <c r="B21" t="s">
        <v>174</v>
      </c>
      <c r="C21" t="s">
        <v>175</v>
      </c>
      <c r="D21">
        <v>2026</v>
      </c>
      <c r="E21" t="s">
        <v>56</v>
      </c>
      <c r="F21" t="s">
        <v>57</v>
      </c>
      <c r="G21" t="s">
        <v>176</v>
      </c>
      <c r="H21" t="s">
        <v>177</v>
      </c>
      <c r="I21" t="s">
        <v>178</v>
      </c>
      <c r="J21" t="s">
        <v>71</v>
      </c>
      <c r="K21" t="s">
        <v>18</v>
      </c>
      <c r="L21" t="s">
        <v>72</v>
      </c>
      <c r="M21" t="s">
        <v>72</v>
      </c>
      <c r="N21" s="5"/>
      <c r="O21" t="str">
        <f t="shared" si="0"/>
        <v/>
      </c>
    </row>
    <row r="22" spans="1:15" x14ac:dyDescent="0.25">
      <c r="A22" t="s">
        <v>179</v>
      </c>
      <c r="B22" t="s">
        <v>180</v>
      </c>
      <c r="C22" t="s">
        <v>181</v>
      </c>
      <c r="D22">
        <v>2026</v>
      </c>
      <c r="E22" t="s">
        <v>56</v>
      </c>
      <c r="F22" t="s">
        <v>67</v>
      </c>
      <c r="G22" t="s">
        <v>182</v>
      </c>
      <c r="H22" t="s">
        <v>183</v>
      </c>
      <c r="I22" t="s">
        <v>184</v>
      </c>
      <c r="J22" t="s">
        <v>71</v>
      </c>
      <c r="K22" t="s">
        <v>18</v>
      </c>
      <c r="L22" t="s">
        <v>72</v>
      </c>
      <c r="M22" t="s">
        <v>72</v>
      </c>
      <c r="N22" s="5"/>
      <c r="O22" t="str">
        <f t="shared" si="0"/>
        <v/>
      </c>
    </row>
    <row r="23" spans="1:15" x14ac:dyDescent="0.25">
      <c r="A23" t="s">
        <v>185</v>
      </c>
      <c r="B23" t="s">
        <v>186</v>
      </c>
      <c r="C23" t="s">
        <v>187</v>
      </c>
      <c r="D23">
        <v>2026</v>
      </c>
      <c r="E23" t="s">
        <v>56</v>
      </c>
      <c r="F23" t="s">
        <v>67</v>
      </c>
      <c r="G23" t="s">
        <v>188</v>
      </c>
      <c r="H23" t="s">
        <v>189</v>
      </c>
      <c r="I23" t="s">
        <v>190</v>
      </c>
      <c r="J23" t="s">
        <v>71</v>
      </c>
      <c r="K23" t="s">
        <v>18</v>
      </c>
      <c r="L23" t="s">
        <v>72</v>
      </c>
      <c r="M23" t="s">
        <v>72</v>
      </c>
      <c r="N23" s="5"/>
      <c r="O23" t="str">
        <f t="shared" si="0"/>
        <v/>
      </c>
    </row>
    <row r="24" spans="1:15" x14ac:dyDescent="0.25">
      <c r="A24" t="s">
        <v>191</v>
      </c>
      <c r="B24" t="s">
        <v>192</v>
      </c>
      <c r="C24" t="s">
        <v>193</v>
      </c>
      <c r="D24">
        <v>2026</v>
      </c>
      <c r="E24" t="s">
        <v>56</v>
      </c>
      <c r="F24" t="s">
        <v>67</v>
      </c>
      <c r="G24" t="s">
        <v>194</v>
      </c>
      <c r="H24" t="s">
        <v>195</v>
      </c>
      <c r="I24" t="s">
        <v>196</v>
      </c>
      <c r="J24" t="s">
        <v>71</v>
      </c>
      <c r="K24" t="s">
        <v>18</v>
      </c>
      <c r="L24" t="s">
        <v>72</v>
      </c>
      <c r="M24" t="s">
        <v>72</v>
      </c>
      <c r="N24" s="5"/>
      <c r="O24" t="str">
        <f t="shared" si="0"/>
        <v/>
      </c>
    </row>
    <row r="25" spans="1:15" x14ac:dyDescent="0.25">
      <c r="A25" t="s">
        <v>197</v>
      </c>
      <c r="B25" t="s">
        <v>198</v>
      </c>
      <c r="C25" t="s">
        <v>199</v>
      </c>
      <c r="D25">
        <v>2026</v>
      </c>
      <c r="E25" t="s">
        <v>56</v>
      </c>
      <c r="F25" t="s">
        <v>57</v>
      </c>
      <c r="G25" t="s">
        <v>200</v>
      </c>
      <c r="H25" t="s">
        <v>201</v>
      </c>
      <c r="I25" t="s">
        <v>202</v>
      </c>
      <c r="J25" t="s">
        <v>61</v>
      </c>
      <c r="K25" t="s">
        <v>62</v>
      </c>
      <c r="L25" t="s">
        <v>63</v>
      </c>
      <c r="M25" t="s">
        <v>63</v>
      </c>
      <c r="N25" s="5"/>
      <c r="O25" t="str">
        <f t="shared" si="0"/>
        <v/>
      </c>
    </row>
    <row r="26" spans="1:15" x14ac:dyDescent="0.25">
      <c r="A26" t="s">
        <v>203</v>
      </c>
      <c r="B26" t="s">
        <v>204</v>
      </c>
      <c r="C26" t="s">
        <v>205</v>
      </c>
      <c r="D26">
        <v>2026</v>
      </c>
      <c r="E26" t="s">
        <v>56</v>
      </c>
      <c r="F26" t="s">
        <v>57</v>
      </c>
      <c r="G26" t="s">
        <v>206</v>
      </c>
      <c r="H26" t="s">
        <v>207</v>
      </c>
      <c r="I26" t="s">
        <v>208</v>
      </c>
      <c r="J26" t="s">
        <v>87</v>
      </c>
      <c r="K26" t="s">
        <v>19</v>
      </c>
      <c r="L26" t="s">
        <v>72</v>
      </c>
      <c r="M26" t="s">
        <v>72</v>
      </c>
      <c r="N26" s="5"/>
      <c r="O26" t="str">
        <f t="shared" si="0"/>
        <v/>
      </c>
    </row>
    <row r="27" spans="1:15" x14ac:dyDescent="0.25">
      <c r="A27" t="s">
        <v>209</v>
      </c>
      <c r="B27" t="s">
        <v>210</v>
      </c>
      <c r="C27" t="s">
        <v>211</v>
      </c>
      <c r="D27">
        <v>2026</v>
      </c>
      <c r="E27" t="s">
        <v>56</v>
      </c>
      <c r="F27" t="s">
        <v>67</v>
      </c>
      <c r="G27" t="s">
        <v>212</v>
      </c>
      <c r="H27" t="s">
        <v>213</v>
      </c>
      <c r="I27" t="s">
        <v>214</v>
      </c>
      <c r="J27" t="s">
        <v>71</v>
      </c>
      <c r="K27" t="s">
        <v>18</v>
      </c>
      <c r="L27" t="s">
        <v>72</v>
      </c>
      <c r="M27" t="s">
        <v>72</v>
      </c>
      <c r="N27" s="5"/>
      <c r="O27" t="str">
        <f t="shared" si="0"/>
        <v/>
      </c>
    </row>
    <row r="28" spans="1:15" x14ac:dyDescent="0.25">
      <c r="A28" t="s">
        <v>215</v>
      </c>
      <c r="B28" t="s">
        <v>216</v>
      </c>
      <c r="C28" t="s">
        <v>217</v>
      </c>
      <c r="D28">
        <v>2026</v>
      </c>
      <c r="E28" t="s">
        <v>56</v>
      </c>
      <c r="F28" t="s">
        <v>67</v>
      </c>
      <c r="G28" t="s">
        <v>151</v>
      </c>
      <c r="H28" t="s">
        <v>218</v>
      </c>
      <c r="I28" t="s">
        <v>219</v>
      </c>
      <c r="J28" t="s">
        <v>71</v>
      </c>
      <c r="K28" t="s">
        <v>18</v>
      </c>
      <c r="L28" t="s">
        <v>72</v>
      </c>
      <c r="M28" t="s">
        <v>72</v>
      </c>
      <c r="N28" s="5"/>
      <c r="O28" t="str">
        <f t="shared" si="0"/>
        <v/>
      </c>
    </row>
    <row r="29" spans="1:15" x14ac:dyDescent="0.25">
      <c r="A29" t="s">
        <v>220</v>
      </c>
      <c r="B29" t="s">
        <v>221</v>
      </c>
      <c r="C29" t="s">
        <v>222</v>
      </c>
      <c r="D29">
        <v>2026</v>
      </c>
      <c r="E29" t="s">
        <v>56</v>
      </c>
      <c r="F29" t="s">
        <v>67</v>
      </c>
      <c r="G29" t="s">
        <v>223</v>
      </c>
      <c r="H29" t="s">
        <v>224</v>
      </c>
      <c r="I29" t="s">
        <v>225</v>
      </c>
      <c r="J29" t="s">
        <v>71</v>
      </c>
      <c r="K29" t="s">
        <v>18</v>
      </c>
      <c r="L29" t="s">
        <v>72</v>
      </c>
      <c r="M29" t="s">
        <v>72</v>
      </c>
      <c r="N29" s="5"/>
      <c r="O29" t="str">
        <f t="shared" si="0"/>
        <v/>
      </c>
    </row>
    <row r="30" spans="1:15" x14ac:dyDescent="0.25">
      <c r="A30" t="s">
        <v>226</v>
      </c>
      <c r="B30" t="s">
        <v>227</v>
      </c>
      <c r="C30" t="s">
        <v>228</v>
      </c>
      <c r="D30">
        <v>2026</v>
      </c>
      <c r="E30" t="s">
        <v>56</v>
      </c>
      <c r="F30" t="s">
        <v>67</v>
      </c>
      <c r="G30" t="s">
        <v>229</v>
      </c>
      <c r="H30" t="s">
        <v>230</v>
      </c>
      <c r="I30" t="s">
        <v>231</v>
      </c>
      <c r="J30" t="s">
        <v>71</v>
      </c>
      <c r="K30" t="s">
        <v>18</v>
      </c>
      <c r="L30" t="s">
        <v>72</v>
      </c>
      <c r="M30" t="s">
        <v>72</v>
      </c>
      <c r="N30" s="5"/>
      <c r="O30" t="str">
        <f t="shared" si="0"/>
        <v/>
      </c>
    </row>
    <row r="31" spans="1:15" x14ac:dyDescent="0.25">
      <c r="A31" t="s">
        <v>232</v>
      </c>
      <c r="B31" t="s">
        <v>233</v>
      </c>
      <c r="C31" t="s">
        <v>234</v>
      </c>
      <c r="D31">
        <v>2026</v>
      </c>
      <c r="E31" t="s">
        <v>56</v>
      </c>
      <c r="F31" t="s">
        <v>67</v>
      </c>
      <c r="G31" t="s">
        <v>235</v>
      </c>
      <c r="H31" t="s">
        <v>236</v>
      </c>
      <c r="I31" t="s">
        <v>237</v>
      </c>
      <c r="J31" t="s">
        <v>71</v>
      </c>
      <c r="K31" t="s">
        <v>18</v>
      </c>
      <c r="L31" t="s">
        <v>72</v>
      </c>
      <c r="M31" t="s">
        <v>72</v>
      </c>
      <c r="N31" s="5"/>
      <c r="O31" t="str">
        <f t="shared" si="0"/>
        <v/>
      </c>
    </row>
    <row r="32" spans="1:15" x14ac:dyDescent="0.25">
      <c r="A32" t="s">
        <v>238</v>
      </c>
      <c r="B32" t="s">
        <v>239</v>
      </c>
      <c r="C32" t="s">
        <v>240</v>
      </c>
      <c r="D32">
        <v>2026</v>
      </c>
      <c r="E32" t="s">
        <v>56</v>
      </c>
      <c r="F32" t="s">
        <v>67</v>
      </c>
      <c r="G32" t="s">
        <v>241</v>
      </c>
      <c r="H32" t="s">
        <v>242</v>
      </c>
      <c r="I32" t="s">
        <v>243</v>
      </c>
      <c r="J32" t="s">
        <v>71</v>
      </c>
      <c r="K32" t="s">
        <v>18</v>
      </c>
      <c r="L32" t="s">
        <v>72</v>
      </c>
      <c r="M32" t="s">
        <v>72</v>
      </c>
      <c r="N32" s="5"/>
      <c r="O32" t="str">
        <f t="shared" si="0"/>
        <v/>
      </c>
    </row>
    <row r="33" spans="1:15" x14ac:dyDescent="0.25">
      <c r="A33" t="s">
        <v>244</v>
      </c>
      <c r="B33" t="s">
        <v>239</v>
      </c>
      <c r="C33" t="s">
        <v>245</v>
      </c>
      <c r="D33">
        <v>2026</v>
      </c>
      <c r="E33" t="s">
        <v>56</v>
      </c>
      <c r="F33" t="s">
        <v>67</v>
      </c>
      <c r="G33" t="s">
        <v>246</v>
      </c>
      <c r="H33" t="s">
        <v>242</v>
      </c>
      <c r="I33" t="s">
        <v>247</v>
      </c>
      <c r="J33" t="s">
        <v>71</v>
      </c>
      <c r="K33" t="s">
        <v>18</v>
      </c>
      <c r="L33" t="s">
        <v>72</v>
      </c>
      <c r="M33" t="s">
        <v>72</v>
      </c>
      <c r="N33" s="5"/>
      <c r="O33" t="str">
        <f t="shared" si="0"/>
        <v/>
      </c>
    </row>
    <row r="34" spans="1:15" x14ac:dyDescent="0.25">
      <c r="A34" t="s">
        <v>248</v>
      </c>
      <c r="B34" t="s">
        <v>249</v>
      </c>
      <c r="C34" t="s">
        <v>250</v>
      </c>
      <c r="D34">
        <v>2026</v>
      </c>
      <c r="E34" t="s">
        <v>56</v>
      </c>
      <c r="F34" t="s">
        <v>57</v>
      </c>
      <c r="G34" t="s">
        <v>251</v>
      </c>
      <c r="H34" t="s">
        <v>252</v>
      </c>
      <c r="I34" t="s">
        <v>253</v>
      </c>
      <c r="J34" t="s">
        <v>87</v>
      </c>
      <c r="K34" t="s">
        <v>19</v>
      </c>
      <c r="L34" t="s">
        <v>72</v>
      </c>
      <c r="M34" t="s">
        <v>72</v>
      </c>
      <c r="N34" s="5"/>
      <c r="O34" t="str">
        <f t="shared" si="0"/>
        <v/>
      </c>
    </row>
    <row r="35" spans="1:15" x14ac:dyDescent="0.25">
      <c r="A35" t="s">
        <v>254</v>
      </c>
      <c r="B35" t="s">
        <v>255</v>
      </c>
      <c r="C35" t="s">
        <v>256</v>
      </c>
      <c r="D35">
        <v>2026</v>
      </c>
      <c r="E35" t="s">
        <v>56</v>
      </c>
      <c r="F35" t="s">
        <v>67</v>
      </c>
      <c r="G35" t="s">
        <v>257</v>
      </c>
      <c r="H35" t="s">
        <v>258</v>
      </c>
      <c r="I35" t="s">
        <v>259</v>
      </c>
      <c r="J35" t="s">
        <v>71</v>
      </c>
      <c r="K35" t="s">
        <v>18</v>
      </c>
      <c r="L35" t="s">
        <v>72</v>
      </c>
      <c r="M35" t="s">
        <v>72</v>
      </c>
      <c r="N35" s="5"/>
      <c r="O35" t="str">
        <f t="shared" si="0"/>
        <v/>
      </c>
    </row>
    <row r="36" spans="1:15" x14ac:dyDescent="0.25">
      <c r="A36" t="s">
        <v>260</v>
      </c>
      <c r="B36" t="s">
        <v>261</v>
      </c>
      <c r="C36" t="s">
        <v>262</v>
      </c>
      <c r="D36">
        <v>2026</v>
      </c>
      <c r="E36" t="s">
        <v>56</v>
      </c>
      <c r="F36" t="s">
        <v>67</v>
      </c>
      <c r="G36" t="s">
        <v>263</v>
      </c>
      <c r="H36" t="s">
        <v>264</v>
      </c>
      <c r="I36" t="s">
        <v>265</v>
      </c>
      <c r="J36" t="s">
        <v>71</v>
      </c>
      <c r="K36" t="s">
        <v>18</v>
      </c>
      <c r="L36" t="s">
        <v>72</v>
      </c>
      <c r="M36" t="s">
        <v>72</v>
      </c>
      <c r="N36" s="5"/>
      <c r="O36" t="str">
        <f t="shared" si="0"/>
        <v/>
      </c>
    </row>
    <row r="37" spans="1:15" x14ac:dyDescent="0.25">
      <c r="A37" t="s">
        <v>266</v>
      </c>
      <c r="B37" t="s">
        <v>261</v>
      </c>
      <c r="C37" t="s">
        <v>267</v>
      </c>
      <c r="D37">
        <v>2026</v>
      </c>
      <c r="E37" t="s">
        <v>56</v>
      </c>
      <c r="F37" t="s">
        <v>67</v>
      </c>
      <c r="G37" t="s">
        <v>268</v>
      </c>
      <c r="H37" t="s">
        <v>264</v>
      </c>
      <c r="I37" t="s">
        <v>269</v>
      </c>
      <c r="J37" t="s">
        <v>71</v>
      </c>
      <c r="K37" t="s">
        <v>18</v>
      </c>
      <c r="L37" t="s">
        <v>72</v>
      </c>
      <c r="M37" t="s">
        <v>72</v>
      </c>
      <c r="N37" s="5"/>
      <c r="O37" t="str">
        <f t="shared" si="0"/>
        <v/>
      </c>
    </row>
    <row r="38" spans="1:15" x14ac:dyDescent="0.25">
      <c r="A38" t="s">
        <v>270</v>
      </c>
      <c r="B38" t="s">
        <v>271</v>
      </c>
      <c r="C38" t="s">
        <v>272</v>
      </c>
      <c r="D38">
        <v>2026</v>
      </c>
      <c r="E38" t="s">
        <v>56</v>
      </c>
      <c r="F38" t="s">
        <v>67</v>
      </c>
      <c r="G38" t="s">
        <v>273</v>
      </c>
      <c r="H38" t="s">
        <v>274</v>
      </c>
      <c r="I38" t="s">
        <v>275</v>
      </c>
      <c r="J38" t="s">
        <v>87</v>
      </c>
      <c r="K38" t="s">
        <v>19</v>
      </c>
      <c r="L38" t="s">
        <v>72</v>
      </c>
      <c r="M38" t="s">
        <v>72</v>
      </c>
      <c r="N38" s="5"/>
      <c r="O38" t="str">
        <f t="shared" si="0"/>
        <v/>
      </c>
    </row>
    <row r="39" spans="1:15" x14ac:dyDescent="0.25">
      <c r="A39" t="s">
        <v>276</v>
      </c>
      <c r="B39" t="s">
        <v>277</v>
      </c>
      <c r="C39" t="s">
        <v>278</v>
      </c>
      <c r="D39">
        <v>2026</v>
      </c>
      <c r="E39" t="s">
        <v>56</v>
      </c>
      <c r="F39" t="s">
        <v>57</v>
      </c>
      <c r="G39" t="s">
        <v>279</v>
      </c>
      <c r="H39" t="s">
        <v>280</v>
      </c>
      <c r="I39" t="s">
        <v>281</v>
      </c>
      <c r="J39" t="s">
        <v>79</v>
      </c>
      <c r="K39" t="s">
        <v>80</v>
      </c>
      <c r="L39" t="s">
        <v>72</v>
      </c>
      <c r="M39" t="s">
        <v>72</v>
      </c>
      <c r="N39" s="5"/>
      <c r="O39" t="str">
        <f t="shared" si="0"/>
        <v/>
      </c>
    </row>
    <row r="40" spans="1:15" x14ac:dyDescent="0.25">
      <c r="A40" t="s">
        <v>282</v>
      </c>
      <c r="B40" t="s">
        <v>283</v>
      </c>
      <c r="C40" t="s">
        <v>284</v>
      </c>
      <c r="D40">
        <v>2026</v>
      </c>
      <c r="E40" t="s">
        <v>56</v>
      </c>
      <c r="F40" t="s">
        <v>67</v>
      </c>
      <c r="G40" t="s">
        <v>285</v>
      </c>
      <c r="H40" t="s">
        <v>286</v>
      </c>
      <c r="I40" t="s">
        <v>287</v>
      </c>
      <c r="J40" t="s">
        <v>71</v>
      </c>
      <c r="K40" t="s">
        <v>18</v>
      </c>
      <c r="L40" t="s">
        <v>72</v>
      </c>
      <c r="M40" t="s">
        <v>72</v>
      </c>
      <c r="N40" s="5"/>
      <c r="O40" t="str">
        <f t="shared" si="0"/>
        <v/>
      </c>
    </row>
    <row r="41" spans="1:15" x14ac:dyDescent="0.25">
      <c r="A41" t="s">
        <v>288</v>
      </c>
      <c r="B41" t="s">
        <v>289</v>
      </c>
      <c r="C41" t="s">
        <v>290</v>
      </c>
      <c r="D41">
        <v>2026</v>
      </c>
      <c r="E41" t="s">
        <v>56</v>
      </c>
      <c r="F41" t="s">
        <v>57</v>
      </c>
      <c r="G41" t="s">
        <v>291</v>
      </c>
      <c r="H41" t="s">
        <v>292</v>
      </c>
      <c r="I41" t="s">
        <v>293</v>
      </c>
      <c r="J41" t="s">
        <v>165</v>
      </c>
      <c r="K41" t="s">
        <v>166</v>
      </c>
      <c r="L41" t="s">
        <v>63</v>
      </c>
      <c r="M41" t="s">
        <v>72</v>
      </c>
      <c r="N41" s="5"/>
      <c r="O41" t="str">
        <f t="shared" si="0"/>
        <v/>
      </c>
    </row>
    <row r="42" spans="1:15" x14ac:dyDescent="0.25">
      <c r="A42" t="s">
        <v>294</v>
      </c>
      <c r="B42" t="s">
        <v>295</v>
      </c>
      <c r="C42" t="s">
        <v>296</v>
      </c>
      <c r="D42">
        <v>2026</v>
      </c>
      <c r="E42" t="s">
        <v>56</v>
      </c>
      <c r="F42" t="s">
        <v>67</v>
      </c>
      <c r="G42" t="s">
        <v>151</v>
      </c>
      <c r="H42" t="s">
        <v>297</v>
      </c>
      <c r="I42" t="s">
        <v>298</v>
      </c>
      <c r="J42" t="s">
        <v>98</v>
      </c>
      <c r="K42" t="s">
        <v>99</v>
      </c>
      <c r="L42" t="s">
        <v>63</v>
      </c>
      <c r="M42" t="s">
        <v>72</v>
      </c>
      <c r="N42" s="5"/>
      <c r="O42" t="str">
        <f t="shared" si="0"/>
        <v/>
      </c>
    </row>
    <row r="43" spans="1:15" x14ac:dyDescent="0.25">
      <c r="A43" t="s">
        <v>299</v>
      </c>
      <c r="B43" t="s">
        <v>300</v>
      </c>
      <c r="C43" t="s">
        <v>301</v>
      </c>
      <c r="D43">
        <v>2026</v>
      </c>
      <c r="E43" t="s">
        <v>56</v>
      </c>
      <c r="F43" t="s">
        <v>57</v>
      </c>
      <c r="G43" t="s">
        <v>302</v>
      </c>
      <c r="H43" t="s">
        <v>303</v>
      </c>
      <c r="I43" t="s">
        <v>304</v>
      </c>
      <c r="J43" t="s">
        <v>98</v>
      </c>
      <c r="K43" t="s">
        <v>99</v>
      </c>
      <c r="L43" t="s">
        <v>63</v>
      </c>
      <c r="M43" t="s">
        <v>72</v>
      </c>
      <c r="N43" s="5"/>
      <c r="O43" t="str">
        <f t="shared" si="0"/>
        <v/>
      </c>
    </row>
    <row r="44" spans="1:15" x14ac:dyDescent="0.25">
      <c r="A44" t="s">
        <v>305</v>
      </c>
      <c r="B44" t="s">
        <v>306</v>
      </c>
      <c r="C44" t="s">
        <v>307</v>
      </c>
      <c r="D44">
        <v>2026</v>
      </c>
      <c r="E44" t="s">
        <v>56</v>
      </c>
      <c r="F44" t="s">
        <v>67</v>
      </c>
      <c r="G44" t="s">
        <v>308</v>
      </c>
      <c r="H44" t="s">
        <v>309</v>
      </c>
      <c r="I44" t="s">
        <v>310</v>
      </c>
      <c r="J44" t="s">
        <v>79</v>
      </c>
      <c r="K44" t="s">
        <v>80</v>
      </c>
      <c r="L44" t="s">
        <v>72</v>
      </c>
      <c r="M44" t="s">
        <v>72</v>
      </c>
      <c r="N44" s="5"/>
      <c r="O44" t="str">
        <f t="shared" si="0"/>
        <v/>
      </c>
    </row>
    <row r="45" spans="1:15" x14ac:dyDescent="0.25">
      <c r="A45" t="s">
        <v>311</v>
      </c>
      <c r="B45" t="s">
        <v>312</v>
      </c>
      <c r="C45" t="s">
        <v>313</v>
      </c>
      <c r="D45">
        <v>2026</v>
      </c>
      <c r="E45" t="s">
        <v>56</v>
      </c>
      <c r="F45" t="s">
        <v>67</v>
      </c>
      <c r="G45" t="s">
        <v>314</v>
      </c>
      <c r="H45" t="s">
        <v>315</v>
      </c>
      <c r="I45" t="s">
        <v>316</v>
      </c>
      <c r="J45" t="s">
        <v>71</v>
      </c>
      <c r="K45" t="s">
        <v>18</v>
      </c>
      <c r="L45" t="s">
        <v>72</v>
      </c>
      <c r="M45" t="s">
        <v>72</v>
      </c>
      <c r="N45" s="5"/>
      <c r="O45" t="str">
        <f t="shared" si="0"/>
        <v/>
      </c>
    </row>
    <row r="46" spans="1:15" x14ac:dyDescent="0.25">
      <c r="A46" t="s">
        <v>317</v>
      </c>
      <c r="B46" t="s">
        <v>318</v>
      </c>
      <c r="C46" t="s">
        <v>319</v>
      </c>
      <c r="D46">
        <v>2026</v>
      </c>
      <c r="E46" t="s">
        <v>56</v>
      </c>
      <c r="F46" t="s">
        <v>57</v>
      </c>
      <c r="G46" t="s">
        <v>320</v>
      </c>
      <c r="H46" t="s">
        <v>321</v>
      </c>
      <c r="I46" t="s">
        <v>322</v>
      </c>
      <c r="J46" t="s">
        <v>165</v>
      </c>
      <c r="K46" t="s">
        <v>166</v>
      </c>
      <c r="L46" t="s">
        <v>63</v>
      </c>
      <c r="M46" t="s">
        <v>72</v>
      </c>
      <c r="N46" s="5"/>
      <c r="O46" t="str">
        <f t="shared" si="0"/>
        <v/>
      </c>
    </row>
    <row r="47" spans="1:15" x14ac:dyDescent="0.25">
      <c r="A47" t="s">
        <v>323</v>
      </c>
      <c r="B47" t="s">
        <v>324</v>
      </c>
      <c r="C47" t="s">
        <v>325</v>
      </c>
      <c r="D47">
        <v>2026</v>
      </c>
      <c r="E47" t="s">
        <v>56</v>
      </c>
      <c r="F47" t="s">
        <v>67</v>
      </c>
      <c r="G47" t="s">
        <v>326</v>
      </c>
      <c r="H47" t="s">
        <v>327</v>
      </c>
      <c r="I47" t="s">
        <v>328</v>
      </c>
      <c r="J47" t="s">
        <v>71</v>
      </c>
      <c r="K47" t="s">
        <v>18</v>
      </c>
      <c r="L47" t="s">
        <v>72</v>
      </c>
      <c r="M47" t="s">
        <v>72</v>
      </c>
      <c r="N47" s="5"/>
      <c r="O47" t="str">
        <f t="shared" si="0"/>
        <v/>
      </c>
    </row>
    <row r="48" spans="1:15" x14ac:dyDescent="0.25">
      <c r="A48" t="s">
        <v>329</v>
      </c>
      <c r="B48" t="s">
        <v>330</v>
      </c>
      <c r="C48" t="s">
        <v>331</v>
      </c>
      <c r="D48">
        <v>2026</v>
      </c>
      <c r="E48" t="s">
        <v>56</v>
      </c>
      <c r="F48" t="s">
        <v>57</v>
      </c>
      <c r="G48" t="s">
        <v>332</v>
      </c>
      <c r="H48" t="s">
        <v>333</v>
      </c>
      <c r="I48" t="s">
        <v>334</v>
      </c>
      <c r="J48" t="s">
        <v>71</v>
      </c>
      <c r="K48" t="s">
        <v>18</v>
      </c>
      <c r="L48" t="s">
        <v>72</v>
      </c>
      <c r="M48" t="s">
        <v>72</v>
      </c>
      <c r="N48" s="5"/>
      <c r="O48" t="str">
        <f t="shared" si="0"/>
        <v/>
      </c>
    </row>
    <row r="49" spans="1:15" x14ac:dyDescent="0.25">
      <c r="A49" t="s">
        <v>335</v>
      </c>
      <c r="B49" t="s">
        <v>336</v>
      </c>
      <c r="C49" t="s">
        <v>337</v>
      </c>
      <c r="D49">
        <v>2026</v>
      </c>
      <c r="E49" t="s">
        <v>56</v>
      </c>
      <c r="F49" t="s">
        <v>67</v>
      </c>
      <c r="G49" t="s">
        <v>338</v>
      </c>
      <c r="H49" t="s">
        <v>339</v>
      </c>
      <c r="I49" t="s">
        <v>340</v>
      </c>
      <c r="J49" t="s">
        <v>71</v>
      </c>
      <c r="K49" t="s">
        <v>18</v>
      </c>
      <c r="L49" t="s">
        <v>72</v>
      </c>
      <c r="M49" t="s">
        <v>72</v>
      </c>
      <c r="N49" s="5"/>
      <c r="O49" t="str">
        <f t="shared" si="0"/>
        <v/>
      </c>
    </row>
    <row r="50" spans="1:15" x14ac:dyDescent="0.25">
      <c r="A50" t="s">
        <v>341</v>
      </c>
      <c r="B50" t="s">
        <v>342</v>
      </c>
      <c r="C50" t="s">
        <v>343</v>
      </c>
      <c r="D50">
        <v>2026</v>
      </c>
      <c r="E50" t="s">
        <v>56</v>
      </c>
      <c r="F50" t="s">
        <v>57</v>
      </c>
      <c r="G50" t="s">
        <v>344</v>
      </c>
      <c r="H50" t="s">
        <v>345</v>
      </c>
      <c r="I50" t="s">
        <v>346</v>
      </c>
      <c r="J50" t="s">
        <v>71</v>
      </c>
      <c r="K50" t="s">
        <v>18</v>
      </c>
      <c r="L50" t="s">
        <v>72</v>
      </c>
      <c r="M50" t="s">
        <v>72</v>
      </c>
      <c r="N50" s="5"/>
      <c r="O50" t="str">
        <f t="shared" si="0"/>
        <v/>
      </c>
    </row>
    <row r="51" spans="1:15" x14ac:dyDescent="0.25">
      <c r="A51" t="s">
        <v>347</v>
      </c>
      <c r="B51" t="s">
        <v>348</v>
      </c>
      <c r="C51" t="s">
        <v>349</v>
      </c>
      <c r="D51">
        <v>2026</v>
      </c>
      <c r="E51" t="s">
        <v>56</v>
      </c>
      <c r="F51" t="s">
        <v>67</v>
      </c>
      <c r="G51" t="s">
        <v>350</v>
      </c>
      <c r="H51" t="s">
        <v>351</v>
      </c>
      <c r="I51" t="s">
        <v>352</v>
      </c>
      <c r="J51" t="s">
        <v>71</v>
      </c>
      <c r="K51" t="s">
        <v>18</v>
      </c>
      <c r="L51" t="s">
        <v>72</v>
      </c>
      <c r="M51" t="s">
        <v>72</v>
      </c>
      <c r="N51" s="5"/>
      <c r="O51" t="str">
        <f t="shared" si="0"/>
        <v/>
      </c>
    </row>
    <row r="52" spans="1:15" x14ac:dyDescent="0.25">
      <c r="A52" t="s">
        <v>353</v>
      </c>
      <c r="B52" t="s">
        <v>354</v>
      </c>
      <c r="C52" t="s">
        <v>355</v>
      </c>
      <c r="D52">
        <v>2026</v>
      </c>
      <c r="E52" t="s">
        <v>56</v>
      </c>
      <c r="F52" t="s">
        <v>57</v>
      </c>
      <c r="G52" t="s">
        <v>356</v>
      </c>
      <c r="H52" t="s">
        <v>357</v>
      </c>
      <c r="I52" t="s">
        <v>358</v>
      </c>
      <c r="J52" t="s">
        <v>79</v>
      </c>
      <c r="K52" t="s">
        <v>80</v>
      </c>
      <c r="L52" t="s">
        <v>72</v>
      </c>
      <c r="M52" t="s">
        <v>72</v>
      </c>
      <c r="N52" s="5"/>
      <c r="O52" t="str">
        <f t="shared" si="0"/>
        <v/>
      </c>
    </row>
    <row r="53" spans="1:15" x14ac:dyDescent="0.25">
      <c r="A53" t="s">
        <v>359</v>
      </c>
      <c r="B53" t="s">
        <v>360</v>
      </c>
      <c r="C53" t="s">
        <v>361</v>
      </c>
      <c r="D53">
        <v>2026</v>
      </c>
      <c r="E53" t="s">
        <v>56</v>
      </c>
      <c r="F53" t="s">
        <v>67</v>
      </c>
      <c r="G53" t="s">
        <v>362</v>
      </c>
      <c r="H53" t="s">
        <v>363</v>
      </c>
      <c r="I53" t="s">
        <v>364</v>
      </c>
      <c r="J53" t="s">
        <v>165</v>
      </c>
      <c r="K53" t="s">
        <v>166</v>
      </c>
      <c r="L53" t="s">
        <v>63</v>
      </c>
      <c r="M53" t="s">
        <v>72</v>
      </c>
      <c r="N53" s="5"/>
      <c r="O53" t="str">
        <f t="shared" si="0"/>
        <v/>
      </c>
    </row>
    <row r="54" spans="1:15" x14ac:dyDescent="0.25">
      <c r="A54" t="s">
        <v>365</v>
      </c>
      <c r="B54" t="s">
        <v>366</v>
      </c>
      <c r="C54" t="s">
        <v>367</v>
      </c>
      <c r="D54">
        <v>2026</v>
      </c>
      <c r="E54" t="s">
        <v>56</v>
      </c>
      <c r="F54" t="s">
        <v>57</v>
      </c>
      <c r="G54" t="s">
        <v>368</v>
      </c>
      <c r="H54" t="s">
        <v>369</v>
      </c>
      <c r="I54" t="s">
        <v>370</v>
      </c>
      <c r="J54" t="s">
        <v>61</v>
      </c>
      <c r="K54" t="s">
        <v>62</v>
      </c>
      <c r="L54" t="s">
        <v>63</v>
      </c>
      <c r="M54" t="s">
        <v>63</v>
      </c>
      <c r="N54" s="5"/>
      <c r="O54" t="str">
        <f t="shared" si="0"/>
        <v/>
      </c>
    </row>
    <row r="55" spans="1:15" x14ac:dyDescent="0.25">
      <c r="A55" t="s">
        <v>371</v>
      </c>
      <c r="B55" t="s">
        <v>372</v>
      </c>
      <c r="C55" t="s">
        <v>373</v>
      </c>
      <c r="D55">
        <v>2026</v>
      </c>
      <c r="E55" t="s">
        <v>56</v>
      </c>
      <c r="F55" t="s">
        <v>67</v>
      </c>
      <c r="G55" t="s">
        <v>338</v>
      </c>
      <c r="H55" t="s">
        <v>374</v>
      </c>
      <c r="I55" t="s">
        <v>375</v>
      </c>
      <c r="J55" t="s">
        <v>71</v>
      </c>
      <c r="K55" t="s">
        <v>18</v>
      </c>
      <c r="L55" t="s">
        <v>72</v>
      </c>
      <c r="M55" t="s">
        <v>72</v>
      </c>
      <c r="N55" s="5"/>
      <c r="O55" t="str">
        <f t="shared" si="0"/>
        <v/>
      </c>
    </row>
    <row r="56" spans="1:15" x14ac:dyDescent="0.25">
      <c r="A56" t="s">
        <v>376</v>
      </c>
      <c r="B56" t="s">
        <v>377</v>
      </c>
      <c r="C56" t="s">
        <v>378</v>
      </c>
      <c r="D56">
        <v>2026</v>
      </c>
      <c r="E56" t="s">
        <v>56</v>
      </c>
      <c r="F56" t="s">
        <v>57</v>
      </c>
      <c r="G56" t="s">
        <v>379</v>
      </c>
      <c r="H56" t="s">
        <v>380</v>
      </c>
      <c r="I56" t="s">
        <v>381</v>
      </c>
      <c r="J56" t="s">
        <v>71</v>
      </c>
      <c r="K56" t="s">
        <v>18</v>
      </c>
      <c r="L56" t="s">
        <v>72</v>
      </c>
      <c r="M56" t="s">
        <v>72</v>
      </c>
      <c r="N56" s="5"/>
      <c r="O56" t="str">
        <f t="shared" si="0"/>
        <v/>
      </c>
    </row>
    <row r="57" spans="1:15" x14ac:dyDescent="0.25">
      <c r="A57" t="s">
        <v>382</v>
      </c>
      <c r="B57" t="s">
        <v>383</v>
      </c>
      <c r="C57" t="s">
        <v>384</v>
      </c>
      <c r="D57">
        <v>2026</v>
      </c>
      <c r="E57" t="s">
        <v>56</v>
      </c>
      <c r="F57" t="s">
        <v>67</v>
      </c>
      <c r="G57" t="s">
        <v>84</v>
      </c>
      <c r="H57" t="s">
        <v>385</v>
      </c>
      <c r="I57" t="s">
        <v>386</v>
      </c>
      <c r="J57" t="s">
        <v>98</v>
      </c>
      <c r="K57" t="s">
        <v>99</v>
      </c>
      <c r="L57" t="s">
        <v>63</v>
      </c>
      <c r="M57" t="s">
        <v>72</v>
      </c>
      <c r="N57" s="5"/>
      <c r="O57" t="str">
        <f t="shared" si="0"/>
        <v/>
      </c>
    </row>
    <row r="58" spans="1:15" x14ac:dyDescent="0.25">
      <c r="A58" t="s">
        <v>387</v>
      </c>
      <c r="B58" t="s">
        <v>388</v>
      </c>
      <c r="C58" t="s">
        <v>389</v>
      </c>
      <c r="D58">
        <v>2026</v>
      </c>
      <c r="E58" t="s">
        <v>56</v>
      </c>
      <c r="F58" t="s">
        <v>67</v>
      </c>
      <c r="G58" t="s">
        <v>350</v>
      </c>
      <c r="H58" t="s">
        <v>390</v>
      </c>
      <c r="I58" t="s">
        <v>391</v>
      </c>
      <c r="J58" t="s">
        <v>71</v>
      </c>
      <c r="K58" t="s">
        <v>18</v>
      </c>
      <c r="L58" t="s">
        <v>72</v>
      </c>
      <c r="M58" t="s">
        <v>72</v>
      </c>
      <c r="N58" s="5"/>
      <c r="O58" t="str">
        <f t="shared" si="0"/>
        <v/>
      </c>
    </row>
    <row r="59" spans="1:15" x14ac:dyDescent="0.25">
      <c r="A59" t="s">
        <v>392</v>
      </c>
      <c r="B59" t="s">
        <v>393</v>
      </c>
      <c r="C59" t="s">
        <v>394</v>
      </c>
      <c r="D59">
        <v>2026</v>
      </c>
      <c r="E59" t="s">
        <v>56</v>
      </c>
      <c r="F59" t="s">
        <v>67</v>
      </c>
      <c r="G59" t="s">
        <v>395</v>
      </c>
      <c r="H59" t="s">
        <v>396</v>
      </c>
      <c r="I59" t="s">
        <v>397</v>
      </c>
      <c r="J59" t="s">
        <v>71</v>
      </c>
      <c r="K59" t="s">
        <v>18</v>
      </c>
      <c r="L59" t="s">
        <v>72</v>
      </c>
      <c r="M59" t="s">
        <v>72</v>
      </c>
      <c r="N59" s="5"/>
      <c r="O59" t="str">
        <f t="shared" si="0"/>
        <v/>
      </c>
    </row>
    <row r="60" spans="1:15" x14ac:dyDescent="0.25">
      <c r="A60" t="s">
        <v>398</v>
      </c>
      <c r="B60" t="s">
        <v>399</v>
      </c>
      <c r="C60" t="s">
        <v>400</v>
      </c>
      <c r="D60">
        <v>2026</v>
      </c>
      <c r="E60" t="s">
        <v>56</v>
      </c>
      <c r="F60" t="s">
        <v>67</v>
      </c>
      <c r="G60" t="s">
        <v>151</v>
      </c>
      <c r="H60" t="s">
        <v>401</v>
      </c>
      <c r="I60" t="s">
        <v>402</v>
      </c>
      <c r="J60" t="s">
        <v>71</v>
      </c>
      <c r="K60" t="s">
        <v>18</v>
      </c>
      <c r="L60" t="s">
        <v>72</v>
      </c>
      <c r="M60" t="s">
        <v>72</v>
      </c>
      <c r="N60" s="5"/>
      <c r="O60" t="str">
        <f t="shared" si="0"/>
        <v/>
      </c>
    </row>
    <row r="61" spans="1:15" x14ac:dyDescent="0.25">
      <c r="A61" t="s">
        <v>403</v>
      </c>
      <c r="B61" t="s">
        <v>404</v>
      </c>
      <c r="C61" t="s">
        <v>405</v>
      </c>
      <c r="D61">
        <v>2026</v>
      </c>
      <c r="E61" t="s">
        <v>56</v>
      </c>
      <c r="F61" t="s">
        <v>67</v>
      </c>
      <c r="G61" t="s">
        <v>406</v>
      </c>
      <c r="H61" t="s">
        <v>407</v>
      </c>
      <c r="I61" t="s">
        <v>408</v>
      </c>
      <c r="J61" t="s">
        <v>71</v>
      </c>
      <c r="K61" t="s">
        <v>18</v>
      </c>
      <c r="L61" t="s">
        <v>72</v>
      </c>
      <c r="M61" t="s">
        <v>72</v>
      </c>
      <c r="N61" s="5"/>
      <c r="O61" t="str">
        <f t="shared" si="0"/>
        <v/>
      </c>
    </row>
    <row r="62" spans="1:15" x14ac:dyDescent="0.25">
      <c r="A62" t="s">
        <v>409</v>
      </c>
      <c r="B62" t="s">
        <v>410</v>
      </c>
      <c r="C62" t="s">
        <v>411</v>
      </c>
      <c r="D62">
        <v>2026</v>
      </c>
      <c r="E62" t="s">
        <v>56</v>
      </c>
      <c r="F62" t="s">
        <v>57</v>
      </c>
      <c r="G62" t="s">
        <v>412</v>
      </c>
      <c r="H62" t="s">
        <v>413</v>
      </c>
      <c r="I62" t="s">
        <v>414</v>
      </c>
      <c r="J62" t="s">
        <v>79</v>
      </c>
      <c r="K62" t="s">
        <v>80</v>
      </c>
      <c r="L62" t="s">
        <v>72</v>
      </c>
      <c r="M62" t="s">
        <v>72</v>
      </c>
      <c r="N62" s="5"/>
      <c r="O62" t="str">
        <f t="shared" si="0"/>
        <v/>
      </c>
    </row>
    <row r="63" spans="1:15" x14ac:dyDescent="0.25">
      <c r="A63" t="s">
        <v>415</v>
      </c>
      <c r="B63" t="s">
        <v>416</v>
      </c>
      <c r="C63" t="s">
        <v>417</v>
      </c>
      <c r="D63">
        <v>2026</v>
      </c>
      <c r="E63" t="s">
        <v>56</v>
      </c>
      <c r="F63" t="s">
        <v>57</v>
      </c>
      <c r="G63" t="s">
        <v>418</v>
      </c>
      <c r="H63" t="s">
        <v>419</v>
      </c>
      <c r="I63" t="s">
        <v>420</v>
      </c>
      <c r="J63" t="s">
        <v>87</v>
      </c>
      <c r="K63" t="s">
        <v>19</v>
      </c>
      <c r="L63" t="s">
        <v>72</v>
      </c>
      <c r="M63" t="s">
        <v>72</v>
      </c>
      <c r="N63" s="5"/>
      <c r="O63" t="str">
        <f t="shared" si="0"/>
        <v/>
      </c>
    </row>
    <row r="64" spans="1:15" x14ac:dyDescent="0.25">
      <c r="A64" t="s">
        <v>421</v>
      </c>
      <c r="B64" t="s">
        <v>422</v>
      </c>
      <c r="C64" t="s">
        <v>95</v>
      </c>
      <c r="D64">
        <v>2026</v>
      </c>
      <c r="E64" t="s">
        <v>56</v>
      </c>
      <c r="F64" t="s">
        <v>57</v>
      </c>
      <c r="G64" t="s">
        <v>423</v>
      </c>
      <c r="H64" t="s">
        <v>424</v>
      </c>
      <c r="I64" t="s">
        <v>425</v>
      </c>
      <c r="J64" t="s">
        <v>79</v>
      </c>
      <c r="K64" t="s">
        <v>80</v>
      </c>
      <c r="L64" t="s">
        <v>72</v>
      </c>
      <c r="M64" t="s">
        <v>72</v>
      </c>
      <c r="N64" s="5"/>
      <c r="O64" t="str">
        <f t="shared" si="0"/>
        <v/>
      </c>
    </row>
    <row r="65" spans="1:15" x14ac:dyDescent="0.25">
      <c r="A65" t="s">
        <v>426</v>
      </c>
      <c r="B65" t="s">
        <v>427</v>
      </c>
      <c r="C65" t="s">
        <v>428</v>
      </c>
      <c r="D65">
        <v>2026</v>
      </c>
      <c r="E65" t="s">
        <v>56</v>
      </c>
      <c r="F65" t="s">
        <v>67</v>
      </c>
      <c r="G65" t="s">
        <v>84</v>
      </c>
      <c r="H65" t="s">
        <v>429</v>
      </c>
      <c r="I65" t="s">
        <v>430</v>
      </c>
      <c r="J65" t="s">
        <v>87</v>
      </c>
      <c r="K65" t="s">
        <v>19</v>
      </c>
      <c r="L65" t="s">
        <v>72</v>
      </c>
      <c r="M65" t="s">
        <v>72</v>
      </c>
      <c r="N65" s="5"/>
      <c r="O65" t="str">
        <f t="shared" si="0"/>
        <v/>
      </c>
    </row>
    <row r="66" spans="1:15" x14ac:dyDescent="0.25">
      <c r="A66" t="s">
        <v>431</v>
      </c>
      <c r="B66" t="s">
        <v>432</v>
      </c>
      <c r="C66" t="s">
        <v>367</v>
      </c>
      <c r="D66">
        <v>2026</v>
      </c>
      <c r="E66" t="s">
        <v>56</v>
      </c>
      <c r="F66" t="s">
        <v>57</v>
      </c>
      <c r="G66" t="s">
        <v>251</v>
      </c>
      <c r="H66" t="s">
        <v>433</v>
      </c>
      <c r="I66" t="s">
        <v>434</v>
      </c>
      <c r="J66" t="s">
        <v>61</v>
      </c>
      <c r="K66" t="s">
        <v>62</v>
      </c>
      <c r="L66" t="s">
        <v>63</v>
      </c>
      <c r="M66" t="s">
        <v>63</v>
      </c>
      <c r="N66" s="5"/>
      <c r="O66" t="str">
        <f t="shared" ref="O66:O129" si="1">IF(N66="","",IF(N66=J66,1,0))</f>
        <v/>
      </c>
    </row>
    <row r="67" spans="1:15" x14ac:dyDescent="0.25">
      <c r="A67" t="s">
        <v>435</v>
      </c>
      <c r="B67" t="s">
        <v>436</v>
      </c>
      <c r="C67" t="s">
        <v>437</v>
      </c>
      <c r="D67">
        <v>2026</v>
      </c>
      <c r="E67" t="s">
        <v>56</v>
      </c>
      <c r="F67" t="s">
        <v>67</v>
      </c>
      <c r="G67" t="s">
        <v>151</v>
      </c>
      <c r="H67" t="s">
        <v>438</v>
      </c>
      <c r="I67" t="s">
        <v>439</v>
      </c>
      <c r="J67" t="s">
        <v>79</v>
      </c>
      <c r="K67" t="s">
        <v>80</v>
      </c>
      <c r="L67" t="s">
        <v>72</v>
      </c>
      <c r="M67" t="s">
        <v>72</v>
      </c>
      <c r="N67" s="5"/>
      <c r="O67" t="str">
        <f t="shared" si="1"/>
        <v/>
      </c>
    </row>
    <row r="68" spans="1:15" x14ac:dyDescent="0.25">
      <c r="A68" t="s">
        <v>440</v>
      </c>
      <c r="B68" t="s">
        <v>441</v>
      </c>
      <c r="C68" t="s">
        <v>442</v>
      </c>
      <c r="D68">
        <v>2026</v>
      </c>
      <c r="E68" t="s">
        <v>56</v>
      </c>
      <c r="F68" t="s">
        <v>67</v>
      </c>
      <c r="G68" t="s">
        <v>443</v>
      </c>
      <c r="H68" t="s">
        <v>444</v>
      </c>
      <c r="I68" t="s">
        <v>445</v>
      </c>
      <c r="J68" t="s">
        <v>71</v>
      </c>
      <c r="K68" t="s">
        <v>18</v>
      </c>
      <c r="L68" t="s">
        <v>72</v>
      </c>
      <c r="M68" t="s">
        <v>72</v>
      </c>
      <c r="N68" s="5"/>
      <c r="O68" t="str">
        <f t="shared" si="1"/>
        <v/>
      </c>
    </row>
    <row r="69" spans="1:15" x14ac:dyDescent="0.25">
      <c r="A69" t="s">
        <v>446</v>
      </c>
      <c r="B69" t="s">
        <v>441</v>
      </c>
      <c r="C69" t="s">
        <v>447</v>
      </c>
      <c r="D69">
        <v>2026</v>
      </c>
      <c r="E69" t="s">
        <v>56</v>
      </c>
      <c r="F69" t="s">
        <v>67</v>
      </c>
      <c r="G69" t="s">
        <v>448</v>
      </c>
      <c r="H69" t="s">
        <v>444</v>
      </c>
      <c r="I69" t="s">
        <v>449</v>
      </c>
      <c r="J69" t="s">
        <v>71</v>
      </c>
      <c r="K69" t="s">
        <v>18</v>
      </c>
      <c r="L69" t="s">
        <v>72</v>
      </c>
      <c r="M69" t="s">
        <v>72</v>
      </c>
      <c r="N69" s="5"/>
      <c r="O69" t="str">
        <f t="shared" si="1"/>
        <v/>
      </c>
    </row>
    <row r="70" spans="1:15" x14ac:dyDescent="0.25">
      <c r="A70" t="s">
        <v>450</v>
      </c>
      <c r="B70" t="s">
        <v>451</v>
      </c>
      <c r="C70" t="s">
        <v>452</v>
      </c>
      <c r="D70">
        <v>2026</v>
      </c>
      <c r="E70" t="s">
        <v>56</v>
      </c>
      <c r="F70" t="s">
        <v>67</v>
      </c>
      <c r="G70" t="s">
        <v>151</v>
      </c>
      <c r="H70" t="s">
        <v>453</v>
      </c>
      <c r="I70" t="s">
        <v>454</v>
      </c>
      <c r="J70" t="s">
        <v>71</v>
      </c>
      <c r="K70" t="s">
        <v>18</v>
      </c>
      <c r="L70" t="s">
        <v>72</v>
      </c>
      <c r="M70" t="s">
        <v>72</v>
      </c>
      <c r="N70" s="5"/>
      <c r="O70" t="str">
        <f t="shared" si="1"/>
        <v/>
      </c>
    </row>
    <row r="71" spans="1:15" x14ac:dyDescent="0.25">
      <c r="A71" t="s">
        <v>455</v>
      </c>
      <c r="B71" t="s">
        <v>456</v>
      </c>
      <c r="C71" t="s">
        <v>457</v>
      </c>
      <c r="D71">
        <v>2026</v>
      </c>
      <c r="E71" t="s">
        <v>56</v>
      </c>
      <c r="F71" t="s">
        <v>67</v>
      </c>
      <c r="G71" t="s">
        <v>151</v>
      </c>
      <c r="H71" t="s">
        <v>458</v>
      </c>
      <c r="I71" t="s">
        <v>459</v>
      </c>
      <c r="J71" t="s">
        <v>71</v>
      </c>
      <c r="K71" t="s">
        <v>18</v>
      </c>
      <c r="L71" t="s">
        <v>72</v>
      </c>
      <c r="M71" t="s">
        <v>72</v>
      </c>
      <c r="N71" s="5"/>
      <c r="O71" t="str">
        <f t="shared" si="1"/>
        <v/>
      </c>
    </row>
    <row r="72" spans="1:15" x14ac:dyDescent="0.25">
      <c r="A72" t="s">
        <v>460</v>
      </c>
      <c r="B72" t="s">
        <v>461</v>
      </c>
      <c r="C72" t="s">
        <v>462</v>
      </c>
      <c r="D72">
        <v>2026</v>
      </c>
      <c r="E72" t="s">
        <v>56</v>
      </c>
      <c r="F72" t="s">
        <v>67</v>
      </c>
      <c r="G72" t="s">
        <v>463</v>
      </c>
      <c r="H72" t="s">
        <v>464</v>
      </c>
      <c r="I72" t="s">
        <v>465</v>
      </c>
      <c r="J72" t="s">
        <v>71</v>
      </c>
      <c r="K72" t="s">
        <v>18</v>
      </c>
      <c r="L72" t="s">
        <v>72</v>
      </c>
      <c r="M72" t="s">
        <v>72</v>
      </c>
      <c r="N72" s="5"/>
      <c r="O72" t="str">
        <f t="shared" si="1"/>
        <v/>
      </c>
    </row>
    <row r="73" spans="1:15" x14ac:dyDescent="0.25">
      <c r="A73" t="s">
        <v>466</v>
      </c>
      <c r="B73" t="s">
        <v>467</v>
      </c>
      <c r="C73" t="s">
        <v>468</v>
      </c>
      <c r="D73">
        <v>2026</v>
      </c>
      <c r="E73" t="s">
        <v>56</v>
      </c>
      <c r="F73" t="s">
        <v>67</v>
      </c>
      <c r="G73" t="s">
        <v>151</v>
      </c>
      <c r="H73" t="s">
        <v>469</v>
      </c>
      <c r="I73" t="s">
        <v>470</v>
      </c>
      <c r="J73" t="s">
        <v>71</v>
      </c>
      <c r="K73" t="s">
        <v>18</v>
      </c>
      <c r="L73" t="s">
        <v>72</v>
      </c>
      <c r="M73" t="s">
        <v>72</v>
      </c>
      <c r="N73" s="5"/>
      <c r="O73" t="str">
        <f t="shared" si="1"/>
        <v/>
      </c>
    </row>
    <row r="74" spans="1:15" x14ac:dyDescent="0.25">
      <c r="A74" t="s">
        <v>471</v>
      </c>
      <c r="B74" t="s">
        <v>472</v>
      </c>
      <c r="C74" t="s">
        <v>473</v>
      </c>
      <c r="D74">
        <v>2026</v>
      </c>
      <c r="E74" t="s">
        <v>56</v>
      </c>
      <c r="F74" t="s">
        <v>67</v>
      </c>
      <c r="G74" t="s">
        <v>474</v>
      </c>
      <c r="H74" t="s">
        <v>475</v>
      </c>
      <c r="I74" t="s">
        <v>476</v>
      </c>
      <c r="J74" t="s">
        <v>71</v>
      </c>
      <c r="K74" t="s">
        <v>18</v>
      </c>
      <c r="L74" t="s">
        <v>72</v>
      </c>
      <c r="M74" t="s">
        <v>72</v>
      </c>
      <c r="N74" s="5"/>
      <c r="O74" t="str">
        <f t="shared" si="1"/>
        <v/>
      </c>
    </row>
    <row r="75" spans="1:15" x14ac:dyDescent="0.25">
      <c r="A75" t="s">
        <v>477</v>
      </c>
      <c r="B75" t="s">
        <v>478</v>
      </c>
      <c r="C75" t="s">
        <v>479</v>
      </c>
      <c r="D75">
        <v>2026</v>
      </c>
      <c r="E75" t="s">
        <v>56</v>
      </c>
      <c r="F75" t="s">
        <v>67</v>
      </c>
      <c r="G75" t="s">
        <v>151</v>
      </c>
      <c r="H75" t="s">
        <v>480</v>
      </c>
      <c r="I75" t="s">
        <v>481</v>
      </c>
      <c r="J75" t="s">
        <v>71</v>
      </c>
      <c r="K75" t="s">
        <v>18</v>
      </c>
      <c r="L75" t="s">
        <v>72</v>
      </c>
      <c r="M75" t="s">
        <v>72</v>
      </c>
      <c r="N75" s="5"/>
      <c r="O75" t="str">
        <f t="shared" si="1"/>
        <v/>
      </c>
    </row>
    <row r="76" spans="1:15" x14ac:dyDescent="0.25">
      <c r="A76" t="s">
        <v>482</v>
      </c>
      <c r="B76" t="s">
        <v>483</v>
      </c>
      <c r="C76" t="s">
        <v>484</v>
      </c>
      <c r="D76">
        <v>2026</v>
      </c>
      <c r="E76" t="s">
        <v>56</v>
      </c>
      <c r="F76" t="s">
        <v>67</v>
      </c>
      <c r="G76" t="s">
        <v>485</v>
      </c>
      <c r="H76" t="s">
        <v>486</v>
      </c>
      <c r="I76" t="s">
        <v>487</v>
      </c>
      <c r="J76" t="s">
        <v>71</v>
      </c>
      <c r="K76" t="s">
        <v>18</v>
      </c>
      <c r="L76" t="s">
        <v>72</v>
      </c>
      <c r="M76" t="s">
        <v>72</v>
      </c>
      <c r="N76" s="5"/>
      <c r="O76" t="str">
        <f t="shared" si="1"/>
        <v/>
      </c>
    </row>
    <row r="77" spans="1:15" x14ac:dyDescent="0.25">
      <c r="A77" t="s">
        <v>488</v>
      </c>
      <c r="B77" t="s">
        <v>489</v>
      </c>
      <c r="C77" t="s">
        <v>490</v>
      </c>
      <c r="D77">
        <v>2026</v>
      </c>
      <c r="E77" t="s">
        <v>56</v>
      </c>
      <c r="F77" t="s">
        <v>67</v>
      </c>
      <c r="G77" t="s">
        <v>491</v>
      </c>
      <c r="H77" t="s">
        <v>492</v>
      </c>
      <c r="I77" t="s">
        <v>493</v>
      </c>
      <c r="J77" t="s">
        <v>71</v>
      </c>
      <c r="K77" t="s">
        <v>18</v>
      </c>
      <c r="L77" t="s">
        <v>72</v>
      </c>
      <c r="M77" t="s">
        <v>72</v>
      </c>
      <c r="N77" s="5"/>
      <c r="O77" t="str">
        <f t="shared" si="1"/>
        <v/>
      </c>
    </row>
    <row r="78" spans="1:15" x14ac:dyDescent="0.25">
      <c r="A78" t="s">
        <v>494</v>
      </c>
      <c r="B78" t="s">
        <v>495</v>
      </c>
      <c r="C78" t="s">
        <v>496</v>
      </c>
      <c r="D78">
        <v>2026</v>
      </c>
      <c r="E78" t="s">
        <v>56</v>
      </c>
      <c r="F78" t="s">
        <v>57</v>
      </c>
      <c r="G78" t="s">
        <v>497</v>
      </c>
      <c r="H78" t="s">
        <v>498</v>
      </c>
      <c r="I78" t="s">
        <v>499</v>
      </c>
      <c r="J78" t="s">
        <v>79</v>
      </c>
      <c r="K78" t="s">
        <v>80</v>
      </c>
      <c r="L78" t="s">
        <v>72</v>
      </c>
      <c r="M78" t="s">
        <v>72</v>
      </c>
      <c r="N78" s="5"/>
      <c r="O78" t="str">
        <f t="shared" si="1"/>
        <v/>
      </c>
    </row>
    <row r="79" spans="1:15" x14ac:dyDescent="0.25">
      <c r="A79" t="s">
        <v>500</v>
      </c>
      <c r="B79" t="s">
        <v>501</v>
      </c>
      <c r="C79" t="s">
        <v>502</v>
      </c>
      <c r="D79">
        <v>2026</v>
      </c>
      <c r="E79" t="s">
        <v>56</v>
      </c>
      <c r="F79" t="s">
        <v>67</v>
      </c>
      <c r="G79" t="s">
        <v>151</v>
      </c>
      <c r="H79" t="s">
        <v>503</v>
      </c>
      <c r="I79" t="s">
        <v>504</v>
      </c>
      <c r="J79" t="s">
        <v>71</v>
      </c>
      <c r="K79" t="s">
        <v>18</v>
      </c>
      <c r="L79" t="s">
        <v>72</v>
      </c>
      <c r="M79" t="s">
        <v>72</v>
      </c>
      <c r="N79" s="5"/>
      <c r="O79" t="str">
        <f t="shared" si="1"/>
        <v/>
      </c>
    </row>
    <row r="80" spans="1:15" x14ac:dyDescent="0.25">
      <c r="A80" t="s">
        <v>505</v>
      </c>
      <c r="B80" t="s">
        <v>506</v>
      </c>
      <c r="C80" t="s">
        <v>507</v>
      </c>
      <c r="D80">
        <v>2026</v>
      </c>
      <c r="E80" t="s">
        <v>56</v>
      </c>
      <c r="F80" t="s">
        <v>57</v>
      </c>
      <c r="G80" t="s">
        <v>508</v>
      </c>
      <c r="H80" t="s">
        <v>509</v>
      </c>
      <c r="I80" t="s">
        <v>510</v>
      </c>
      <c r="J80" t="s">
        <v>87</v>
      </c>
      <c r="K80" t="s">
        <v>19</v>
      </c>
      <c r="L80" t="s">
        <v>72</v>
      </c>
      <c r="M80" t="s">
        <v>72</v>
      </c>
      <c r="N80" s="5"/>
      <c r="O80" t="str">
        <f t="shared" si="1"/>
        <v/>
      </c>
    </row>
    <row r="81" spans="1:15" x14ac:dyDescent="0.25">
      <c r="A81" t="s">
        <v>511</v>
      </c>
      <c r="B81" t="s">
        <v>512</v>
      </c>
      <c r="C81" t="s">
        <v>507</v>
      </c>
      <c r="D81">
        <v>2026</v>
      </c>
      <c r="E81" t="s">
        <v>56</v>
      </c>
      <c r="F81" t="s">
        <v>57</v>
      </c>
      <c r="G81" t="s">
        <v>513</v>
      </c>
      <c r="H81" t="s">
        <v>509</v>
      </c>
      <c r="I81" t="s">
        <v>514</v>
      </c>
      <c r="J81" t="s">
        <v>87</v>
      </c>
      <c r="K81" t="s">
        <v>19</v>
      </c>
      <c r="L81" t="s">
        <v>72</v>
      </c>
      <c r="M81" t="s">
        <v>72</v>
      </c>
      <c r="N81" s="5"/>
      <c r="O81" t="str">
        <f t="shared" si="1"/>
        <v/>
      </c>
    </row>
    <row r="82" spans="1:15" x14ac:dyDescent="0.25">
      <c r="A82" t="s">
        <v>515</v>
      </c>
      <c r="B82" t="s">
        <v>516</v>
      </c>
      <c r="C82" t="s">
        <v>384</v>
      </c>
      <c r="D82">
        <v>2026</v>
      </c>
      <c r="E82" t="s">
        <v>56</v>
      </c>
      <c r="F82" t="s">
        <v>67</v>
      </c>
      <c r="G82" t="s">
        <v>517</v>
      </c>
      <c r="H82" t="s">
        <v>518</v>
      </c>
      <c r="I82" t="s">
        <v>519</v>
      </c>
      <c r="J82" t="s">
        <v>71</v>
      </c>
      <c r="K82" t="s">
        <v>18</v>
      </c>
      <c r="L82" t="s">
        <v>72</v>
      </c>
      <c r="M82" t="s">
        <v>72</v>
      </c>
      <c r="N82" s="5"/>
      <c r="O82" t="str">
        <f t="shared" si="1"/>
        <v/>
      </c>
    </row>
    <row r="83" spans="1:15" x14ac:dyDescent="0.25">
      <c r="A83" t="s">
        <v>520</v>
      </c>
      <c r="B83" t="s">
        <v>521</v>
      </c>
      <c r="C83" t="s">
        <v>522</v>
      </c>
      <c r="D83">
        <v>2026</v>
      </c>
      <c r="E83" t="s">
        <v>56</v>
      </c>
      <c r="F83" t="s">
        <v>67</v>
      </c>
      <c r="G83" t="s">
        <v>308</v>
      </c>
      <c r="H83" t="s">
        <v>523</v>
      </c>
      <c r="I83" t="s">
        <v>524</v>
      </c>
      <c r="J83" t="s">
        <v>71</v>
      </c>
      <c r="K83" t="s">
        <v>18</v>
      </c>
      <c r="L83" t="s">
        <v>72</v>
      </c>
      <c r="M83" t="s">
        <v>72</v>
      </c>
      <c r="N83" s="5"/>
      <c r="O83" t="str">
        <f t="shared" si="1"/>
        <v/>
      </c>
    </row>
    <row r="84" spans="1:15" x14ac:dyDescent="0.25">
      <c r="A84" t="s">
        <v>525</v>
      </c>
      <c r="B84" t="s">
        <v>526</v>
      </c>
      <c r="C84" t="s">
        <v>527</v>
      </c>
      <c r="D84">
        <v>2026</v>
      </c>
      <c r="E84" t="s">
        <v>56</v>
      </c>
      <c r="F84" t="s">
        <v>67</v>
      </c>
      <c r="G84" t="s">
        <v>528</v>
      </c>
      <c r="H84" t="s">
        <v>529</v>
      </c>
      <c r="I84" t="s">
        <v>530</v>
      </c>
      <c r="J84" t="s">
        <v>71</v>
      </c>
      <c r="K84" t="s">
        <v>18</v>
      </c>
      <c r="L84" t="s">
        <v>72</v>
      </c>
      <c r="M84" t="s">
        <v>72</v>
      </c>
      <c r="N84" s="5"/>
      <c r="O84" t="str">
        <f t="shared" si="1"/>
        <v/>
      </c>
    </row>
    <row r="85" spans="1:15" x14ac:dyDescent="0.25">
      <c r="A85" t="s">
        <v>531</v>
      </c>
      <c r="B85" t="s">
        <v>532</v>
      </c>
      <c r="C85" t="s">
        <v>533</v>
      </c>
      <c r="D85">
        <v>2026</v>
      </c>
      <c r="E85" t="s">
        <v>56</v>
      </c>
      <c r="F85" t="s">
        <v>57</v>
      </c>
      <c r="G85" t="s">
        <v>291</v>
      </c>
      <c r="H85" t="s">
        <v>534</v>
      </c>
      <c r="I85" t="s">
        <v>535</v>
      </c>
      <c r="J85" t="s">
        <v>71</v>
      </c>
      <c r="K85" t="s">
        <v>18</v>
      </c>
      <c r="L85" t="s">
        <v>72</v>
      </c>
      <c r="M85" t="s">
        <v>72</v>
      </c>
      <c r="N85" s="5"/>
      <c r="O85" t="str">
        <f t="shared" si="1"/>
        <v/>
      </c>
    </row>
    <row r="86" spans="1:15" x14ac:dyDescent="0.25">
      <c r="A86" t="s">
        <v>536</v>
      </c>
      <c r="B86" t="s">
        <v>537</v>
      </c>
      <c r="C86" t="s">
        <v>538</v>
      </c>
      <c r="D86">
        <v>2026</v>
      </c>
      <c r="E86" t="s">
        <v>56</v>
      </c>
      <c r="F86" t="s">
        <v>57</v>
      </c>
      <c r="G86" t="s">
        <v>539</v>
      </c>
      <c r="H86" t="s">
        <v>540</v>
      </c>
      <c r="I86" t="s">
        <v>541</v>
      </c>
      <c r="J86" t="s">
        <v>98</v>
      </c>
      <c r="K86" t="s">
        <v>99</v>
      </c>
      <c r="L86" t="s">
        <v>63</v>
      </c>
      <c r="M86" t="s">
        <v>72</v>
      </c>
      <c r="N86" s="5"/>
      <c r="O86" t="str">
        <f t="shared" si="1"/>
        <v/>
      </c>
    </row>
    <row r="87" spans="1:15" x14ac:dyDescent="0.25">
      <c r="A87" t="s">
        <v>542</v>
      </c>
      <c r="B87" t="s">
        <v>543</v>
      </c>
      <c r="C87" t="s">
        <v>544</v>
      </c>
      <c r="D87">
        <v>2026</v>
      </c>
      <c r="E87" t="s">
        <v>56</v>
      </c>
      <c r="F87" t="s">
        <v>67</v>
      </c>
      <c r="G87" t="s">
        <v>545</v>
      </c>
      <c r="H87" t="s">
        <v>546</v>
      </c>
      <c r="I87" t="s">
        <v>547</v>
      </c>
      <c r="J87" t="s">
        <v>71</v>
      </c>
      <c r="K87" t="s">
        <v>18</v>
      </c>
      <c r="L87" t="s">
        <v>72</v>
      </c>
      <c r="M87" t="s">
        <v>72</v>
      </c>
      <c r="N87" s="5"/>
      <c r="O87" t="str">
        <f t="shared" si="1"/>
        <v/>
      </c>
    </row>
    <row r="88" spans="1:15" x14ac:dyDescent="0.25">
      <c r="A88" t="s">
        <v>548</v>
      </c>
      <c r="B88" t="s">
        <v>549</v>
      </c>
      <c r="C88" t="s">
        <v>428</v>
      </c>
      <c r="D88">
        <v>2026</v>
      </c>
      <c r="E88" t="s">
        <v>56</v>
      </c>
      <c r="F88" t="s">
        <v>67</v>
      </c>
      <c r="G88" t="s">
        <v>550</v>
      </c>
      <c r="H88" t="s">
        <v>551</v>
      </c>
      <c r="I88" t="s">
        <v>552</v>
      </c>
      <c r="J88" t="s">
        <v>71</v>
      </c>
      <c r="K88" t="s">
        <v>18</v>
      </c>
      <c r="L88" t="s">
        <v>72</v>
      </c>
      <c r="M88" t="s">
        <v>72</v>
      </c>
      <c r="N88" s="5"/>
      <c r="O88" t="str">
        <f t="shared" si="1"/>
        <v/>
      </c>
    </row>
    <row r="89" spans="1:15" x14ac:dyDescent="0.25">
      <c r="A89" t="s">
        <v>553</v>
      </c>
      <c r="B89" t="s">
        <v>554</v>
      </c>
      <c r="C89" t="s">
        <v>555</v>
      </c>
      <c r="D89">
        <v>2026</v>
      </c>
      <c r="E89" t="s">
        <v>56</v>
      </c>
      <c r="F89" t="s">
        <v>67</v>
      </c>
      <c r="G89" t="s">
        <v>556</v>
      </c>
      <c r="H89" t="s">
        <v>557</v>
      </c>
      <c r="I89" t="s">
        <v>558</v>
      </c>
      <c r="J89" t="s">
        <v>71</v>
      </c>
      <c r="K89" t="s">
        <v>18</v>
      </c>
      <c r="L89" t="s">
        <v>72</v>
      </c>
      <c r="M89" t="s">
        <v>72</v>
      </c>
      <c r="N89" s="5"/>
      <c r="O89" t="str">
        <f t="shared" si="1"/>
        <v/>
      </c>
    </row>
    <row r="90" spans="1:15" x14ac:dyDescent="0.25">
      <c r="A90" t="s">
        <v>559</v>
      </c>
      <c r="B90" t="s">
        <v>560</v>
      </c>
      <c r="C90" t="s">
        <v>561</v>
      </c>
      <c r="D90">
        <v>2026</v>
      </c>
      <c r="E90" t="s">
        <v>56</v>
      </c>
      <c r="F90" t="s">
        <v>67</v>
      </c>
      <c r="G90" t="s">
        <v>170</v>
      </c>
      <c r="H90" t="s">
        <v>562</v>
      </c>
      <c r="I90" t="s">
        <v>563</v>
      </c>
      <c r="J90" t="s">
        <v>165</v>
      </c>
      <c r="K90" t="s">
        <v>166</v>
      </c>
      <c r="L90" t="s">
        <v>63</v>
      </c>
      <c r="M90" t="s">
        <v>72</v>
      </c>
      <c r="N90" s="5"/>
      <c r="O90" t="str">
        <f t="shared" si="1"/>
        <v/>
      </c>
    </row>
    <row r="91" spans="1:15" x14ac:dyDescent="0.25">
      <c r="A91" t="s">
        <v>564</v>
      </c>
      <c r="B91" t="s">
        <v>565</v>
      </c>
      <c r="C91" t="s">
        <v>566</v>
      </c>
      <c r="D91">
        <v>2026</v>
      </c>
      <c r="E91" t="s">
        <v>56</v>
      </c>
      <c r="F91" t="s">
        <v>57</v>
      </c>
      <c r="G91" t="s">
        <v>279</v>
      </c>
      <c r="H91" t="s">
        <v>567</v>
      </c>
      <c r="I91" t="s">
        <v>568</v>
      </c>
      <c r="J91" t="s">
        <v>71</v>
      </c>
      <c r="K91" t="s">
        <v>18</v>
      </c>
      <c r="L91" t="s">
        <v>72</v>
      </c>
      <c r="M91" t="s">
        <v>72</v>
      </c>
      <c r="N91" s="5"/>
      <c r="O91" t="str">
        <f t="shared" si="1"/>
        <v/>
      </c>
    </row>
    <row r="92" spans="1:15" x14ac:dyDescent="0.25">
      <c r="A92" t="s">
        <v>569</v>
      </c>
      <c r="B92" t="s">
        <v>570</v>
      </c>
      <c r="C92" t="s">
        <v>571</v>
      </c>
      <c r="D92">
        <v>2026</v>
      </c>
      <c r="E92" t="s">
        <v>56</v>
      </c>
      <c r="F92" t="s">
        <v>67</v>
      </c>
      <c r="G92" t="s">
        <v>572</v>
      </c>
      <c r="H92" t="s">
        <v>573</v>
      </c>
      <c r="I92" t="s">
        <v>574</v>
      </c>
      <c r="J92" t="s">
        <v>79</v>
      </c>
      <c r="K92" t="s">
        <v>80</v>
      </c>
      <c r="L92" t="s">
        <v>72</v>
      </c>
      <c r="M92" t="s">
        <v>72</v>
      </c>
      <c r="N92" s="5"/>
      <c r="O92" t="str">
        <f t="shared" si="1"/>
        <v/>
      </c>
    </row>
    <row r="93" spans="1:15" x14ac:dyDescent="0.25">
      <c r="A93" t="s">
        <v>575</v>
      </c>
      <c r="B93" t="s">
        <v>576</v>
      </c>
      <c r="C93" t="s">
        <v>577</v>
      </c>
      <c r="D93">
        <v>2026</v>
      </c>
      <c r="E93" t="s">
        <v>56</v>
      </c>
      <c r="F93" t="s">
        <v>57</v>
      </c>
      <c r="G93" t="s">
        <v>578</v>
      </c>
      <c r="H93" t="s">
        <v>579</v>
      </c>
      <c r="I93" t="s">
        <v>580</v>
      </c>
      <c r="J93" t="s">
        <v>61</v>
      </c>
      <c r="K93" t="s">
        <v>62</v>
      </c>
      <c r="L93" t="s">
        <v>63</v>
      </c>
      <c r="M93" t="s">
        <v>63</v>
      </c>
      <c r="N93" s="5"/>
      <c r="O93" t="str">
        <f t="shared" si="1"/>
        <v/>
      </c>
    </row>
    <row r="94" spans="1:15" x14ac:dyDescent="0.25">
      <c r="A94" t="s">
        <v>581</v>
      </c>
      <c r="B94" t="s">
        <v>582</v>
      </c>
      <c r="C94" t="s">
        <v>583</v>
      </c>
      <c r="D94">
        <v>2026</v>
      </c>
      <c r="E94" t="s">
        <v>56</v>
      </c>
      <c r="F94" t="s">
        <v>57</v>
      </c>
      <c r="G94" t="s">
        <v>584</v>
      </c>
      <c r="H94" t="s">
        <v>585</v>
      </c>
      <c r="I94" t="s">
        <v>586</v>
      </c>
      <c r="J94" t="s">
        <v>79</v>
      </c>
      <c r="K94" t="s">
        <v>80</v>
      </c>
      <c r="L94" t="s">
        <v>72</v>
      </c>
      <c r="M94" t="s">
        <v>72</v>
      </c>
      <c r="N94" s="5"/>
      <c r="O94" t="str">
        <f t="shared" si="1"/>
        <v/>
      </c>
    </row>
    <row r="95" spans="1:15" x14ac:dyDescent="0.25">
      <c r="A95" t="s">
        <v>587</v>
      </c>
      <c r="B95" t="s">
        <v>588</v>
      </c>
      <c r="C95" t="s">
        <v>589</v>
      </c>
      <c r="D95">
        <v>2026</v>
      </c>
      <c r="E95" t="s">
        <v>56</v>
      </c>
      <c r="F95" t="s">
        <v>57</v>
      </c>
      <c r="G95" t="s">
        <v>590</v>
      </c>
      <c r="H95" t="s">
        <v>591</v>
      </c>
      <c r="I95" t="s">
        <v>592</v>
      </c>
      <c r="J95" t="s">
        <v>71</v>
      </c>
      <c r="K95" t="s">
        <v>18</v>
      </c>
      <c r="L95" t="s">
        <v>72</v>
      </c>
      <c r="M95" t="s">
        <v>72</v>
      </c>
      <c r="N95" s="5"/>
      <c r="O95" t="str">
        <f t="shared" si="1"/>
        <v/>
      </c>
    </row>
    <row r="96" spans="1:15" x14ac:dyDescent="0.25">
      <c r="A96" t="s">
        <v>593</v>
      </c>
      <c r="B96" t="s">
        <v>594</v>
      </c>
      <c r="C96" t="s">
        <v>595</v>
      </c>
      <c r="D96">
        <v>2026</v>
      </c>
      <c r="E96" t="s">
        <v>56</v>
      </c>
      <c r="F96" t="s">
        <v>57</v>
      </c>
      <c r="G96" t="s">
        <v>596</v>
      </c>
      <c r="H96" t="s">
        <v>597</v>
      </c>
      <c r="I96" t="s">
        <v>598</v>
      </c>
      <c r="J96" t="s">
        <v>87</v>
      </c>
      <c r="K96" t="s">
        <v>19</v>
      </c>
      <c r="L96" t="s">
        <v>72</v>
      </c>
      <c r="M96" t="s">
        <v>72</v>
      </c>
      <c r="N96" s="5"/>
      <c r="O96" t="str">
        <f t="shared" si="1"/>
        <v/>
      </c>
    </row>
    <row r="97" spans="1:15" x14ac:dyDescent="0.25">
      <c r="A97" t="s">
        <v>599</v>
      </c>
      <c r="B97" t="s">
        <v>600</v>
      </c>
      <c r="C97" t="s">
        <v>601</v>
      </c>
      <c r="D97">
        <v>2026</v>
      </c>
      <c r="E97" t="s">
        <v>56</v>
      </c>
      <c r="F97" t="s">
        <v>67</v>
      </c>
      <c r="G97" t="s">
        <v>188</v>
      </c>
      <c r="H97" t="s">
        <v>602</v>
      </c>
      <c r="I97" t="s">
        <v>603</v>
      </c>
      <c r="J97" t="s">
        <v>98</v>
      </c>
      <c r="K97" t="s">
        <v>99</v>
      </c>
      <c r="L97" t="s">
        <v>63</v>
      </c>
      <c r="M97" t="s">
        <v>72</v>
      </c>
      <c r="N97" s="5"/>
      <c r="O97" t="str">
        <f t="shared" si="1"/>
        <v/>
      </c>
    </row>
    <row r="98" spans="1:15" x14ac:dyDescent="0.25">
      <c r="A98" t="s">
        <v>604</v>
      </c>
      <c r="B98" t="s">
        <v>605</v>
      </c>
      <c r="C98" t="s">
        <v>606</v>
      </c>
      <c r="D98">
        <v>2026</v>
      </c>
      <c r="E98" t="s">
        <v>56</v>
      </c>
      <c r="F98" t="s">
        <v>57</v>
      </c>
      <c r="G98" t="s">
        <v>607</v>
      </c>
      <c r="H98" t="s">
        <v>608</v>
      </c>
      <c r="I98" t="s">
        <v>609</v>
      </c>
      <c r="J98" t="s">
        <v>71</v>
      </c>
      <c r="K98" t="s">
        <v>18</v>
      </c>
      <c r="L98" t="s">
        <v>72</v>
      </c>
      <c r="M98" t="s">
        <v>72</v>
      </c>
      <c r="N98" s="5"/>
      <c r="O98" t="str">
        <f t="shared" si="1"/>
        <v/>
      </c>
    </row>
    <row r="99" spans="1:15" x14ac:dyDescent="0.25">
      <c r="A99" t="s">
        <v>610</v>
      </c>
      <c r="B99" t="s">
        <v>611</v>
      </c>
      <c r="C99" t="s">
        <v>612</v>
      </c>
      <c r="D99">
        <v>2026</v>
      </c>
      <c r="E99" t="s">
        <v>56</v>
      </c>
      <c r="F99" t="s">
        <v>67</v>
      </c>
      <c r="G99" t="s">
        <v>613</v>
      </c>
      <c r="H99" t="s">
        <v>614</v>
      </c>
      <c r="I99" t="s">
        <v>615</v>
      </c>
      <c r="J99" t="s">
        <v>87</v>
      </c>
      <c r="K99" t="s">
        <v>19</v>
      </c>
      <c r="L99" t="s">
        <v>72</v>
      </c>
      <c r="M99" t="s">
        <v>72</v>
      </c>
      <c r="N99" s="5"/>
      <c r="O99" t="str">
        <f t="shared" si="1"/>
        <v/>
      </c>
    </row>
    <row r="100" spans="1:15" x14ac:dyDescent="0.25">
      <c r="A100" t="s">
        <v>616</v>
      </c>
      <c r="B100" t="s">
        <v>617</v>
      </c>
      <c r="C100" t="s">
        <v>618</v>
      </c>
      <c r="D100">
        <v>2026</v>
      </c>
      <c r="E100" t="s">
        <v>56</v>
      </c>
      <c r="F100" t="s">
        <v>57</v>
      </c>
      <c r="G100" t="s">
        <v>578</v>
      </c>
      <c r="H100" t="s">
        <v>619</v>
      </c>
      <c r="I100" t="s">
        <v>620</v>
      </c>
      <c r="J100" t="s">
        <v>61</v>
      </c>
      <c r="K100" t="s">
        <v>62</v>
      </c>
      <c r="L100" t="s">
        <v>63</v>
      </c>
      <c r="M100" t="s">
        <v>63</v>
      </c>
      <c r="N100" s="5"/>
      <c r="O100" t="str">
        <f t="shared" si="1"/>
        <v/>
      </c>
    </row>
    <row r="101" spans="1:15" x14ac:dyDescent="0.25">
      <c r="A101" t="s">
        <v>621</v>
      </c>
      <c r="B101" t="s">
        <v>622</v>
      </c>
      <c r="C101" t="s">
        <v>623</v>
      </c>
      <c r="D101">
        <v>2026</v>
      </c>
      <c r="E101" t="s">
        <v>56</v>
      </c>
      <c r="F101" t="s">
        <v>57</v>
      </c>
      <c r="G101" t="s">
        <v>624</v>
      </c>
      <c r="H101" t="s">
        <v>625</v>
      </c>
      <c r="I101" t="s">
        <v>626</v>
      </c>
      <c r="J101" t="s">
        <v>627</v>
      </c>
      <c r="K101" t="s">
        <v>628</v>
      </c>
      <c r="L101" t="s">
        <v>63</v>
      </c>
      <c r="M101" t="s">
        <v>72</v>
      </c>
      <c r="N101" s="5"/>
      <c r="O101" t="str">
        <f t="shared" si="1"/>
        <v/>
      </c>
    </row>
    <row r="102" spans="1:15" x14ac:dyDescent="0.25">
      <c r="A102" t="s">
        <v>629</v>
      </c>
      <c r="B102" t="s">
        <v>630</v>
      </c>
      <c r="C102" t="s">
        <v>631</v>
      </c>
      <c r="D102">
        <v>2026</v>
      </c>
      <c r="E102" t="s">
        <v>56</v>
      </c>
      <c r="F102" t="s">
        <v>67</v>
      </c>
      <c r="G102" t="s">
        <v>632</v>
      </c>
      <c r="H102" t="s">
        <v>633</v>
      </c>
      <c r="I102" t="s">
        <v>634</v>
      </c>
      <c r="J102" t="s">
        <v>71</v>
      </c>
      <c r="K102" t="s">
        <v>18</v>
      </c>
      <c r="L102" t="s">
        <v>72</v>
      </c>
      <c r="M102" t="s">
        <v>72</v>
      </c>
      <c r="N102" s="5"/>
      <c r="O102" t="str">
        <f t="shared" si="1"/>
        <v/>
      </c>
    </row>
    <row r="103" spans="1:15" x14ac:dyDescent="0.25">
      <c r="A103" t="s">
        <v>635</v>
      </c>
      <c r="B103" t="s">
        <v>630</v>
      </c>
      <c r="C103" t="s">
        <v>636</v>
      </c>
      <c r="D103">
        <v>2026</v>
      </c>
      <c r="E103" t="s">
        <v>56</v>
      </c>
      <c r="F103" t="s">
        <v>67</v>
      </c>
      <c r="G103" t="s">
        <v>637</v>
      </c>
      <c r="H103" t="s">
        <v>633</v>
      </c>
      <c r="I103" t="s">
        <v>638</v>
      </c>
      <c r="J103" t="s">
        <v>71</v>
      </c>
      <c r="K103" t="s">
        <v>18</v>
      </c>
      <c r="L103" t="s">
        <v>72</v>
      </c>
      <c r="M103" t="s">
        <v>72</v>
      </c>
      <c r="N103" s="5"/>
      <c r="O103" t="str">
        <f t="shared" si="1"/>
        <v/>
      </c>
    </row>
    <row r="104" spans="1:15" x14ac:dyDescent="0.25">
      <c r="A104" t="s">
        <v>639</v>
      </c>
      <c r="B104" t="s">
        <v>640</v>
      </c>
      <c r="C104" t="s">
        <v>641</v>
      </c>
      <c r="D104">
        <v>2026</v>
      </c>
      <c r="E104" t="s">
        <v>56</v>
      </c>
      <c r="F104" t="s">
        <v>67</v>
      </c>
      <c r="G104" t="s">
        <v>151</v>
      </c>
      <c r="H104" t="s">
        <v>642</v>
      </c>
      <c r="I104" t="s">
        <v>643</v>
      </c>
      <c r="J104" t="s">
        <v>71</v>
      </c>
      <c r="K104" t="s">
        <v>18</v>
      </c>
      <c r="L104" t="s">
        <v>72</v>
      </c>
      <c r="M104" t="s">
        <v>72</v>
      </c>
      <c r="N104" s="5"/>
      <c r="O104" t="str">
        <f t="shared" si="1"/>
        <v/>
      </c>
    </row>
    <row r="105" spans="1:15" x14ac:dyDescent="0.25">
      <c r="A105" t="s">
        <v>644</v>
      </c>
      <c r="B105" t="s">
        <v>645</v>
      </c>
      <c r="C105" t="s">
        <v>646</v>
      </c>
      <c r="D105">
        <v>2026</v>
      </c>
      <c r="E105" t="s">
        <v>56</v>
      </c>
      <c r="F105" t="s">
        <v>67</v>
      </c>
      <c r="G105" t="s">
        <v>84</v>
      </c>
      <c r="H105" t="s">
        <v>647</v>
      </c>
      <c r="I105" t="s">
        <v>648</v>
      </c>
      <c r="J105" t="s">
        <v>87</v>
      </c>
      <c r="K105" t="s">
        <v>19</v>
      </c>
      <c r="L105" t="s">
        <v>72</v>
      </c>
      <c r="M105" t="s">
        <v>72</v>
      </c>
      <c r="N105" s="5"/>
      <c r="O105" t="str">
        <f t="shared" si="1"/>
        <v/>
      </c>
    </row>
    <row r="106" spans="1:15" x14ac:dyDescent="0.25">
      <c r="A106" t="s">
        <v>649</v>
      </c>
      <c r="B106" t="s">
        <v>650</v>
      </c>
      <c r="C106" t="s">
        <v>651</v>
      </c>
      <c r="D106">
        <v>2026</v>
      </c>
      <c r="E106" t="s">
        <v>56</v>
      </c>
      <c r="F106" t="s">
        <v>57</v>
      </c>
      <c r="G106" t="s">
        <v>418</v>
      </c>
      <c r="H106" t="s">
        <v>652</v>
      </c>
      <c r="I106" t="s">
        <v>653</v>
      </c>
      <c r="J106" t="s">
        <v>79</v>
      </c>
      <c r="K106" t="s">
        <v>80</v>
      </c>
      <c r="L106" t="s">
        <v>72</v>
      </c>
      <c r="M106" t="s">
        <v>72</v>
      </c>
      <c r="N106" s="5"/>
      <c r="O106" t="str">
        <f t="shared" si="1"/>
        <v/>
      </c>
    </row>
    <row r="107" spans="1:15" x14ac:dyDescent="0.25">
      <c r="A107" t="s">
        <v>654</v>
      </c>
      <c r="B107" t="s">
        <v>655</v>
      </c>
      <c r="C107" t="s">
        <v>656</v>
      </c>
      <c r="D107">
        <v>2026</v>
      </c>
      <c r="E107" t="s">
        <v>56</v>
      </c>
      <c r="F107" t="s">
        <v>67</v>
      </c>
      <c r="G107" t="s">
        <v>151</v>
      </c>
      <c r="H107" t="s">
        <v>657</v>
      </c>
      <c r="I107" t="s">
        <v>658</v>
      </c>
      <c r="J107" t="s">
        <v>71</v>
      </c>
      <c r="K107" t="s">
        <v>18</v>
      </c>
      <c r="L107" t="s">
        <v>72</v>
      </c>
      <c r="M107" t="s">
        <v>72</v>
      </c>
      <c r="N107" s="5"/>
      <c r="O107" t="str">
        <f t="shared" si="1"/>
        <v/>
      </c>
    </row>
    <row r="108" spans="1:15" x14ac:dyDescent="0.25">
      <c r="A108" t="s">
        <v>659</v>
      </c>
      <c r="B108" t="s">
        <v>660</v>
      </c>
      <c r="C108" t="s">
        <v>661</v>
      </c>
      <c r="D108">
        <v>2026</v>
      </c>
      <c r="E108" t="s">
        <v>56</v>
      </c>
      <c r="F108" t="s">
        <v>67</v>
      </c>
      <c r="G108" t="s">
        <v>662</v>
      </c>
      <c r="H108" t="s">
        <v>663</v>
      </c>
      <c r="I108" t="s">
        <v>664</v>
      </c>
      <c r="J108" t="s">
        <v>79</v>
      </c>
      <c r="K108" t="s">
        <v>80</v>
      </c>
      <c r="L108" t="s">
        <v>72</v>
      </c>
      <c r="M108" t="s">
        <v>72</v>
      </c>
      <c r="N108" s="5"/>
      <c r="O108" t="str">
        <f t="shared" si="1"/>
        <v/>
      </c>
    </row>
    <row r="109" spans="1:15" x14ac:dyDescent="0.25">
      <c r="A109" t="s">
        <v>665</v>
      </c>
      <c r="B109" t="s">
        <v>666</v>
      </c>
      <c r="C109" t="s">
        <v>667</v>
      </c>
      <c r="D109">
        <v>2026</v>
      </c>
      <c r="E109" t="s">
        <v>56</v>
      </c>
      <c r="F109" t="s">
        <v>57</v>
      </c>
      <c r="G109" t="s">
        <v>668</v>
      </c>
      <c r="H109" t="s">
        <v>669</v>
      </c>
      <c r="I109" t="s">
        <v>670</v>
      </c>
      <c r="J109" t="s">
        <v>79</v>
      </c>
      <c r="K109" t="s">
        <v>80</v>
      </c>
      <c r="L109" t="s">
        <v>72</v>
      </c>
      <c r="M109" t="s">
        <v>72</v>
      </c>
      <c r="N109" s="5"/>
      <c r="O109" t="str">
        <f t="shared" si="1"/>
        <v/>
      </c>
    </row>
    <row r="110" spans="1:15" x14ac:dyDescent="0.25">
      <c r="A110" t="s">
        <v>671</v>
      </c>
      <c r="B110" t="s">
        <v>672</v>
      </c>
      <c r="C110" t="s">
        <v>673</v>
      </c>
      <c r="D110">
        <v>2026</v>
      </c>
      <c r="E110" t="s">
        <v>56</v>
      </c>
      <c r="F110" t="s">
        <v>57</v>
      </c>
      <c r="G110" t="s">
        <v>418</v>
      </c>
      <c r="H110" t="s">
        <v>674</v>
      </c>
      <c r="I110" t="s">
        <v>675</v>
      </c>
      <c r="J110" t="s">
        <v>79</v>
      </c>
      <c r="K110" t="s">
        <v>80</v>
      </c>
      <c r="L110" t="s">
        <v>72</v>
      </c>
      <c r="M110" t="s">
        <v>72</v>
      </c>
      <c r="N110" s="5"/>
      <c r="O110" t="str">
        <f t="shared" si="1"/>
        <v/>
      </c>
    </row>
    <row r="111" spans="1:15" x14ac:dyDescent="0.25">
      <c r="A111" t="s">
        <v>676</v>
      </c>
      <c r="B111" t="s">
        <v>677</v>
      </c>
      <c r="C111" t="s">
        <v>678</v>
      </c>
      <c r="D111">
        <v>2026</v>
      </c>
      <c r="E111" t="s">
        <v>56</v>
      </c>
      <c r="F111" t="s">
        <v>67</v>
      </c>
      <c r="G111" t="s">
        <v>679</v>
      </c>
      <c r="H111" t="s">
        <v>680</v>
      </c>
      <c r="I111" t="s">
        <v>681</v>
      </c>
      <c r="J111" t="s">
        <v>79</v>
      </c>
      <c r="K111" t="s">
        <v>80</v>
      </c>
      <c r="L111" t="s">
        <v>72</v>
      </c>
      <c r="M111" t="s">
        <v>72</v>
      </c>
      <c r="N111" s="5"/>
      <c r="O111" t="str">
        <f t="shared" si="1"/>
        <v/>
      </c>
    </row>
    <row r="112" spans="1:15" x14ac:dyDescent="0.25">
      <c r="A112" t="s">
        <v>682</v>
      </c>
      <c r="B112" t="s">
        <v>683</v>
      </c>
      <c r="C112" t="s">
        <v>684</v>
      </c>
      <c r="D112">
        <v>2026</v>
      </c>
      <c r="E112" t="s">
        <v>56</v>
      </c>
      <c r="F112" t="s">
        <v>67</v>
      </c>
      <c r="G112" t="s">
        <v>685</v>
      </c>
      <c r="H112" t="s">
        <v>686</v>
      </c>
      <c r="I112" t="s">
        <v>687</v>
      </c>
      <c r="J112" t="s">
        <v>87</v>
      </c>
      <c r="K112" t="s">
        <v>19</v>
      </c>
      <c r="L112" t="s">
        <v>72</v>
      </c>
      <c r="M112" t="s">
        <v>72</v>
      </c>
      <c r="N112" s="5"/>
      <c r="O112" t="str">
        <f t="shared" si="1"/>
        <v/>
      </c>
    </row>
    <row r="113" spans="1:15" x14ac:dyDescent="0.25">
      <c r="A113" t="s">
        <v>688</v>
      </c>
      <c r="B113" t="s">
        <v>689</v>
      </c>
      <c r="C113" t="s">
        <v>690</v>
      </c>
      <c r="D113">
        <v>2026</v>
      </c>
      <c r="E113" t="s">
        <v>56</v>
      </c>
      <c r="F113" t="s">
        <v>57</v>
      </c>
      <c r="G113" t="s">
        <v>691</v>
      </c>
      <c r="H113" t="s">
        <v>692</v>
      </c>
      <c r="I113" t="s">
        <v>693</v>
      </c>
      <c r="J113" t="s">
        <v>87</v>
      </c>
      <c r="K113" t="s">
        <v>19</v>
      </c>
      <c r="L113" t="s">
        <v>72</v>
      </c>
      <c r="M113" t="s">
        <v>72</v>
      </c>
      <c r="N113" s="5"/>
      <c r="O113" t="str">
        <f t="shared" si="1"/>
        <v/>
      </c>
    </row>
    <row r="114" spans="1:15" x14ac:dyDescent="0.25">
      <c r="A114" t="s">
        <v>694</v>
      </c>
      <c r="B114" t="s">
        <v>695</v>
      </c>
      <c r="C114" t="s">
        <v>384</v>
      </c>
      <c r="D114">
        <v>2026</v>
      </c>
      <c r="E114" t="s">
        <v>56</v>
      </c>
      <c r="F114" t="s">
        <v>67</v>
      </c>
      <c r="G114" t="s">
        <v>696</v>
      </c>
      <c r="H114" t="s">
        <v>697</v>
      </c>
      <c r="I114" t="s">
        <v>698</v>
      </c>
      <c r="J114" t="s">
        <v>71</v>
      </c>
      <c r="K114" t="s">
        <v>18</v>
      </c>
      <c r="L114" t="s">
        <v>72</v>
      </c>
      <c r="M114" t="s">
        <v>72</v>
      </c>
      <c r="N114" s="5"/>
      <c r="O114" t="str">
        <f t="shared" si="1"/>
        <v/>
      </c>
    </row>
    <row r="115" spans="1:15" x14ac:dyDescent="0.25">
      <c r="A115" t="s">
        <v>699</v>
      </c>
      <c r="B115" t="s">
        <v>700</v>
      </c>
      <c r="C115" t="s">
        <v>701</v>
      </c>
      <c r="D115">
        <v>2026</v>
      </c>
      <c r="E115" t="s">
        <v>56</v>
      </c>
      <c r="F115" t="s">
        <v>57</v>
      </c>
      <c r="G115" t="s">
        <v>702</v>
      </c>
      <c r="H115" t="s">
        <v>703</v>
      </c>
      <c r="I115" t="s">
        <v>704</v>
      </c>
      <c r="J115" t="s">
        <v>87</v>
      </c>
      <c r="K115" t="s">
        <v>19</v>
      </c>
      <c r="L115" t="s">
        <v>72</v>
      </c>
      <c r="M115" t="s">
        <v>72</v>
      </c>
      <c r="N115" s="5"/>
      <c r="O115" t="str">
        <f t="shared" si="1"/>
        <v/>
      </c>
    </row>
    <row r="116" spans="1:15" x14ac:dyDescent="0.25">
      <c r="A116" t="s">
        <v>705</v>
      </c>
      <c r="B116" t="s">
        <v>706</v>
      </c>
      <c r="C116" t="s">
        <v>707</v>
      </c>
      <c r="D116">
        <v>2026</v>
      </c>
      <c r="E116" t="s">
        <v>56</v>
      </c>
      <c r="F116" t="s">
        <v>57</v>
      </c>
      <c r="G116" t="s">
        <v>702</v>
      </c>
      <c r="H116" t="s">
        <v>708</v>
      </c>
      <c r="I116" t="s">
        <v>709</v>
      </c>
      <c r="J116" t="s">
        <v>87</v>
      </c>
      <c r="K116" t="s">
        <v>19</v>
      </c>
      <c r="L116" t="s">
        <v>72</v>
      </c>
      <c r="M116" t="s">
        <v>72</v>
      </c>
      <c r="N116" s="5"/>
      <c r="O116" t="str">
        <f t="shared" si="1"/>
        <v/>
      </c>
    </row>
    <row r="117" spans="1:15" x14ac:dyDescent="0.25">
      <c r="A117" t="s">
        <v>710</v>
      </c>
      <c r="B117" t="s">
        <v>711</v>
      </c>
      <c r="C117" t="s">
        <v>712</v>
      </c>
      <c r="D117">
        <v>2026</v>
      </c>
      <c r="E117" t="s">
        <v>56</v>
      </c>
      <c r="F117" t="s">
        <v>67</v>
      </c>
      <c r="G117" t="s">
        <v>713</v>
      </c>
      <c r="H117" t="s">
        <v>714</v>
      </c>
      <c r="I117" t="s">
        <v>715</v>
      </c>
      <c r="J117" t="s">
        <v>79</v>
      </c>
      <c r="K117" t="s">
        <v>80</v>
      </c>
      <c r="L117" t="s">
        <v>72</v>
      </c>
      <c r="M117" t="s">
        <v>72</v>
      </c>
      <c r="N117" s="5"/>
      <c r="O117" t="str">
        <f t="shared" si="1"/>
        <v/>
      </c>
    </row>
    <row r="118" spans="1:15" x14ac:dyDescent="0.25">
      <c r="A118" t="s">
        <v>716</v>
      </c>
      <c r="B118" t="s">
        <v>717</v>
      </c>
      <c r="C118" t="s">
        <v>718</v>
      </c>
      <c r="D118">
        <v>2026</v>
      </c>
      <c r="E118" t="s">
        <v>56</v>
      </c>
      <c r="F118" t="s">
        <v>67</v>
      </c>
      <c r="G118" t="s">
        <v>719</v>
      </c>
      <c r="H118" t="s">
        <v>720</v>
      </c>
      <c r="I118" t="s">
        <v>721</v>
      </c>
      <c r="J118" t="s">
        <v>71</v>
      </c>
      <c r="K118" t="s">
        <v>18</v>
      </c>
      <c r="L118" t="s">
        <v>72</v>
      </c>
      <c r="M118" t="s">
        <v>72</v>
      </c>
      <c r="N118" s="5"/>
      <c r="O118" t="str">
        <f t="shared" si="1"/>
        <v/>
      </c>
    </row>
    <row r="119" spans="1:15" x14ac:dyDescent="0.25">
      <c r="A119" t="s">
        <v>722</v>
      </c>
      <c r="B119" t="s">
        <v>723</v>
      </c>
      <c r="C119" t="s">
        <v>175</v>
      </c>
      <c r="D119">
        <v>2026</v>
      </c>
      <c r="E119" t="s">
        <v>56</v>
      </c>
      <c r="F119" t="s">
        <v>67</v>
      </c>
      <c r="G119" t="s">
        <v>713</v>
      </c>
      <c r="H119" t="s">
        <v>724</v>
      </c>
      <c r="I119" t="s">
        <v>725</v>
      </c>
      <c r="J119" t="s">
        <v>79</v>
      </c>
      <c r="K119" t="s">
        <v>80</v>
      </c>
      <c r="L119" t="s">
        <v>72</v>
      </c>
      <c r="M119" t="s">
        <v>72</v>
      </c>
      <c r="N119" s="5"/>
      <c r="O119" t="str">
        <f t="shared" si="1"/>
        <v/>
      </c>
    </row>
    <row r="120" spans="1:15" x14ac:dyDescent="0.25">
      <c r="A120" t="s">
        <v>726</v>
      </c>
      <c r="B120" t="s">
        <v>727</v>
      </c>
      <c r="C120" t="s">
        <v>95</v>
      </c>
      <c r="D120">
        <v>2026</v>
      </c>
      <c r="E120" t="s">
        <v>56</v>
      </c>
      <c r="F120" t="s">
        <v>67</v>
      </c>
      <c r="G120" t="s">
        <v>728</v>
      </c>
      <c r="H120" t="s">
        <v>729</v>
      </c>
      <c r="I120" t="s">
        <v>730</v>
      </c>
      <c r="J120" t="s">
        <v>71</v>
      </c>
      <c r="K120" t="s">
        <v>18</v>
      </c>
      <c r="L120" t="s">
        <v>72</v>
      </c>
      <c r="M120" t="s">
        <v>72</v>
      </c>
      <c r="N120" s="5"/>
      <c r="O120" t="str">
        <f t="shared" si="1"/>
        <v/>
      </c>
    </row>
    <row r="121" spans="1:15" x14ac:dyDescent="0.25">
      <c r="A121" t="s">
        <v>731</v>
      </c>
      <c r="B121" t="s">
        <v>732</v>
      </c>
      <c r="C121" t="s">
        <v>733</v>
      </c>
      <c r="D121">
        <v>2026</v>
      </c>
      <c r="E121" t="s">
        <v>56</v>
      </c>
      <c r="F121" t="s">
        <v>57</v>
      </c>
      <c r="G121" t="s">
        <v>291</v>
      </c>
      <c r="H121" t="s">
        <v>734</v>
      </c>
      <c r="I121" t="s">
        <v>735</v>
      </c>
      <c r="J121" t="s">
        <v>71</v>
      </c>
      <c r="K121" t="s">
        <v>18</v>
      </c>
      <c r="L121" t="s">
        <v>72</v>
      </c>
      <c r="M121" t="s">
        <v>72</v>
      </c>
      <c r="N121" s="5"/>
      <c r="O121" t="str">
        <f t="shared" si="1"/>
        <v/>
      </c>
    </row>
    <row r="122" spans="1:15" x14ac:dyDescent="0.25">
      <c r="A122" t="s">
        <v>736</v>
      </c>
      <c r="B122" t="s">
        <v>737</v>
      </c>
      <c r="C122" t="s">
        <v>738</v>
      </c>
      <c r="D122">
        <v>2026</v>
      </c>
      <c r="E122" t="s">
        <v>56</v>
      </c>
      <c r="F122" t="s">
        <v>57</v>
      </c>
      <c r="G122" t="s">
        <v>739</v>
      </c>
      <c r="H122" t="s">
        <v>740</v>
      </c>
      <c r="I122" t="s">
        <v>741</v>
      </c>
      <c r="J122" t="s">
        <v>165</v>
      </c>
      <c r="K122" t="s">
        <v>166</v>
      </c>
      <c r="L122" t="s">
        <v>63</v>
      </c>
      <c r="M122" t="s">
        <v>72</v>
      </c>
      <c r="N122" s="5"/>
      <c r="O122" t="str">
        <f t="shared" si="1"/>
        <v/>
      </c>
    </row>
    <row r="123" spans="1:15" x14ac:dyDescent="0.25">
      <c r="A123" t="s">
        <v>742</v>
      </c>
      <c r="B123" t="s">
        <v>743</v>
      </c>
      <c r="C123" t="s">
        <v>744</v>
      </c>
      <c r="D123">
        <v>2026</v>
      </c>
      <c r="E123" t="s">
        <v>56</v>
      </c>
      <c r="F123" t="s">
        <v>67</v>
      </c>
      <c r="G123" t="s">
        <v>84</v>
      </c>
      <c r="H123" t="s">
        <v>745</v>
      </c>
      <c r="I123" t="s">
        <v>746</v>
      </c>
      <c r="J123" t="s">
        <v>71</v>
      </c>
      <c r="K123" t="s">
        <v>18</v>
      </c>
      <c r="L123" t="s">
        <v>72</v>
      </c>
      <c r="M123" t="s">
        <v>72</v>
      </c>
      <c r="N123" s="5"/>
      <c r="O123" t="str">
        <f t="shared" si="1"/>
        <v/>
      </c>
    </row>
    <row r="124" spans="1:15" x14ac:dyDescent="0.25">
      <c r="A124" t="s">
        <v>747</v>
      </c>
      <c r="B124" t="s">
        <v>748</v>
      </c>
      <c r="C124" t="s">
        <v>749</v>
      </c>
      <c r="D124">
        <v>2026</v>
      </c>
      <c r="E124" t="s">
        <v>56</v>
      </c>
      <c r="F124" t="s">
        <v>57</v>
      </c>
      <c r="G124" t="s">
        <v>750</v>
      </c>
      <c r="H124" t="s">
        <v>751</v>
      </c>
      <c r="I124" t="s">
        <v>752</v>
      </c>
      <c r="J124" t="s">
        <v>165</v>
      </c>
      <c r="K124" t="s">
        <v>166</v>
      </c>
      <c r="L124" t="s">
        <v>63</v>
      </c>
      <c r="M124" t="s">
        <v>72</v>
      </c>
      <c r="N124" s="5"/>
      <c r="O124" t="str">
        <f t="shared" si="1"/>
        <v/>
      </c>
    </row>
    <row r="125" spans="1:15" x14ac:dyDescent="0.25">
      <c r="A125" t="s">
        <v>753</v>
      </c>
      <c r="B125" t="s">
        <v>754</v>
      </c>
      <c r="C125" t="s">
        <v>755</v>
      </c>
      <c r="D125">
        <v>2026</v>
      </c>
      <c r="E125" t="s">
        <v>56</v>
      </c>
      <c r="F125" t="s">
        <v>67</v>
      </c>
      <c r="G125" t="s">
        <v>151</v>
      </c>
      <c r="H125" t="s">
        <v>756</v>
      </c>
      <c r="I125" t="s">
        <v>757</v>
      </c>
      <c r="J125" t="s">
        <v>87</v>
      </c>
      <c r="K125" t="s">
        <v>19</v>
      </c>
      <c r="L125" t="s">
        <v>72</v>
      </c>
      <c r="M125" t="s">
        <v>72</v>
      </c>
      <c r="N125" s="5"/>
      <c r="O125" t="str">
        <f t="shared" si="1"/>
        <v/>
      </c>
    </row>
    <row r="126" spans="1:15" x14ac:dyDescent="0.25">
      <c r="A126" t="s">
        <v>758</v>
      </c>
      <c r="B126" t="s">
        <v>759</v>
      </c>
      <c r="C126" t="s">
        <v>760</v>
      </c>
      <c r="D126">
        <v>2026</v>
      </c>
      <c r="E126" t="s">
        <v>56</v>
      </c>
      <c r="F126" t="s">
        <v>67</v>
      </c>
      <c r="G126" t="s">
        <v>151</v>
      </c>
      <c r="H126" t="s">
        <v>761</v>
      </c>
      <c r="I126" t="s">
        <v>762</v>
      </c>
      <c r="J126" t="s">
        <v>87</v>
      </c>
      <c r="K126" t="s">
        <v>19</v>
      </c>
      <c r="L126" t="s">
        <v>72</v>
      </c>
      <c r="M126" t="s">
        <v>72</v>
      </c>
      <c r="N126" s="5"/>
      <c r="O126" t="str">
        <f t="shared" si="1"/>
        <v/>
      </c>
    </row>
    <row r="127" spans="1:15" x14ac:dyDescent="0.25">
      <c r="A127" t="s">
        <v>763</v>
      </c>
      <c r="B127" t="s">
        <v>764</v>
      </c>
      <c r="C127" t="s">
        <v>765</v>
      </c>
      <c r="D127">
        <v>2026</v>
      </c>
      <c r="E127" t="s">
        <v>56</v>
      </c>
      <c r="F127" t="s">
        <v>57</v>
      </c>
      <c r="G127" t="s">
        <v>766</v>
      </c>
      <c r="H127" t="s">
        <v>767</v>
      </c>
      <c r="I127" t="s">
        <v>768</v>
      </c>
      <c r="J127" t="s">
        <v>71</v>
      </c>
      <c r="K127" t="s">
        <v>18</v>
      </c>
      <c r="L127" t="s">
        <v>72</v>
      </c>
      <c r="M127" t="s">
        <v>72</v>
      </c>
      <c r="N127" s="5"/>
      <c r="O127" t="str">
        <f t="shared" si="1"/>
        <v/>
      </c>
    </row>
    <row r="128" spans="1:15" x14ac:dyDescent="0.25">
      <c r="A128" t="s">
        <v>769</v>
      </c>
      <c r="B128" t="s">
        <v>770</v>
      </c>
      <c r="C128" t="s">
        <v>771</v>
      </c>
      <c r="D128">
        <v>2026</v>
      </c>
      <c r="E128" t="s">
        <v>56</v>
      </c>
      <c r="F128" t="s">
        <v>67</v>
      </c>
      <c r="G128" t="s">
        <v>772</v>
      </c>
      <c r="H128" t="s">
        <v>773</v>
      </c>
      <c r="I128" t="s">
        <v>774</v>
      </c>
      <c r="J128" t="s">
        <v>71</v>
      </c>
      <c r="K128" t="s">
        <v>18</v>
      </c>
      <c r="L128" t="s">
        <v>72</v>
      </c>
      <c r="M128" t="s">
        <v>72</v>
      </c>
      <c r="N128" s="5"/>
      <c r="O128" t="str">
        <f t="shared" si="1"/>
        <v/>
      </c>
    </row>
    <row r="129" spans="1:15" x14ac:dyDescent="0.25">
      <c r="A129" t="s">
        <v>775</v>
      </c>
      <c r="B129" t="s">
        <v>776</v>
      </c>
      <c r="C129" t="s">
        <v>777</v>
      </c>
      <c r="D129">
        <v>2026</v>
      </c>
      <c r="E129" t="s">
        <v>56</v>
      </c>
      <c r="F129" t="s">
        <v>57</v>
      </c>
      <c r="G129" t="s">
        <v>176</v>
      </c>
      <c r="H129" t="s">
        <v>778</v>
      </c>
      <c r="I129" t="s">
        <v>779</v>
      </c>
      <c r="J129" t="s">
        <v>61</v>
      </c>
      <c r="K129" t="s">
        <v>62</v>
      </c>
      <c r="L129" t="s">
        <v>63</v>
      </c>
      <c r="M129" t="s">
        <v>63</v>
      </c>
      <c r="N129" s="5"/>
      <c r="O129" t="str">
        <f t="shared" si="1"/>
        <v/>
      </c>
    </row>
    <row r="130" spans="1:15" x14ac:dyDescent="0.25">
      <c r="A130" t="s">
        <v>780</v>
      </c>
      <c r="B130" t="s">
        <v>781</v>
      </c>
      <c r="C130" t="s">
        <v>782</v>
      </c>
      <c r="D130">
        <v>2026</v>
      </c>
      <c r="E130" t="s">
        <v>56</v>
      </c>
      <c r="F130" t="s">
        <v>57</v>
      </c>
      <c r="G130" t="s">
        <v>702</v>
      </c>
      <c r="H130" t="s">
        <v>783</v>
      </c>
      <c r="I130" t="s">
        <v>784</v>
      </c>
      <c r="J130" t="s">
        <v>79</v>
      </c>
      <c r="K130" t="s">
        <v>80</v>
      </c>
      <c r="L130" t="s">
        <v>72</v>
      </c>
      <c r="M130" t="s">
        <v>72</v>
      </c>
      <c r="N130" s="5"/>
      <c r="O130" t="str">
        <f t="shared" ref="O130:O193" si="2">IF(N130="","",IF(N130=J130,1,0))</f>
        <v/>
      </c>
    </row>
    <row r="131" spans="1:15" x14ac:dyDescent="0.25">
      <c r="A131" t="s">
        <v>785</v>
      </c>
      <c r="B131" t="s">
        <v>786</v>
      </c>
      <c r="C131" t="s">
        <v>787</v>
      </c>
      <c r="D131">
        <v>2026</v>
      </c>
      <c r="E131" t="s">
        <v>56</v>
      </c>
      <c r="F131" t="s">
        <v>57</v>
      </c>
      <c r="G131" t="s">
        <v>788</v>
      </c>
      <c r="H131" t="s">
        <v>789</v>
      </c>
      <c r="I131" t="s">
        <v>790</v>
      </c>
      <c r="J131" t="s">
        <v>87</v>
      </c>
      <c r="K131" t="s">
        <v>19</v>
      </c>
      <c r="L131" t="s">
        <v>72</v>
      </c>
      <c r="M131" t="s">
        <v>72</v>
      </c>
      <c r="N131" s="5"/>
      <c r="O131" t="str">
        <f t="shared" si="2"/>
        <v/>
      </c>
    </row>
    <row r="132" spans="1:15" x14ac:dyDescent="0.25">
      <c r="A132" t="s">
        <v>791</v>
      </c>
      <c r="B132" t="s">
        <v>792</v>
      </c>
      <c r="C132" t="s">
        <v>793</v>
      </c>
      <c r="D132">
        <v>2026</v>
      </c>
      <c r="E132" t="s">
        <v>56</v>
      </c>
      <c r="F132" t="s">
        <v>67</v>
      </c>
      <c r="G132" t="s">
        <v>794</v>
      </c>
      <c r="H132" t="s">
        <v>795</v>
      </c>
      <c r="I132" t="s">
        <v>796</v>
      </c>
      <c r="J132" t="s">
        <v>71</v>
      </c>
      <c r="K132" t="s">
        <v>18</v>
      </c>
      <c r="L132" t="s">
        <v>72</v>
      </c>
      <c r="M132" t="s">
        <v>72</v>
      </c>
      <c r="N132" s="5"/>
      <c r="O132" t="str">
        <f t="shared" si="2"/>
        <v/>
      </c>
    </row>
    <row r="133" spans="1:15" x14ac:dyDescent="0.25">
      <c r="A133" t="s">
        <v>797</v>
      </c>
      <c r="B133" t="s">
        <v>798</v>
      </c>
      <c r="C133" t="s">
        <v>799</v>
      </c>
      <c r="D133">
        <v>2026</v>
      </c>
      <c r="E133" t="s">
        <v>56</v>
      </c>
      <c r="F133" t="s">
        <v>57</v>
      </c>
      <c r="G133" t="s">
        <v>800</v>
      </c>
      <c r="H133" t="s">
        <v>801</v>
      </c>
      <c r="I133" t="s">
        <v>802</v>
      </c>
      <c r="J133" t="s">
        <v>71</v>
      </c>
      <c r="K133" t="s">
        <v>18</v>
      </c>
      <c r="L133" t="s">
        <v>72</v>
      </c>
      <c r="M133" t="s">
        <v>72</v>
      </c>
      <c r="N133" s="5"/>
      <c r="O133" t="str">
        <f t="shared" si="2"/>
        <v/>
      </c>
    </row>
    <row r="134" spans="1:15" x14ac:dyDescent="0.25">
      <c r="A134" t="s">
        <v>803</v>
      </c>
      <c r="B134" t="s">
        <v>804</v>
      </c>
      <c r="C134" t="s">
        <v>805</v>
      </c>
      <c r="D134">
        <v>2026</v>
      </c>
      <c r="E134" t="s">
        <v>56</v>
      </c>
      <c r="F134" t="s">
        <v>57</v>
      </c>
      <c r="G134" t="s">
        <v>806</v>
      </c>
      <c r="H134" t="s">
        <v>807</v>
      </c>
      <c r="I134" t="s">
        <v>808</v>
      </c>
      <c r="J134" t="s">
        <v>71</v>
      </c>
      <c r="K134" t="s">
        <v>18</v>
      </c>
      <c r="L134" t="s">
        <v>72</v>
      </c>
      <c r="M134" t="s">
        <v>72</v>
      </c>
      <c r="N134" s="5"/>
      <c r="O134" t="str">
        <f t="shared" si="2"/>
        <v/>
      </c>
    </row>
    <row r="135" spans="1:15" x14ac:dyDescent="0.25">
      <c r="A135" t="s">
        <v>809</v>
      </c>
      <c r="B135" t="s">
        <v>810</v>
      </c>
      <c r="C135" t="s">
        <v>571</v>
      </c>
      <c r="D135">
        <v>2026</v>
      </c>
      <c r="E135" t="s">
        <v>56</v>
      </c>
      <c r="F135" t="s">
        <v>67</v>
      </c>
      <c r="G135" t="s">
        <v>556</v>
      </c>
      <c r="H135" t="s">
        <v>811</v>
      </c>
      <c r="I135" t="s">
        <v>812</v>
      </c>
      <c r="J135" t="s">
        <v>71</v>
      </c>
      <c r="K135" t="s">
        <v>18</v>
      </c>
      <c r="L135" t="s">
        <v>72</v>
      </c>
      <c r="M135" t="s">
        <v>72</v>
      </c>
      <c r="N135" s="5"/>
      <c r="O135" t="str">
        <f t="shared" si="2"/>
        <v/>
      </c>
    </row>
    <row r="136" spans="1:15" x14ac:dyDescent="0.25">
      <c r="A136" t="s">
        <v>813</v>
      </c>
      <c r="B136" t="s">
        <v>814</v>
      </c>
      <c r="C136" t="s">
        <v>815</v>
      </c>
      <c r="D136">
        <v>2026</v>
      </c>
      <c r="E136" t="s">
        <v>56</v>
      </c>
      <c r="F136" t="s">
        <v>67</v>
      </c>
      <c r="G136" t="s">
        <v>188</v>
      </c>
      <c r="H136" t="s">
        <v>816</v>
      </c>
      <c r="I136" t="s">
        <v>817</v>
      </c>
      <c r="J136" t="s">
        <v>71</v>
      </c>
      <c r="K136" t="s">
        <v>18</v>
      </c>
      <c r="L136" t="s">
        <v>72</v>
      </c>
      <c r="M136" t="s">
        <v>72</v>
      </c>
      <c r="N136" s="5"/>
      <c r="O136" t="str">
        <f t="shared" si="2"/>
        <v/>
      </c>
    </row>
    <row r="137" spans="1:15" x14ac:dyDescent="0.25">
      <c r="A137" t="s">
        <v>818</v>
      </c>
      <c r="B137" t="s">
        <v>819</v>
      </c>
      <c r="C137" t="s">
        <v>428</v>
      </c>
      <c r="D137">
        <v>2026</v>
      </c>
      <c r="E137" t="s">
        <v>56</v>
      </c>
      <c r="F137" t="s">
        <v>57</v>
      </c>
      <c r="G137" t="s">
        <v>368</v>
      </c>
      <c r="H137" t="s">
        <v>820</v>
      </c>
      <c r="I137" t="s">
        <v>821</v>
      </c>
      <c r="J137" t="s">
        <v>61</v>
      </c>
      <c r="K137" t="s">
        <v>62</v>
      </c>
      <c r="L137" t="s">
        <v>63</v>
      </c>
      <c r="M137" t="s">
        <v>63</v>
      </c>
      <c r="N137" s="5"/>
      <c r="O137" t="str">
        <f t="shared" si="2"/>
        <v/>
      </c>
    </row>
    <row r="138" spans="1:15" x14ac:dyDescent="0.25">
      <c r="A138" t="s">
        <v>822</v>
      </c>
      <c r="B138" t="s">
        <v>823</v>
      </c>
      <c r="C138" t="s">
        <v>824</v>
      </c>
      <c r="D138">
        <v>2026</v>
      </c>
      <c r="E138" t="s">
        <v>56</v>
      </c>
      <c r="F138" t="s">
        <v>57</v>
      </c>
      <c r="G138" t="s">
        <v>825</v>
      </c>
      <c r="H138" t="s">
        <v>826</v>
      </c>
      <c r="I138" t="s">
        <v>827</v>
      </c>
      <c r="J138" t="s">
        <v>87</v>
      </c>
      <c r="K138" t="s">
        <v>19</v>
      </c>
      <c r="L138" t="s">
        <v>72</v>
      </c>
      <c r="M138" t="s">
        <v>72</v>
      </c>
      <c r="N138" s="5"/>
      <c r="O138" t="str">
        <f t="shared" si="2"/>
        <v/>
      </c>
    </row>
    <row r="139" spans="1:15" x14ac:dyDescent="0.25">
      <c r="A139" t="s">
        <v>828</v>
      </c>
      <c r="B139" t="s">
        <v>829</v>
      </c>
      <c r="C139" t="s">
        <v>830</v>
      </c>
      <c r="D139">
        <v>2026</v>
      </c>
      <c r="E139" t="s">
        <v>56</v>
      </c>
      <c r="F139" t="s">
        <v>57</v>
      </c>
      <c r="G139" t="s">
        <v>831</v>
      </c>
      <c r="H139" t="s">
        <v>832</v>
      </c>
      <c r="I139" t="s">
        <v>833</v>
      </c>
      <c r="J139" t="s">
        <v>71</v>
      </c>
      <c r="K139" t="s">
        <v>18</v>
      </c>
      <c r="L139" t="s">
        <v>72</v>
      </c>
      <c r="M139" t="s">
        <v>72</v>
      </c>
      <c r="N139" s="5"/>
      <c r="O139" t="str">
        <f t="shared" si="2"/>
        <v/>
      </c>
    </row>
    <row r="140" spans="1:15" x14ac:dyDescent="0.25">
      <c r="A140" t="s">
        <v>834</v>
      </c>
      <c r="B140" t="s">
        <v>835</v>
      </c>
      <c r="C140" t="s">
        <v>117</v>
      </c>
      <c r="D140">
        <v>2026</v>
      </c>
      <c r="E140" t="s">
        <v>56</v>
      </c>
      <c r="F140" t="s">
        <v>67</v>
      </c>
      <c r="G140" t="s">
        <v>836</v>
      </c>
      <c r="H140" t="s">
        <v>837</v>
      </c>
      <c r="I140" t="s">
        <v>838</v>
      </c>
      <c r="J140" t="s">
        <v>71</v>
      </c>
      <c r="K140" t="s">
        <v>18</v>
      </c>
      <c r="L140" t="s">
        <v>72</v>
      </c>
      <c r="M140" t="s">
        <v>72</v>
      </c>
      <c r="N140" s="5"/>
      <c r="O140" t="str">
        <f t="shared" si="2"/>
        <v/>
      </c>
    </row>
    <row r="141" spans="1:15" x14ac:dyDescent="0.25">
      <c r="A141" t="s">
        <v>839</v>
      </c>
      <c r="B141" t="s">
        <v>840</v>
      </c>
      <c r="C141" t="s">
        <v>841</v>
      </c>
      <c r="D141">
        <v>2026</v>
      </c>
      <c r="E141" t="s">
        <v>56</v>
      </c>
      <c r="F141" t="s">
        <v>67</v>
      </c>
      <c r="G141" t="s">
        <v>713</v>
      </c>
      <c r="H141" t="s">
        <v>842</v>
      </c>
      <c r="I141" t="s">
        <v>843</v>
      </c>
      <c r="J141" t="s">
        <v>79</v>
      </c>
      <c r="K141" t="s">
        <v>80</v>
      </c>
      <c r="L141" t="s">
        <v>72</v>
      </c>
      <c r="M141" t="s">
        <v>72</v>
      </c>
      <c r="N141" s="5"/>
      <c r="O141" t="str">
        <f t="shared" si="2"/>
        <v/>
      </c>
    </row>
    <row r="142" spans="1:15" x14ac:dyDescent="0.25">
      <c r="A142" t="s">
        <v>844</v>
      </c>
      <c r="B142" t="s">
        <v>845</v>
      </c>
      <c r="C142" t="s">
        <v>846</v>
      </c>
      <c r="D142">
        <v>2026</v>
      </c>
      <c r="E142" t="s">
        <v>56</v>
      </c>
      <c r="F142" t="s">
        <v>57</v>
      </c>
      <c r="G142" t="s">
        <v>847</v>
      </c>
      <c r="H142" t="s">
        <v>848</v>
      </c>
      <c r="I142" t="s">
        <v>849</v>
      </c>
      <c r="J142" t="s">
        <v>87</v>
      </c>
      <c r="K142" t="s">
        <v>19</v>
      </c>
      <c r="L142" t="s">
        <v>72</v>
      </c>
      <c r="M142" t="s">
        <v>72</v>
      </c>
      <c r="N142" s="5"/>
      <c r="O142" t="str">
        <f t="shared" si="2"/>
        <v/>
      </c>
    </row>
    <row r="143" spans="1:15" x14ac:dyDescent="0.25">
      <c r="A143" t="s">
        <v>850</v>
      </c>
      <c r="B143" t="s">
        <v>851</v>
      </c>
      <c r="C143" t="s">
        <v>852</v>
      </c>
      <c r="D143">
        <v>2026</v>
      </c>
      <c r="E143" t="s">
        <v>56</v>
      </c>
      <c r="F143" t="s">
        <v>57</v>
      </c>
      <c r="G143" t="s">
        <v>853</v>
      </c>
      <c r="H143" t="s">
        <v>854</v>
      </c>
      <c r="I143" t="s">
        <v>855</v>
      </c>
      <c r="J143" t="s">
        <v>98</v>
      </c>
      <c r="K143" t="s">
        <v>99</v>
      </c>
      <c r="L143" t="s">
        <v>63</v>
      </c>
      <c r="M143" t="s">
        <v>72</v>
      </c>
      <c r="N143" s="5"/>
      <c r="O143" t="str">
        <f t="shared" si="2"/>
        <v/>
      </c>
    </row>
    <row r="144" spans="1:15" x14ac:dyDescent="0.25">
      <c r="A144" t="s">
        <v>856</v>
      </c>
      <c r="B144" t="s">
        <v>857</v>
      </c>
      <c r="C144" t="s">
        <v>858</v>
      </c>
      <c r="D144">
        <v>2026</v>
      </c>
      <c r="E144" t="s">
        <v>56</v>
      </c>
      <c r="F144" t="s">
        <v>57</v>
      </c>
      <c r="G144" t="s">
        <v>859</v>
      </c>
      <c r="H144" t="s">
        <v>860</v>
      </c>
      <c r="I144" t="s">
        <v>861</v>
      </c>
      <c r="J144" t="s">
        <v>79</v>
      </c>
      <c r="K144" t="s">
        <v>80</v>
      </c>
      <c r="L144" t="s">
        <v>72</v>
      </c>
      <c r="M144" t="s">
        <v>72</v>
      </c>
      <c r="N144" s="5"/>
      <c r="O144" t="str">
        <f t="shared" si="2"/>
        <v/>
      </c>
    </row>
    <row r="145" spans="1:15" x14ac:dyDescent="0.25">
      <c r="A145" t="s">
        <v>862</v>
      </c>
      <c r="B145" t="s">
        <v>863</v>
      </c>
      <c r="C145" t="s">
        <v>777</v>
      </c>
      <c r="D145">
        <v>2026</v>
      </c>
      <c r="E145" t="s">
        <v>56</v>
      </c>
      <c r="F145" t="s">
        <v>57</v>
      </c>
      <c r="G145" t="s">
        <v>176</v>
      </c>
      <c r="H145" t="s">
        <v>864</v>
      </c>
      <c r="I145" t="s">
        <v>865</v>
      </c>
      <c r="J145" t="s">
        <v>79</v>
      </c>
      <c r="K145" t="s">
        <v>80</v>
      </c>
      <c r="L145" t="s">
        <v>72</v>
      </c>
      <c r="M145" t="s">
        <v>72</v>
      </c>
      <c r="N145" s="5"/>
      <c r="O145" t="str">
        <f t="shared" si="2"/>
        <v/>
      </c>
    </row>
    <row r="146" spans="1:15" x14ac:dyDescent="0.25">
      <c r="A146" t="s">
        <v>866</v>
      </c>
      <c r="B146" t="s">
        <v>867</v>
      </c>
      <c r="C146" t="s">
        <v>868</v>
      </c>
      <c r="D146">
        <v>2026</v>
      </c>
      <c r="E146" t="s">
        <v>56</v>
      </c>
      <c r="F146" t="s">
        <v>67</v>
      </c>
      <c r="G146" t="s">
        <v>869</v>
      </c>
      <c r="H146" t="s">
        <v>870</v>
      </c>
      <c r="I146" t="s">
        <v>871</v>
      </c>
      <c r="J146" t="s">
        <v>71</v>
      </c>
      <c r="K146" t="s">
        <v>18</v>
      </c>
      <c r="L146" t="s">
        <v>72</v>
      </c>
      <c r="M146" t="s">
        <v>72</v>
      </c>
      <c r="N146" s="5"/>
      <c r="O146" t="str">
        <f t="shared" si="2"/>
        <v/>
      </c>
    </row>
    <row r="147" spans="1:15" x14ac:dyDescent="0.25">
      <c r="A147" t="s">
        <v>872</v>
      </c>
      <c r="B147" t="s">
        <v>873</v>
      </c>
      <c r="C147" t="s">
        <v>874</v>
      </c>
      <c r="D147">
        <v>2026</v>
      </c>
      <c r="E147" t="s">
        <v>56</v>
      </c>
      <c r="F147" t="s">
        <v>67</v>
      </c>
      <c r="G147" t="s">
        <v>875</v>
      </c>
      <c r="H147" t="s">
        <v>876</v>
      </c>
      <c r="I147" t="s">
        <v>877</v>
      </c>
      <c r="J147" t="s">
        <v>71</v>
      </c>
      <c r="K147" t="s">
        <v>18</v>
      </c>
      <c r="L147" t="s">
        <v>72</v>
      </c>
      <c r="M147" t="s">
        <v>72</v>
      </c>
      <c r="N147" s="5"/>
      <c r="O147" t="str">
        <f t="shared" si="2"/>
        <v/>
      </c>
    </row>
    <row r="148" spans="1:15" x14ac:dyDescent="0.25">
      <c r="A148" t="s">
        <v>878</v>
      </c>
      <c r="B148" t="s">
        <v>879</v>
      </c>
      <c r="C148" t="s">
        <v>880</v>
      </c>
      <c r="D148">
        <v>2026</v>
      </c>
      <c r="E148" t="s">
        <v>56</v>
      </c>
      <c r="F148" t="s">
        <v>67</v>
      </c>
      <c r="G148" t="s">
        <v>84</v>
      </c>
      <c r="H148" t="s">
        <v>881</v>
      </c>
      <c r="I148" t="s">
        <v>882</v>
      </c>
      <c r="J148" t="s">
        <v>79</v>
      </c>
      <c r="K148" t="s">
        <v>80</v>
      </c>
      <c r="L148" t="s">
        <v>72</v>
      </c>
      <c r="M148" t="s">
        <v>72</v>
      </c>
      <c r="N148" s="5"/>
      <c r="O148" t="str">
        <f t="shared" si="2"/>
        <v/>
      </c>
    </row>
    <row r="149" spans="1:15" x14ac:dyDescent="0.25">
      <c r="A149" t="s">
        <v>883</v>
      </c>
      <c r="B149" t="s">
        <v>884</v>
      </c>
      <c r="C149" t="s">
        <v>885</v>
      </c>
      <c r="D149">
        <v>2026</v>
      </c>
      <c r="E149" t="s">
        <v>56</v>
      </c>
      <c r="F149" t="s">
        <v>67</v>
      </c>
      <c r="G149" t="s">
        <v>84</v>
      </c>
      <c r="H149" t="s">
        <v>886</v>
      </c>
      <c r="I149" t="s">
        <v>887</v>
      </c>
      <c r="J149" t="s">
        <v>87</v>
      </c>
      <c r="K149" t="s">
        <v>19</v>
      </c>
      <c r="L149" t="s">
        <v>72</v>
      </c>
      <c r="M149" t="s">
        <v>72</v>
      </c>
      <c r="N149" s="5"/>
      <c r="O149" t="str">
        <f t="shared" si="2"/>
        <v/>
      </c>
    </row>
    <row r="150" spans="1:15" x14ac:dyDescent="0.25">
      <c r="A150" t="s">
        <v>888</v>
      </c>
      <c r="B150" t="s">
        <v>889</v>
      </c>
      <c r="C150" t="s">
        <v>744</v>
      </c>
      <c r="D150">
        <v>2026</v>
      </c>
      <c r="E150" t="s">
        <v>56</v>
      </c>
      <c r="F150" t="s">
        <v>67</v>
      </c>
      <c r="G150" t="s">
        <v>890</v>
      </c>
      <c r="H150" t="s">
        <v>891</v>
      </c>
      <c r="I150" t="s">
        <v>892</v>
      </c>
      <c r="J150" t="s">
        <v>71</v>
      </c>
      <c r="K150" t="s">
        <v>18</v>
      </c>
      <c r="L150" t="s">
        <v>72</v>
      </c>
      <c r="M150" t="s">
        <v>72</v>
      </c>
      <c r="N150" s="5"/>
      <c r="O150" t="str">
        <f t="shared" si="2"/>
        <v/>
      </c>
    </row>
    <row r="151" spans="1:15" x14ac:dyDescent="0.25">
      <c r="A151" t="s">
        <v>893</v>
      </c>
      <c r="B151" t="s">
        <v>894</v>
      </c>
      <c r="C151" t="s">
        <v>895</v>
      </c>
      <c r="D151">
        <v>2026</v>
      </c>
      <c r="E151" t="s">
        <v>56</v>
      </c>
      <c r="F151" t="s">
        <v>67</v>
      </c>
      <c r="G151" t="s">
        <v>896</v>
      </c>
      <c r="H151" t="s">
        <v>897</v>
      </c>
      <c r="I151" t="s">
        <v>898</v>
      </c>
      <c r="J151" t="s">
        <v>71</v>
      </c>
      <c r="K151" t="s">
        <v>18</v>
      </c>
      <c r="L151" t="s">
        <v>72</v>
      </c>
      <c r="M151" t="s">
        <v>72</v>
      </c>
      <c r="N151" s="5"/>
      <c r="O151" t="str">
        <f t="shared" si="2"/>
        <v/>
      </c>
    </row>
    <row r="152" spans="1:15" x14ac:dyDescent="0.25">
      <c r="A152" t="s">
        <v>899</v>
      </c>
      <c r="B152" t="s">
        <v>894</v>
      </c>
      <c r="C152" t="s">
        <v>900</v>
      </c>
      <c r="D152">
        <v>2026</v>
      </c>
      <c r="E152" t="s">
        <v>56</v>
      </c>
      <c r="F152" t="s">
        <v>67</v>
      </c>
      <c r="G152" t="s">
        <v>901</v>
      </c>
      <c r="H152" t="s">
        <v>897</v>
      </c>
      <c r="I152" t="s">
        <v>902</v>
      </c>
      <c r="J152" t="s">
        <v>71</v>
      </c>
      <c r="K152" t="s">
        <v>18</v>
      </c>
      <c r="L152" t="s">
        <v>72</v>
      </c>
      <c r="M152" t="s">
        <v>72</v>
      </c>
      <c r="N152" s="5"/>
      <c r="O152" t="str">
        <f t="shared" si="2"/>
        <v/>
      </c>
    </row>
    <row r="153" spans="1:15" x14ac:dyDescent="0.25">
      <c r="A153" t="s">
        <v>903</v>
      </c>
      <c r="B153" t="s">
        <v>904</v>
      </c>
      <c r="C153" t="s">
        <v>905</v>
      </c>
      <c r="D153">
        <v>2026</v>
      </c>
      <c r="E153" t="s">
        <v>56</v>
      </c>
      <c r="F153" t="s">
        <v>67</v>
      </c>
      <c r="G153" t="s">
        <v>906</v>
      </c>
      <c r="H153" t="s">
        <v>907</v>
      </c>
      <c r="I153" t="s">
        <v>908</v>
      </c>
      <c r="J153" t="s">
        <v>71</v>
      </c>
      <c r="K153" t="s">
        <v>18</v>
      </c>
      <c r="L153" t="s">
        <v>72</v>
      </c>
      <c r="M153" t="s">
        <v>72</v>
      </c>
      <c r="N153" s="5"/>
      <c r="O153" t="str">
        <f t="shared" si="2"/>
        <v/>
      </c>
    </row>
    <row r="154" spans="1:15" x14ac:dyDescent="0.25">
      <c r="A154" t="s">
        <v>909</v>
      </c>
      <c r="B154" t="s">
        <v>910</v>
      </c>
      <c r="C154" t="s">
        <v>144</v>
      </c>
      <c r="D154">
        <v>2026</v>
      </c>
      <c r="E154" t="s">
        <v>56</v>
      </c>
      <c r="F154" t="s">
        <v>57</v>
      </c>
      <c r="G154" t="s">
        <v>596</v>
      </c>
      <c r="H154" t="s">
        <v>911</v>
      </c>
      <c r="I154" t="s">
        <v>912</v>
      </c>
      <c r="J154" t="s">
        <v>79</v>
      </c>
      <c r="K154" t="s">
        <v>80</v>
      </c>
      <c r="L154" t="s">
        <v>72</v>
      </c>
      <c r="M154" t="s">
        <v>72</v>
      </c>
      <c r="N154" s="5"/>
      <c r="O154" t="str">
        <f t="shared" si="2"/>
        <v/>
      </c>
    </row>
    <row r="155" spans="1:15" x14ac:dyDescent="0.25">
      <c r="A155" t="s">
        <v>913</v>
      </c>
      <c r="B155" t="s">
        <v>914</v>
      </c>
      <c r="C155" t="s">
        <v>915</v>
      </c>
      <c r="D155">
        <v>2026</v>
      </c>
      <c r="E155" t="s">
        <v>56</v>
      </c>
      <c r="F155" t="s">
        <v>57</v>
      </c>
      <c r="G155" t="s">
        <v>916</v>
      </c>
      <c r="H155" t="s">
        <v>917</v>
      </c>
      <c r="I155" t="s">
        <v>918</v>
      </c>
      <c r="J155" t="s">
        <v>61</v>
      </c>
      <c r="K155" t="s">
        <v>62</v>
      </c>
      <c r="L155" t="s">
        <v>63</v>
      </c>
      <c r="M155" t="s">
        <v>63</v>
      </c>
      <c r="N155" s="5"/>
      <c r="O155" t="str">
        <f t="shared" si="2"/>
        <v/>
      </c>
    </row>
    <row r="156" spans="1:15" x14ac:dyDescent="0.25">
      <c r="A156" t="s">
        <v>919</v>
      </c>
      <c r="B156" t="s">
        <v>920</v>
      </c>
      <c r="C156" t="s">
        <v>921</v>
      </c>
      <c r="D156">
        <v>2026</v>
      </c>
      <c r="E156" t="s">
        <v>56</v>
      </c>
      <c r="F156" t="s">
        <v>57</v>
      </c>
      <c r="G156" t="s">
        <v>922</v>
      </c>
      <c r="H156" t="s">
        <v>923</v>
      </c>
      <c r="I156" t="s">
        <v>924</v>
      </c>
      <c r="J156" t="s">
        <v>71</v>
      </c>
      <c r="K156" t="s">
        <v>18</v>
      </c>
      <c r="L156" t="s">
        <v>72</v>
      </c>
      <c r="M156" t="s">
        <v>72</v>
      </c>
      <c r="N156" s="5"/>
      <c r="O156" t="str">
        <f t="shared" si="2"/>
        <v/>
      </c>
    </row>
    <row r="157" spans="1:15" x14ac:dyDescent="0.25">
      <c r="A157" t="s">
        <v>925</v>
      </c>
      <c r="B157" t="s">
        <v>926</v>
      </c>
      <c r="C157" t="s">
        <v>117</v>
      </c>
      <c r="D157">
        <v>2026</v>
      </c>
      <c r="E157" t="s">
        <v>56</v>
      </c>
      <c r="F157" t="s">
        <v>67</v>
      </c>
      <c r="G157" t="s">
        <v>151</v>
      </c>
      <c r="H157" t="s">
        <v>927</v>
      </c>
      <c r="I157" t="s">
        <v>928</v>
      </c>
      <c r="J157" t="s">
        <v>71</v>
      </c>
      <c r="K157" t="s">
        <v>18</v>
      </c>
      <c r="L157" t="s">
        <v>72</v>
      </c>
      <c r="M157" t="s">
        <v>72</v>
      </c>
      <c r="N157" s="5"/>
      <c r="O157" t="str">
        <f t="shared" si="2"/>
        <v/>
      </c>
    </row>
    <row r="158" spans="1:15" x14ac:dyDescent="0.25">
      <c r="A158" t="s">
        <v>929</v>
      </c>
      <c r="B158" t="s">
        <v>930</v>
      </c>
      <c r="C158" t="s">
        <v>931</v>
      </c>
      <c r="D158">
        <v>2026</v>
      </c>
      <c r="E158" t="s">
        <v>56</v>
      </c>
      <c r="F158" t="s">
        <v>57</v>
      </c>
      <c r="G158" t="s">
        <v>932</v>
      </c>
      <c r="H158" t="s">
        <v>933</v>
      </c>
      <c r="I158" t="s">
        <v>934</v>
      </c>
      <c r="J158" t="s">
        <v>61</v>
      </c>
      <c r="K158" t="s">
        <v>62</v>
      </c>
      <c r="L158" t="s">
        <v>63</v>
      </c>
      <c r="M158" t="s">
        <v>63</v>
      </c>
      <c r="N158" s="5"/>
      <c r="O158" t="str">
        <f t="shared" si="2"/>
        <v/>
      </c>
    </row>
    <row r="159" spans="1:15" x14ac:dyDescent="0.25">
      <c r="A159" t="s">
        <v>935</v>
      </c>
      <c r="B159" t="s">
        <v>936</v>
      </c>
      <c r="C159" t="s">
        <v>937</v>
      </c>
      <c r="D159">
        <v>2026</v>
      </c>
      <c r="E159" t="s">
        <v>56</v>
      </c>
      <c r="F159" t="s">
        <v>57</v>
      </c>
      <c r="G159" t="s">
        <v>766</v>
      </c>
      <c r="H159" t="s">
        <v>938</v>
      </c>
      <c r="I159" t="s">
        <v>939</v>
      </c>
      <c r="J159" t="s">
        <v>87</v>
      </c>
      <c r="K159" t="s">
        <v>19</v>
      </c>
      <c r="L159" t="s">
        <v>72</v>
      </c>
      <c r="M159" t="s">
        <v>72</v>
      </c>
      <c r="N159" s="5"/>
      <c r="O159" t="str">
        <f t="shared" si="2"/>
        <v/>
      </c>
    </row>
    <row r="160" spans="1:15" x14ac:dyDescent="0.25">
      <c r="A160" t="s">
        <v>940</v>
      </c>
      <c r="B160" t="s">
        <v>941</v>
      </c>
      <c r="C160" t="s">
        <v>942</v>
      </c>
      <c r="D160">
        <v>2026</v>
      </c>
      <c r="E160" t="s">
        <v>56</v>
      </c>
      <c r="F160" t="s">
        <v>67</v>
      </c>
      <c r="G160" t="s">
        <v>943</v>
      </c>
      <c r="H160" t="s">
        <v>944</v>
      </c>
      <c r="I160" t="s">
        <v>945</v>
      </c>
      <c r="J160" t="s">
        <v>71</v>
      </c>
      <c r="K160" t="s">
        <v>18</v>
      </c>
      <c r="L160" t="s">
        <v>72</v>
      </c>
      <c r="M160" t="s">
        <v>72</v>
      </c>
      <c r="N160" s="5"/>
      <c r="O160" t="str">
        <f t="shared" si="2"/>
        <v/>
      </c>
    </row>
    <row r="161" spans="1:15" x14ac:dyDescent="0.25">
      <c r="A161" t="s">
        <v>946</v>
      </c>
      <c r="B161" t="s">
        <v>947</v>
      </c>
      <c r="C161" t="s">
        <v>428</v>
      </c>
      <c r="D161">
        <v>2026</v>
      </c>
      <c r="E161" t="s">
        <v>56</v>
      </c>
      <c r="F161" t="s">
        <v>57</v>
      </c>
      <c r="G161" t="s">
        <v>291</v>
      </c>
      <c r="H161" t="s">
        <v>948</v>
      </c>
      <c r="I161" t="s">
        <v>949</v>
      </c>
      <c r="J161" t="s">
        <v>98</v>
      </c>
      <c r="K161" t="s">
        <v>99</v>
      </c>
      <c r="L161" t="s">
        <v>63</v>
      </c>
      <c r="M161" t="s">
        <v>72</v>
      </c>
      <c r="N161" s="5"/>
      <c r="O161" t="str">
        <f t="shared" si="2"/>
        <v/>
      </c>
    </row>
    <row r="162" spans="1:15" x14ac:dyDescent="0.25">
      <c r="A162" t="s">
        <v>950</v>
      </c>
      <c r="B162" t="s">
        <v>951</v>
      </c>
      <c r="C162" t="s">
        <v>744</v>
      </c>
      <c r="D162">
        <v>2026</v>
      </c>
      <c r="E162" t="s">
        <v>56</v>
      </c>
      <c r="F162" t="s">
        <v>67</v>
      </c>
      <c r="G162" t="s">
        <v>952</v>
      </c>
      <c r="H162" t="s">
        <v>953</v>
      </c>
      <c r="I162" t="s">
        <v>954</v>
      </c>
      <c r="J162" t="s">
        <v>71</v>
      </c>
      <c r="K162" t="s">
        <v>18</v>
      </c>
      <c r="L162" t="s">
        <v>72</v>
      </c>
      <c r="M162" t="s">
        <v>72</v>
      </c>
      <c r="N162" s="5"/>
      <c r="O162" t="str">
        <f t="shared" si="2"/>
        <v/>
      </c>
    </row>
    <row r="163" spans="1:15" x14ac:dyDescent="0.25">
      <c r="A163" t="s">
        <v>955</v>
      </c>
      <c r="B163" t="s">
        <v>956</v>
      </c>
      <c r="C163" t="s">
        <v>957</v>
      </c>
      <c r="D163">
        <v>2026</v>
      </c>
      <c r="E163" t="s">
        <v>56</v>
      </c>
      <c r="F163" t="s">
        <v>67</v>
      </c>
      <c r="G163" t="s">
        <v>84</v>
      </c>
      <c r="H163" t="s">
        <v>958</v>
      </c>
      <c r="I163" t="s">
        <v>959</v>
      </c>
      <c r="J163" t="s">
        <v>87</v>
      </c>
      <c r="K163" t="s">
        <v>19</v>
      </c>
      <c r="L163" t="s">
        <v>72</v>
      </c>
      <c r="M163" t="s">
        <v>72</v>
      </c>
      <c r="N163" s="5"/>
      <c r="O163" t="str">
        <f t="shared" si="2"/>
        <v/>
      </c>
    </row>
    <row r="164" spans="1:15" x14ac:dyDescent="0.25">
      <c r="A164" t="s">
        <v>960</v>
      </c>
      <c r="B164" t="s">
        <v>961</v>
      </c>
      <c r="C164" t="s">
        <v>962</v>
      </c>
      <c r="D164">
        <v>2026</v>
      </c>
      <c r="E164" t="s">
        <v>56</v>
      </c>
      <c r="F164" t="s">
        <v>57</v>
      </c>
      <c r="G164" t="s">
        <v>963</v>
      </c>
      <c r="H164" t="s">
        <v>964</v>
      </c>
      <c r="I164" t="s">
        <v>965</v>
      </c>
      <c r="J164" t="s">
        <v>71</v>
      </c>
      <c r="K164" t="s">
        <v>18</v>
      </c>
      <c r="L164" t="s">
        <v>72</v>
      </c>
      <c r="M164" t="s">
        <v>72</v>
      </c>
      <c r="N164" s="5"/>
      <c r="O164" t="str">
        <f t="shared" si="2"/>
        <v/>
      </c>
    </row>
    <row r="165" spans="1:15" x14ac:dyDescent="0.25">
      <c r="A165" t="s">
        <v>966</v>
      </c>
      <c r="B165" t="s">
        <v>967</v>
      </c>
      <c r="C165" t="s">
        <v>968</v>
      </c>
      <c r="D165">
        <v>2026</v>
      </c>
      <c r="E165" t="s">
        <v>56</v>
      </c>
      <c r="F165" t="s">
        <v>67</v>
      </c>
      <c r="G165" t="s">
        <v>969</v>
      </c>
      <c r="H165" t="s">
        <v>970</v>
      </c>
      <c r="I165" t="s">
        <v>971</v>
      </c>
      <c r="J165" t="s">
        <v>71</v>
      </c>
      <c r="K165" t="s">
        <v>18</v>
      </c>
      <c r="L165" t="s">
        <v>72</v>
      </c>
      <c r="M165" t="s">
        <v>72</v>
      </c>
      <c r="N165" s="5"/>
      <c r="O165" t="str">
        <f t="shared" si="2"/>
        <v/>
      </c>
    </row>
    <row r="166" spans="1:15" x14ac:dyDescent="0.25">
      <c r="A166" t="s">
        <v>972</v>
      </c>
      <c r="B166" t="s">
        <v>973</v>
      </c>
      <c r="C166" t="s">
        <v>974</v>
      </c>
      <c r="D166">
        <v>2026</v>
      </c>
      <c r="E166" t="s">
        <v>56</v>
      </c>
      <c r="F166" t="s">
        <v>57</v>
      </c>
      <c r="G166" t="s">
        <v>975</v>
      </c>
      <c r="H166" t="s">
        <v>976</v>
      </c>
      <c r="I166" t="s">
        <v>977</v>
      </c>
      <c r="J166" t="s">
        <v>79</v>
      </c>
      <c r="K166" t="s">
        <v>80</v>
      </c>
      <c r="L166" t="s">
        <v>72</v>
      </c>
      <c r="M166" t="s">
        <v>72</v>
      </c>
      <c r="N166" s="5"/>
      <c r="O166" t="str">
        <f t="shared" si="2"/>
        <v/>
      </c>
    </row>
    <row r="167" spans="1:15" x14ac:dyDescent="0.25">
      <c r="A167" t="s">
        <v>978</v>
      </c>
      <c r="B167" t="s">
        <v>979</v>
      </c>
      <c r="C167" t="s">
        <v>980</v>
      </c>
      <c r="D167">
        <v>2026</v>
      </c>
      <c r="E167" t="s">
        <v>56</v>
      </c>
      <c r="F167" t="s">
        <v>67</v>
      </c>
      <c r="G167" t="s">
        <v>981</v>
      </c>
      <c r="H167" t="s">
        <v>982</v>
      </c>
      <c r="I167" t="s">
        <v>983</v>
      </c>
      <c r="J167" t="s">
        <v>79</v>
      </c>
      <c r="K167" t="s">
        <v>80</v>
      </c>
      <c r="L167" t="s">
        <v>72</v>
      </c>
      <c r="M167" t="s">
        <v>72</v>
      </c>
      <c r="N167" s="5"/>
      <c r="O167" t="str">
        <f t="shared" si="2"/>
        <v/>
      </c>
    </row>
    <row r="168" spans="1:15" x14ac:dyDescent="0.25">
      <c r="A168" t="s">
        <v>984</v>
      </c>
      <c r="B168" t="s">
        <v>985</v>
      </c>
      <c r="C168" t="s">
        <v>428</v>
      </c>
      <c r="D168">
        <v>2026</v>
      </c>
      <c r="E168" t="s">
        <v>56</v>
      </c>
      <c r="F168" t="s">
        <v>67</v>
      </c>
      <c r="G168" t="s">
        <v>986</v>
      </c>
      <c r="H168" t="s">
        <v>987</v>
      </c>
      <c r="I168" t="s">
        <v>988</v>
      </c>
      <c r="J168" t="s">
        <v>71</v>
      </c>
      <c r="K168" t="s">
        <v>18</v>
      </c>
      <c r="L168" t="s">
        <v>72</v>
      </c>
      <c r="M168" t="s">
        <v>72</v>
      </c>
      <c r="N168" s="5"/>
      <c r="O168" t="str">
        <f t="shared" si="2"/>
        <v/>
      </c>
    </row>
    <row r="169" spans="1:15" x14ac:dyDescent="0.25">
      <c r="A169" t="s">
        <v>989</v>
      </c>
      <c r="B169" t="s">
        <v>990</v>
      </c>
      <c r="C169" t="s">
        <v>991</v>
      </c>
      <c r="D169">
        <v>2026</v>
      </c>
      <c r="E169" t="s">
        <v>56</v>
      </c>
      <c r="F169" t="s">
        <v>57</v>
      </c>
      <c r="G169" t="s">
        <v>992</v>
      </c>
      <c r="H169" t="s">
        <v>993</v>
      </c>
      <c r="I169" t="s">
        <v>994</v>
      </c>
      <c r="J169" t="s">
        <v>71</v>
      </c>
      <c r="K169" t="s">
        <v>18</v>
      </c>
      <c r="L169" t="s">
        <v>72</v>
      </c>
      <c r="M169" t="s">
        <v>72</v>
      </c>
      <c r="N169" s="5"/>
      <c r="O169" t="str">
        <f t="shared" si="2"/>
        <v/>
      </c>
    </row>
    <row r="170" spans="1:15" x14ac:dyDescent="0.25">
      <c r="A170" t="s">
        <v>995</v>
      </c>
      <c r="B170" t="s">
        <v>996</v>
      </c>
      <c r="C170" t="s">
        <v>117</v>
      </c>
      <c r="D170">
        <v>2026</v>
      </c>
      <c r="E170" t="s">
        <v>56</v>
      </c>
      <c r="F170" t="s">
        <v>67</v>
      </c>
      <c r="G170" t="s">
        <v>679</v>
      </c>
      <c r="H170" t="s">
        <v>997</v>
      </c>
      <c r="I170" t="s">
        <v>998</v>
      </c>
      <c r="J170" t="s">
        <v>71</v>
      </c>
      <c r="K170" t="s">
        <v>18</v>
      </c>
      <c r="L170" t="s">
        <v>72</v>
      </c>
      <c r="M170" t="s">
        <v>72</v>
      </c>
      <c r="N170" s="5"/>
      <c r="O170" t="str">
        <f t="shared" si="2"/>
        <v/>
      </c>
    </row>
    <row r="171" spans="1:15" x14ac:dyDescent="0.25">
      <c r="A171" t="s">
        <v>999</v>
      </c>
      <c r="B171" t="s">
        <v>1000</v>
      </c>
      <c r="C171" t="s">
        <v>1001</v>
      </c>
      <c r="D171">
        <v>2026</v>
      </c>
      <c r="E171" t="s">
        <v>56</v>
      </c>
      <c r="F171" t="s">
        <v>67</v>
      </c>
      <c r="G171" t="s">
        <v>84</v>
      </c>
      <c r="H171" t="s">
        <v>1002</v>
      </c>
      <c r="I171" t="s">
        <v>1003</v>
      </c>
      <c r="J171" t="s">
        <v>98</v>
      </c>
      <c r="K171" t="s">
        <v>99</v>
      </c>
      <c r="L171" t="s">
        <v>63</v>
      </c>
      <c r="M171" t="s">
        <v>72</v>
      </c>
      <c r="N171" s="5"/>
      <c r="O171" t="str">
        <f t="shared" si="2"/>
        <v/>
      </c>
    </row>
    <row r="172" spans="1:15" x14ac:dyDescent="0.25">
      <c r="A172" t="s">
        <v>1004</v>
      </c>
      <c r="B172" t="s">
        <v>1005</v>
      </c>
      <c r="C172" t="s">
        <v>1006</v>
      </c>
      <c r="D172">
        <v>2026</v>
      </c>
      <c r="E172" t="s">
        <v>56</v>
      </c>
      <c r="F172" t="s">
        <v>67</v>
      </c>
      <c r="G172" t="s">
        <v>1007</v>
      </c>
      <c r="H172" t="s">
        <v>1008</v>
      </c>
      <c r="I172" t="s">
        <v>1009</v>
      </c>
      <c r="J172" t="s">
        <v>87</v>
      </c>
      <c r="K172" t="s">
        <v>19</v>
      </c>
      <c r="L172" t="s">
        <v>72</v>
      </c>
      <c r="M172" t="s">
        <v>72</v>
      </c>
      <c r="N172" s="5"/>
      <c r="O172" t="str">
        <f t="shared" si="2"/>
        <v/>
      </c>
    </row>
    <row r="173" spans="1:15" x14ac:dyDescent="0.25">
      <c r="A173" t="s">
        <v>1010</v>
      </c>
      <c r="B173" t="s">
        <v>1011</v>
      </c>
      <c r="C173" t="s">
        <v>1012</v>
      </c>
      <c r="D173">
        <v>2026</v>
      </c>
      <c r="E173" t="s">
        <v>56</v>
      </c>
      <c r="F173" t="s">
        <v>67</v>
      </c>
      <c r="G173" t="s">
        <v>188</v>
      </c>
      <c r="H173" t="s">
        <v>1013</v>
      </c>
      <c r="I173" t="s">
        <v>1014</v>
      </c>
      <c r="J173" t="s">
        <v>71</v>
      </c>
      <c r="K173" t="s">
        <v>18</v>
      </c>
      <c r="L173" t="s">
        <v>72</v>
      </c>
      <c r="M173" t="s">
        <v>72</v>
      </c>
      <c r="N173" s="5"/>
      <c r="O173" t="str">
        <f t="shared" si="2"/>
        <v/>
      </c>
    </row>
    <row r="174" spans="1:15" x14ac:dyDescent="0.25">
      <c r="A174" t="s">
        <v>1015</v>
      </c>
      <c r="B174" t="s">
        <v>1016</v>
      </c>
      <c r="C174" t="s">
        <v>1017</v>
      </c>
      <c r="D174">
        <v>2026</v>
      </c>
      <c r="E174" t="s">
        <v>56</v>
      </c>
      <c r="F174" t="s">
        <v>57</v>
      </c>
      <c r="G174" t="s">
        <v>344</v>
      </c>
      <c r="H174" t="s">
        <v>1018</v>
      </c>
      <c r="I174" t="s">
        <v>1019</v>
      </c>
      <c r="J174" t="s">
        <v>87</v>
      </c>
      <c r="K174" t="s">
        <v>19</v>
      </c>
      <c r="L174" t="s">
        <v>72</v>
      </c>
      <c r="M174" t="s">
        <v>72</v>
      </c>
      <c r="N174" s="5"/>
      <c r="O174" t="str">
        <f t="shared" si="2"/>
        <v/>
      </c>
    </row>
    <row r="175" spans="1:15" x14ac:dyDescent="0.25">
      <c r="A175" t="s">
        <v>1020</v>
      </c>
      <c r="B175" t="s">
        <v>1021</v>
      </c>
      <c r="C175" t="s">
        <v>1022</v>
      </c>
      <c r="D175">
        <v>2026</v>
      </c>
      <c r="E175" t="s">
        <v>56</v>
      </c>
      <c r="F175" t="s">
        <v>67</v>
      </c>
      <c r="G175" t="s">
        <v>679</v>
      </c>
      <c r="H175" t="s">
        <v>1023</v>
      </c>
      <c r="I175" t="s">
        <v>1024</v>
      </c>
      <c r="J175" t="s">
        <v>87</v>
      </c>
      <c r="K175" t="s">
        <v>19</v>
      </c>
      <c r="L175" t="s">
        <v>72</v>
      </c>
      <c r="M175" t="s">
        <v>72</v>
      </c>
      <c r="N175" s="5"/>
      <c r="O175" t="str">
        <f t="shared" si="2"/>
        <v/>
      </c>
    </row>
    <row r="176" spans="1:15" x14ac:dyDescent="0.25">
      <c r="A176" t="s">
        <v>1025</v>
      </c>
      <c r="B176" t="s">
        <v>1026</v>
      </c>
      <c r="C176" t="s">
        <v>205</v>
      </c>
      <c r="D176">
        <v>2026</v>
      </c>
      <c r="E176" t="s">
        <v>56</v>
      </c>
      <c r="F176" t="s">
        <v>67</v>
      </c>
      <c r="G176" t="s">
        <v>679</v>
      </c>
      <c r="H176" t="s">
        <v>1027</v>
      </c>
      <c r="I176" t="s">
        <v>1028</v>
      </c>
      <c r="J176" t="s">
        <v>71</v>
      </c>
      <c r="K176" t="s">
        <v>18</v>
      </c>
      <c r="L176" t="s">
        <v>72</v>
      </c>
      <c r="M176" t="s">
        <v>72</v>
      </c>
      <c r="N176" s="5"/>
      <c r="O176" t="str">
        <f t="shared" si="2"/>
        <v/>
      </c>
    </row>
    <row r="177" spans="1:15" x14ac:dyDescent="0.25">
      <c r="A177" t="s">
        <v>1029</v>
      </c>
      <c r="B177" t="s">
        <v>1030</v>
      </c>
      <c r="C177" t="s">
        <v>1031</v>
      </c>
      <c r="D177">
        <v>2026</v>
      </c>
      <c r="E177" t="s">
        <v>56</v>
      </c>
      <c r="F177" t="s">
        <v>67</v>
      </c>
      <c r="G177" t="s">
        <v>1032</v>
      </c>
      <c r="H177" t="s">
        <v>1033</v>
      </c>
      <c r="I177" t="s">
        <v>1034</v>
      </c>
      <c r="J177" t="s">
        <v>87</v>
      </c>
      <c r="K177" t="s">
        <v>19</v>
      </c>
      <c r="L177" t="s">
        <v>72</v>
      </c>
      <c r="M177" t="s">
        <v>72</v>
      </c>
      <c r="N177" s="5"/>
      <c r="O177" t="str">
        <f t="shared" si="2"/>
        <v/>
      </c>
    </row>
    <row r="178" spans="1:15" x14ac:dyDescent="0.25">
      <c r="A178" t="s">
        <v>1035</v>
      </c>
      <c r="B178" t="s">
        <v>1036</v>
      </c>
      <c r="C178" t="s">
        <v>1037</v>
      </c>
      <c r="D178">
        <v>2026</v>
      </c>
      <c r="E178" t="s">
        <v>56</v>
      </c>
      <c r="F178" t="s">
        <v>57</v>
      </c>
      <c r="G178" t="s">
        <v>853</v>
      </c>
      <c r="H178" t="s">
        <v>1038</v>
      </c>
      <c r="I178" t="s">
        <v>1039</v>
      </c>
      <c r="J178" t="s">
        <v>79</v>
      </c>
      <c r="K178" t="s">
        <v>80</v>
      </c>
      <c r="L178" t="s">
        <v>72</v>
      </c>
      <c r="M178" t="s">
        <v>72</v>
      </c>
      <c r="N178" s="5"/>
      <c r="O178" t="str">
        <f t="shared" si="2"/>
        <v/>
      </c>
    </row>
    <row r="179" spans="1:15" x14ac:dyDescent="0.25">
      <c r="A179" t="s">
        <v>1040</v>
      </c>
      <c r="B179" t="s">
        <v>1041</v>
      </c>
      <c r="C179" t="s">
        <v>1042</v>
      </c>
      <c r="D179">
        <v>2026</v>
      </c>
      <c r="E179" t="s">
        <v>56</v>
      </c>
      <c r="F179" t="s">
        <v>67</v>
      </c>
      <c r="G179" t="s">
        <v>1043</v>
      </c>
      <c r="H179" t="s">
        <v>1044</v>
      </c>
      <c r="I179" t="s">
        <v>1045</v>
      </c>
      <c r="J179" t="s">
        <v>71</v>
      </c>
      <c r="K179" t="s">
        <v>18</v>
      </c>
      <c r="L179" t="s">
        <v>72</v>
      </c>
      <c r="M179" t="s">
        <v>72</v>
      </c>
      <c r="N179" s="5"/>
      <c r="O179" t="str">
        <f t="shared" si="2"/>
        <v/>
      </c>
    </row>
    <row r="180" spans="1:15" x14ac:dyDescent="0.25">
      <c r="A180" t="s">
        <v>1046</v>
      </c>
      <c r="B180" t="s">
        <v>1047</v>
      </c>
      <c r="C180" t="s">
        <v>1048</v>
      </c>
      <c r="D180">
        <v>2026</v>
      </c>
      <c r="E180" t="s">
        <v>56</v>
      </c>
      <c r="F180" t="s">
        <v>67</v>
      </c>
      <c r="G180" t="s">
        <v>1049</v>
      </c>
      <c r="H180" t="s">
        <v>1050</v>
      </c>
      <c r="I180" t="s">
        <v>1051</v>
      </c>
      <c r="J180" t="s">
        <v>87</v>
      </c>
      <c r="K180" t="s">
        <v>19</v>
      </c>
      <c r="L180" t="s">
        <v>72</v>
      </c>
      <c r="M180" t="s">
        <v>72</v>
      </c>
      <c r="N180" s="5"/>
      <c r="O180" t="str">
        <f t="shared" si="2"/>
        <v/>
      </c>
    </row>
    <row r="181" spans="1:15" x14ac:dyDescent="0.25">
      <c r="A181" t="s">
        <v>1052</v>
      </c>
      <c r="B181" t="s">
        <v>1053</v>
      </c>
      <c r="C181" t="s">
        <v>1054</v>
      </c>
      <c r="D181">
        <v>2026</v>
      </c>
      <c r="E181" t="s">
        <v>56</v>
      </c>
      <c r="F181" t="s">
        <v>67</v>
      </c>
      <c r="G181" t="s">
        <v>1055</v>
      </c>
      <c r="H181" t="s">
        <v>1056</v>
      </c>
      <c r="I181" t="s">
        <v>1057</v>
      </c>
      <c r="J181" t="s">
        <v>79</v>
      </c>
      <c r="K181" t="s">
        <v>80</v>
      </c>
      <c r="L181" t="s">
        <v>72</v>
      </c>
      <c r="M181" t="s">
        <v>72</v>
      </c>
      <c r="N181" s="5"/>
      <c r="O181" t="str">
        <f t="shared" si="2"/>
        <v/>
      </c>
    </row>
    <row r="182" spans="1:15" x14ac:dyDescent="0.25">
      <c r="A182" t="s">
        <v>1058</v>
      </c>
      <c r="B182" t="s">
        <v>1059</v>
      </c>
      <c r="C182" t="s">
        <v>1060</v>
      </c>
      <c r="D182">
        <v>2026</v>
      </c>
      <c r="E182" t="s">
        <v>56</v>
      </c>
      <c r="F182" t="s">
        <v>57</v>
      </c>
      <c r="G182" t="s">
        <v>1061</v>
      </c>
      <c r="H182" t="s">
        <v>1062</v>
      </c>
      <c r="I182" t="s">
        <v>1063</v>
      </c>
      <c r="J182" t="s">
        <v>71</v>
      </c>
      <c r="K182" t="s">
        <v>18</v>
      </c>
      <c r="L182" t="s">
        <v>72</v>
      </c>
      <c r="M182" t="s">
        <v>72</v>
      </c>
      <c r="N182" s="5"/>
      <c r="O182" t="str">
        <f t="shared" si="2"/>
        <v/>
      </c>
    </row>
    <row r="183" spans="1:15" x14ac:dyDescent="0.25">
      <c r="A183" t="s">
        <v>1064</v>
      </c>
      <c r="B183" t="s">
        <v>1065</v>
      </c>
      <c r="C183" t="s">
        <v>1066</v>
      </c>
      <c r="D183">
        <v>2026</v>
      </c>
      <c r="E183" t="s">
        <v>56</v>
      </c>
      <c r="F183" t="s">
        <v>67</v>
      </c>
      <c r="G183" t="s">
        <v>556</v>
      </c>
      <c r="H183" t="s">
        <v>1067</v>
      </c>
      <c r="I183" t="s">
        <v>1068</v>
      </c>
      <c r="J183" t="s">
        <v>71</v>
      </c>
      <c r="K183" t="s">
        <v>18</v>
      </c>
      <c r="L183" t="s">
        <v>72</v>
      </c>
      <c r="M183" t="s">
        <v>72</v>
      </c>
      <c r="N183" s="5"/>
      <c r="O183" t="str">
        <f t="shared" si="2"/>
        <v/>
      </c>
    </row>
    <row r="184" spans="1:15" x14ac:dyDescent="0.25">
      <c r="A184" t="s">
        <v>1069</v>
      </c>
      <c r="B184" t="s">
        <v>1070</v>
      </c>
      <c r="C184" t="s">
        <v>1071</v>
      </c>
      <c r="D184">
        <v>2026</v>
      </c>
      <c r="E184" t="s">
        <v>56</v>
      </c>
      <c r="F184" t="s">
        <v>57</v>
      </c>
      <c r="G184" t="s">
        <v>702</v>
      </c>
      <c r="H184" t="s">
        <v>1072</v>
      </c>
      <c r="I184" t="s">
        <v>1073</v>
      </c>
      <c r="J184" t="s">
        <v>71</v>
      </c>
      <c r="K184" t="s">
        <v>18</v>
      </c>
      <c r="L184" t="s">
        <v>72</v>
      </c>
      <c r="M184" t="s">
        <v>72</v>
      </c>
      <c r="N184" s="5"/>
      <c r="O184" t="str">
        <f t="shared" si="2"/>
        <v/>
      </c>
    </row>
    <row r="185" spans="1:15" x14ac:dyDescent="0.25">
      <c r="A185" t="s">
        <v>1074</v>
      </c>
      <c r="B185" t="s">
        <v>1075</v>
      </c>
      <c r="C185" t="s">
        <v>777</v>
      </c>
      <c r="D185">
        <v>2026</v>
      </c>
      <c r="E185" t="s">
        <v>56</v>
      </c>
      <c r="F185" t="s">
        <v>57</v>
      </c>
      <c r="G185" t="s">
        <v>1076</v>
      </c>
      <c r="H185" t="s">
        <v>1077</v>
      </c>
      <c r="I185" t="s">
        <v>1078</v>
      </c>
      <c r="J185" t="s">
        <v>71</v>
      </c>
      <c r="K185" t="s">
        <v>18</v>
      </c>
      <c r="L185" t="s">
        <v>72</v>
      </c>
      <c r="M185" t="s">
        <v>72</v>
      </c>
      <c r="N185" s="5"/>
      <c r="O185" t="str">
        <f t="shared" si="2"/>
        <v/>
      </c>
    </row>
    <row r="186" spans="1:15" x14ac:dyDescent="0.25">
      <c r="A186" t="s">
        <v>1079</v>
      </c>
      <c r="B186" t="s">
        <v>1080</v>
      </c>
      <c r="C186" t="s">
        <v>1081</v>
      </c>
      <c r="D186">
        <v>2026</v>
      </c>
      <c r="E186" t="s">
        <v>56</v>
      </c>
      <c r="F186" t="s">
        <v>67</v>
      </c>
      <c r="G186" t="s">
        <v>188</v>
      </c>
      <c r="H186" t="s">
        <v>1082</v>
      </c>
      <c r="I186" t="s">
        <v>1083</v>
      </c>
      <c r="J186" t="s">
        <v>71</v>
      </c>
      <c r="K186" t="s">
        <v>18</v>
      </c>
      <c r="L186" t="s">
        <v>72</v>
      </c>
      <c r="M186" t="s">
        <v>72</v>
      </c>
      <c r="N186" s="5"/>
      <c r="O186" t="str">
        <f t="shared" si="2"/>
        <v/>
      </c>
    </row>
    <row r="187" spans="1:15" x14ac:dyDescent="0.25">
      <c r="A187" t="s">
        <v>1084</v>
      </c>
      <c r="B187" t="s">
        <v>1085</v>
      </c>
      <c r="C187" t="s">
        <v>1086</v>
      </c>
      <c r="D187">
        <v>2026</v>
      </c>
      <c r="E187" t="s">
        <v>56</v>
      </c>
      <c r="F187" t="s">
        <v>57</v>
      </c>
      <c r="G187" t="s">
        <v>766</v>
      </c>
      <c r="H187" t="s">
        <v>1087</v>
      </c>
      <c r="I187" t="s">
        <v>1088</v>
      </c>
      <c r="J187" t="s">
        <v>165</v>
      </c>
      <c r="K187" t="s">
        <v>166</v>
      </c>
      <c r="L187" t="s">
        <v>63</v>
      </c>
      <c r="M187" t="s">
        <v>72</v>
      </c>
      <c r="N187" s="5"/>
      <c r="O187" t="str">
        <f t="shared" si="2"/>
        <v/>
      </c>
    </row>
    <row r="188" spans="1:15" x14ac:dyDescent="0.25">
      <c r="A188" t="s">
        <v>1089</v>
      </c>
      <c r="B188" t="s">
        <v>1090</v>
      </c>
      <c r="C188" t="s">
        <v>205</v>
      </c>
      <c r="D188">
        <v>2026</v>
      </c>
      <c r="E188" t="s">
        <v>56</v>
      </c>
      <c r="F188" t="s">
        <v>57</v>
      </c>
      <c r="G188" t="s">
        <v>1091</v>
      </c>
      <c r="H188" t="s">
        <v>1092</v>
      </c>
      <c r="I188" t="s">
        <v>1093</v>
      </c>
      <c r="J188" t="s">
        <v>87</v>
      </c>
      <c r="K188" t="s">
        <v>19</v>
      </c>
      <c r="L188" t="s">
        <v>72</v>
      </c>
      <c r="M188" t="s">
        <v>72</v>
      </c>
      <c r="N188" s="5"/>
      <c r="O188" t="str">
        <f t="shared" si="2"/>
        <v/>
      </c>
    </row>
    <row r="189" spans="1:15" x14ac:dyDescent="0.25">
      <c r="A189" t="s">
        <v>1094</v>
      </c>
      <c r="B189" t="s">
        <v>1095</v>
      </c>
      <c r="C189" t="s">
        <v>1096</v>
      </c>
      <c r="D189">
        <v>2026</v>
      </c>
      <c r="E189" t="s">
        <v>56</v>
      </c>
      <c r="F189" t="s">
        <v>57</v>
      </c>
      <c r="G189" t="s">
        <v>279</v>
      </c>
      <c r="H189" t="s">
        <v>1097</v>
      </c>
      <c r="I189" t="s">
        <v>1098</v>
      </c>
      <c r="J189" t="s">
        <v>71</v>
      </c>
      <c r="K189" t="s">
        <v>18</v>
      </c>
      <c r="L189" t="s">
        <v>72</v>
      </c>
      <c r="M189" t="s">
        <v>72</v>
      </c>
      <c r="N189" s="5"/>
      <c r="O189" t="str">
        <f t="shared" si="2"/>
        <v/>
      </c>
    </row>
    <row r="190" spans="1:15" x14ac:dyDescent="0.25">
      <c r="A190" t="s">
        <v>1099</v>
      </c>
      <c r="B190" t="s">
        <v>1100</v>
      </c>
      <c r="C190" t="s">
        <v>1101</v>
      </c>
      <c r="D190">
        <v>2026</v>
      </c>
      <c r="E190" t="s">
        <v>56</v>
      </c>
      <c r="F190" t="s">
        <v>57</v>
      </c>
      <c r="G190" t="s">
        <v>1102</v>
      </c>
      <c r="H190" t="s">
        <v>1103</v>
      </c>
      <c r="I190" t="s">
        <v>1104</v>
      </c>
      <c r="J190" t="s">
        <v>71</v>
      </c>
      <c r="K190" t="s">
        <v>18</v>
      </c>
      <c r="L190" t="s">
        <v>72</v>
      </c>
      <c r="M190" t="s">
        <v>72</v>
      </c>
      <c r="N190" s="5"/>
      <c r="O190" t="str">
        <f t="shared" si="2"/>
        <v/>
      </c>
    </row>
    <row r="191" spans="1:15" x14ac:dyDescent="0.25">
      <c r="A191" t="s">
        <v>1105</v>
      </c>
      <c r="B191" t="s">
        <v>1106</v>
      </c>
      <c r="C191" t="s">
        <v>957</v>
      </c>
      <c r="D191">
        <v>2026</v>
      </c>
      <c r="E191" t="s">
        <v>56</v>
      </c>
      <c r="F191" t="s">
        <v>67</v>
      </c>
      <c r="G191" t="s">
        <v>1107</v>
      </c>
      <c r="H191" t="s">
        <v>1108</v>
      </c>
      <c r="I191" t="s">
        <v>1109</v>
      </c>
      <c r="J191" t="s">
        <v>87</v>
      </c>
      <c r="K191" t="s">
        <v>19</v>
      </c>
      <c r="L191" t="s">
        <v>72</v>
      </c>
      <c r="M191" t="s">
        <v>72</v>
      </c>
      <c r="N191" s="5"/>
      <c r="O191" t="str">
        <f t="shared" si="2"/>
        <v/>
      </c>
    </row>
    <row r="192" spans="1:15" x14ac:dyDescent="0.25">
      <c r="A192" t="s">
        <v>1110</v>
      </c>
      <c r="B192" t="s">
        <v>1111</v>
      </c>
      <c r="C192" t="s">
        <v>1112</v>
      </c>
      <c r="D192">
        <v>2026</v>
      </c>
      <c r="E192" t="s">
        <v>56</v>
      </c>
      <c r="F192" t="s">
        <v>57</v>
      </c>
      <c r="G192" t="s">
        <v>1113</v>
      </c>
      <c r="H192" t="s">
        <v>1114</v>
      </c>
      <c r="I192" t="s">
        <v>1115</v>
      </c>
      <c r="J192" t="s">
        <v>98</v>
      </c>
      <c r="K192" t="s">
        <v>99</v>
      </c>
      <c r="L192" t="s">
        <v>63</v>
      </c>
      <c r="M192" t="s">
        <v>72</v>
      </c>
      <c r="N192" s="5"/>
      <c r="O192" t="str">
        <f t="shared" si="2"/>
        <v/>
      </c>
    </row>
    <row r="193" spans="1:15" x14ac:dyDescent="0.25">
      <c r="A193" t="s">
        <v>1116</v>
      </c>
      <c r="B193" t="s">
        <v>1117</v>
      </c>
      <c r="C193" t="s">
        <v>1118</v>
      </c>
      <c r="D193">
        <v>2026</v>
      </c>
      <c r="E193" t="s">
        <v>56</v>
      </c>
      <c r="F193" t="s">
        <v>57</v>
      </c>
      <c r="G193" t="s">
        <v>162</v>
      </c>
      <c r="H193" t="s">
        <v>1119</v>
      </c>
      <c r="I193" t="s">
        <v>1120</v>
      </c>
      <c r="J193" t="s">
        <v>71</v>
      </c>
      <c r="K193" t="s">
        <v>18</v>
      </c>
      <c r="L193" t="s">
        <v>72</v>
      </c>
      <c r="M193" t="s">
        <v>72</v>
      </c>
      <c r="N193" s="5"/>
      <c r="O193" t="str">
        <f t="shared" si="2"/>
        <v/>
      </c>
    </row>
    <row r="194" spans="1:15" x14ac:dyDescent="0.25">
      <c r="A194" t="s">
        <v>1121</v>
      </c>
      <c r="B194" t="s">
        <v>1122</v>
      </c>
      <c r="C194" t="s">
        <v>1123</v>
      </c>
      <c r="D194">
        <v>2026</v>
      </c>
      <c r="E194" t="s">
        <v>56</v>
      </c>
      <c r="F194" t="s">
        <v>67</v>
      </c>
      <c r="G194" t="s">
        <v>1124</v>
      </c>
      <c r="H194" t="s">
        <v>1125</v>
      </c>
      <c r="I194" t="s">
        <v>1126</v>
      </c>
      <c r="J194" t="s">
        <v>98</v>
      </c>
      <c r="K194" t="s">
        <v>99</v>
      </c>
      <c r="L194" t="s">
        <v>63</v>
      </c>
      <c r="M194" t="s">
        <v>72</v>
      </c>
      <c r="N194" s="5"/>
      <c r="O194" t="str">
        <f t="shared" ref="O194:O257" si="3">IF(N194="","",IF(N194=J194,1,0))</f>
        <v/>
      </c>
    </row>
    <row r="195" spans="1:15" x14ac:dyDescent="0.25">
      <c r="A195" t="s">
        <v>1127</v>
      </c>
      <c r="B195" t="s">
        <v>1128</v>
      </c>
      <c r="C195" t="s">
        <v>1129</v>
      </c>
      <c r="D195">
        <v>2026</v>
      </c>
      <c r="E195" t="s">
        <v>56</v>
      </c>
      <c r="F195" t="s">
        <v>67</v>
      </c>
      <c r="G195" t="s">
        <v>1130</v>
      </c>
      <c r="H195" t="s">
        <v>1131</v>
      </c>
      <c r="I195" t="s">
        <v>1132</v>
      </c>
      <c r="J195" t="s">
        <v>79</v>
      </c>
      <c r="K195" t="s">
        <v>80</v>
      </c>
      <c r="L195" t="s">
        <v>72</v>
      </c>
      <c r="M195" t="s">
        <v>72</v>
      </c>
      <c r="N195" s="5"/>
      <c r="O195" t="str">
        <f t="shared" si="3"/>
        <v/>
      </c>
    </row>
    <row r="196" spans="1:15" x14ac:dyDescent="0.25">
      <c r="A196" t="s">
        <v>1133</v>
      </c>
      <c r="B196" t="s">
        <v>1134</v>
      </c>
      <c r="C196" t="s">
        <v>1135</v>
      </c>
      <c r="D196">
        <v>2026</v>
      </c>
      <c r="E196" t="s">
        <v>56</v>
      </c>
      <c r="F196" t="s">
        <v>67</v>
      </c>
      <c r="G196" t="s">
        <v>556</v>
      </c>
      <c r="H196" t="s">
        <v>1136</v>
      </c>
      <c r="I196" t="s">
        <v>1137</v>
      </c>
      <c r="J196" t="s">
        <v>71</v>
      </c>
      <c r="K196" t="s">
        <v>18</v>
      </c>
      <c r="L196" t="s">
        <v>72</v>
      </c>
      <c r="M196" t="s">
        <v>72</v>
      </c>
      <c r="N196" s="5"/>
      <c r="O196" t="str">
        <f t="shared" si="3"/>
        <v/>
      </c>
    </row>
    <row r="197" spans="1:15" x14ac:dyDescent="0.25">
      <c r="A197" t="s">
        <v>1138</v>
      </c>
      <c r="B197" t="s">
        <v>1139</v>
      </c>
      <c r="C197" t="s">
        <v>1140</v>
      </c>
      <c r="D197">
        <v>2026</v>
      </c>
      <c r="E197" t="s">
        <v>56</v>
      </c>
      <c r="F197" t="s">
        <v>57</v>
      </c>
      <c r="G197" t="s">
        <v>1141</v>
      </c>
      <c r="H197" t="s">
        <v>1142</v>
      </c>
      <c r="I197" t="s">
        <v>1143</v>
      </c>
      <c r="J197" t="s">
        <v>87</v>
      </c>
      <c r="K197" t="s">
        <v>19</v>
      </c>
      <c r="L197" t="s">
        <v>72</v>
      </c>
      <c r="M197" t="s">
        <v>72</v>
      </c>
      <c r="N197" s="5"/>
      <c r="O197" t="str">
        <f t="shared" si="3"/>
        <v/>
      </c>
    </row>
    <row r="198" spans="1:15" x14ac:dyDescent="0.25">
      <c r="A198" t="s">
        <v>1144</v>
      </c>
      <c r="B198" t="s">
        <v>1145</v>
      </c>
      <c r="C198" t="s">
        <v>1146</v>
      </c>
      <c r="D198">
        <v>2026</v>
      </c>
      <c r="E198" t="s">
        <v>56</v>
      </c>
      <c r="F198" t="s">
        <v>67</v>
      </c>
      <c r="G198" t="s">
        <v>981</v>
      </c>
      <c r="H198" t="s">
        <v>1147</v>
      </c>
      <c r="I198" t="s">
        <v>1148</v>
      </c>
      <c r="J198" t="s">
        <v>87</v>
      </c>
      <c r="K198" t="s">
        <v>19</v>
      </c>
      <c r="L198" t="s">
        <v>72</v>
      </c>
      <c r="M198" t="s">
        <v>72</v>
      </c>
      <c r="N198" s="5"/>
      <c r="O198" t="str">
        <f t="shared" si="3"/>
        <v/>
      </c>
    </row>
    <row r="199" spans="1:15" x14ac:dyDescent="0.25">
      <c r="A199" t="s">
        <v>1149</v>
      </c>
      <c r="B199" t="s">
        <v>1150</v>
      </c>
      <c r="C199" t="s">
        <v>1151</v>
      </c>
      <c r="D199">
        <v>2026</v>
      </c>
      <c r="E199" t="s">
        <v>56</v>
      </c>
      <c r="F199" t="s">
        <v>67</v>
      </c>
      <c r="G199" t="s">
        <v>170</v>
      </c>
      <c r="H199" t="s">
        <v>1152</v>
      </c>
      <c r="I199" t="s">
        <v>1153</v>
      </c>
      <c r="J199" t="s">
        <v>87</v>
      </c>
      <c r="K199" t="s">
        <v>19</v>
      </c>
      <c r="L199" t="s">
        <v>72</v>
      </c>
      <c r="M199" t="s">
        <v>72</v>
      </c>
      <c r="N199" s="5"/>
      <c r="O199" t="str">
        <f t="shared" si="3"/>
        <v/>
      </c>
    </row>
    <row r="200" spans="1:15" x14ac:dyDescent="0.25">
      <c r="A200" t="s">
        <v>1154</v>
      </c>
      <c r="B200" t="s">
        <v>1155</v>
      </c>
      <c r="C200" t="s">
        <v>1123</v>
      </c>
      <c r="D200">
        <v>2026</v>
      </c>
      <c r="E200" t="s">
        <v>56</v>
      </c>
      <c r="F200" t="s">
        <v>57</v>
      </c>
      <c r="G200" t="s">
        <v>1156</v>
      </c>
      <c r="H200" t="s">
        <v>1157</v>
      </c>
      <c r="I200" t="s">
        <v>1158</v>
      </c>
      <c r="J200" t="s">
        <v>79</v>
      </c>
      <c r="K200" t="s">
        <v>80</v>
      </c>
      <c r="L200" t="s">
        <v>72</v>
      </c>
      <c r="M200" t="s">
        <v>72</v>
      </c>
      <c r="N200" s="5"/>
      <c r="O200" t="str">
        <f t="shared" si="3"/>
        <v/>
      </c>
    </row>
    <row r="201" spans="1:15" x14ac:dyDescent="0.25">
      <c r="A201" t="s">
        <v>1159</v>
      </c>
      <c r="B201" t="s">
        <v>1160</v>
      </c>
      <c r="C201" t="s">
        <v>1161</v>
      </c>
      <c r="D201">
        <v>2026</v>
      </c>
      <c r="E201" t="s">
        <v>56</v>
      </c>
      <c r="F201" t="s">
        <v>67</v>
      </c>
      <c r="G201" t="s">
        <v>1162</v>
      </c>
      <c r="H201" t="s">
        <v>1163</v>
      </c>
      <c r="I201" t="s">
        <v>1164</v>
      </c>
      <c r="J201" t="s">
        <v>71</v>
      </c>
      <c r="K201" t="s">
        <v>18</v>
      </c>
      <c r="L201" t="s">
        <v>72</v>
      </c>
      <c r="M201" t="s">
        <v>72</v>
      </c>
      <c r="N201" s="5"/>
      <c r="O201" t="str">
        <f t="shared" si="3"/>
        <v/>
      </c>
    </row>
    <row r="202" spans="1:15" x14ac:dyDescent="0.25">
      <c r="A202" t="s">
        <v>1165</v>
      </c>
      <c r="B202" t="s">
        <v>1166</v>
      </c>
      <c r="C202" t="s">
        <v>1167</v>
      </c>
      <c r="D202">
        <v>2026</v>
      </c>
      <c r="E202" t="s">
        <v>56</v>
      </c>
      <c r="F202" t="s">
        <v>57</v>
      </c>
      <c r="G202" t="s">
        <v>853</v>
      </c>
      <c r="H202" t="s">
        <v>1168</v>
      </c>
      <c r="I202" t="s">
        <v>1169</v>
      </c>
      <c r="J202" t="s">
        <v>98</v>
      </c>
      <c r="K202" t="s">
        <v>99</v>
      </c>
      <c r="L202" t="s">
        <v>63</v>
      </c>
      <c r="M202" t="s">
        <v>72</v>
      </c>
      <c r="N202" s="5"/>
      <c r="O202" t="str">
        <f t="shared" si="3"/>
        <v/>
      </c>
    </row>
    <row r="203" spans="1:15" x14ac:dyDescent="0.25">
      <c r="A203" t="s">
        <v>1170</v>
      </c>
      <c r="B203" t="s">
        <v>1171</v>
      </c>
      <c r="C203" t="s">
        <v>1172</v>
      </c>
      <c r="D203">
        <v>2026</v>
      </c>
      <c r="E203" t="s">
        <v>56</v>
      </c>
      <c r="F203" t="s">
        <v>57</v>
      </c>
      <c r="G203" t="s">
        <v>344</v>
      </c>
      <c r="H203" t="s">
        <v>1173</v>
      </c>
      <c r="I203" t="s">
        <v>1174</v>
      </c>
      <c r="J203" t="s">
        <v>98</v>
      </c>
      <c r="K203" t="s">
        <v>99</v>
      </c>
      <c r="L203" t="s">
        <v>63</v>
      </c>
      <c r="M203" t="s">
        <v>72</v>
      </c>
      <c r="N203" s="5"/>
      <c r="O203" t="str">
        <f t="shared" si="3"/>
        <v/>
      </c>
    </row>
    <row r="204" spans="1:15" x14ac:dyDescent="0.25">
      <c r="A204" t="s">
        <v>1175</v>
      </c>
      <c r="B204" t="s">
        <v>1176</v>
      </c>
      <c r="C204" t="s">
        <v>744</v>
      </c>
      <c r="D204">
        <v>2026</v>
      </c>
      <c r="E204" t="s">
        <v>56</v>
      </c>
      <c r="F204" t="s">
        <v>67</v>
      </c>
      <c r="G204" t="s">
        <v>952</v>
      </c>
      <c r="H204" t="s">
        <v>1177</v>
      </c>
      <c r="I204" t="s">
        <v>1178</v>
      </c>
      <c r="J204" t="s">
        <v>71</v>
      </c>
      <c r="K204" t="s">
        <v>18</v>
      </c>
      <c r="L204" t="s">
        <v>72</v>
      </c>
      <c r="M204" t="s">
        <v>72</v>
      </c>
      <c r="N204" s="5"/>
      <c r="O204" t="str">
        <f t="shared" si="3"/>
        <v/>
      </c>
    </row>
    <row r="205" spans="1:15" x14ac:dyDescent="0.25">
      <c r="A205" t="s">
        <v>1179</v>
      </c>
      <c r="B205" t="s">
        <v>1180</v>
      </c>
      <c r="C205" t="s">
        <v>1181</v>
      </c>
      <c r="D205">
        <v>2026</v>
      </c>
      <c r="E205" t="s">
        <v>56</v>
      </c>
      <c r="F205" t="s">
        <v>67</v>
      </c>
      <c r="G205" t="s">
        <v>556</v>
      </c>
      <c r="H205" t="s">
        <v>1182</v>
      </c>
      <c r="I205" t="s">
        <v>1183</v>
      </c>
      <c r="J205" t="s">
        <v>71</v>
      </c>
      <c r="K205" t="s">
        <v>18</v>
      </c>
      <c r="L205" t="s">
        <v>72</v>
      </c>
      <c r="M205" t="s">
        <v>72</v>
      </c>
      <c r="N205" s="5"/>
      <c r="O205" t="str">
        <f t="shared" si="3"/>
        <v/>
      </c>
    </row>
    <row r="206" spans="1:15" x14ac:dyDescent="0.25">
      <c r="A206" t="s">
        <v>1184</v>
      </c>
      <c r="B206" t="s">
        <v>1185</v>
      </c>
      <c r="C206" t="s">
        <v>1186</v>
      </c>
      <c r="D206">
        <v>2026</v>
      </c>
      <c r="E206" t="s">
        <v>56</v>
      </c>
      <c r="F206" t="s">
        <v>67</v>
      </c>
      <c r="G206" t="s">
        <v>1187</v>
      </c>
      <c r="H206" t="s">
        <v>1188</v>
      </c>
      <c r="I206" t="s">
        <v>1189</v>
      </c>
      <c r="J206" t="s">
        <v>71</v>
      </c>
      <c r="K206" t="s">
        <v>18</v>
      </c>
      <c r="L206" t="s">
        <v>72</v>
      </c>
      <c r="M206" t="s">
        <v>72</v>
      </c>
      <c r="N206" s="5"/>
      <c r="O206" t="str">
        <f t="shared" si="3"/>
        <v/>
      </c>
    </row>
    <row r="207" spans="1:15" x14ac:dyDescent="0.25">
      <c r="A207" t="s">
        <v>1190</v>
      </c>
      <c r="B207" t="s">
        <v>1191</v>
      </c>
      <c r="C207" t="s">
        <v>661</v>
      </c>
      <c r="D207">
        <v>2026</v>
      </c>
      <c r="E207" t="s">
        <v>56</v>
      </c>
      <c r="F207" t="s">
        <v>67</v>
      </c>
      <c r="G207" t="s">
        <v>794</v>
      </c>
      <c r="H207" t="s">
        <v>1192</v>
      </c>
      <c r="I207" t="s">
        <v>1193</v>
      </c>
      <c r="J207" t="s">
        <v>98</v>
      </c>
      <c r="K207" t="s">
        <v>99</v>
      </c>
      <c r="L207" t="s">
        <v>63</v>
      </c>
      <c r="M207" t="s">
        <v>72</v>
      </c>
      <c r="N207" s="5"/>
      <c r="O207" t="str">
        <f t="shared" si="3"/>
        <v/>
      </c>
    </row>
    <row r="208" spans="1:15" x14ac:dyDescent="0.25">
      <c r="A208" t="s">
        <v>1194</v>
      </c>
      <c r="B208" t="s">
        <v>1195</v>
      </c>
      <c r="C208" t="s">
        <v>1196</v>
      </c>
      <c r="D208">
        <v>2026</v>
      </c>
      <c r="E208" t="s">
        <v>56</v>
      </c>
      <c r="F208" t="s">
        <v>57</v>
      </c>
      <c r="G208" t="s">
        <v>418</v>
      </c>
      <c r="H208" t="s">
        <v>1197</v>
      </c>
      <c r="I208" t="s">
        <v>1198</v>
      </c>
      <c r="J208" t="s">
        <v>61</v>
      </c>
      <c r="K208" t="s">
        <v>62</v>
      </c>
      <c r="L208" t="s">
        <v>63</v>
      </c>
      <c r="M208" t="s">
        <v>63</v>
      </c>
      <c r="N208" s="5"/>
      <c r="O208" t="str">
        <f t="shared" si="3"/>
        <v/>
      </c>
    </row>
    <row r="209" spans="1:15" x14ac:dyDescent="0.25">
      <c r="A209" t="s">
        <v>1199</v>
      </c>
      <c r="B209" t="s">
        <v>1200</v>
      </c>
      <c r="C209" t="s">
        <v>1201</v>
      </c>
      <c r="D209">
        <v>2026</v>
      </c>
      <c r="E209" t="s">
        <v>56</v>
      </c>
      <c r="F209" t="s">
        <v>67</v>
      </c>
      <c r="G209" t="s">
        <v>1202</v>
      </c>
      <c r="H209" t="s">
        <v>1203</v>
      </c>
      <c r="I209" t="s">
        <v>1204</v>
      </c>
      <c r="J209" t="s">
        <v>71</v>
      </c>
      <c r="K209" t="s">
        <v>18</v>
      </c>
      <c r="L209" t="s">
        <v>72</v>
      </c>
      <c r="M209" t="s">
        <v>72</v>
      </c>
      <c r="N209" s="5"/>
      <c r="O209" t="str">
        <f t="shared" si="3"/>
        <v/>
      </c>
    </row>
    <row r="210" spans="1:15" x14ac:dyDescent="0.25">
      <c r="A210" t="s">
        <v>1205</v>
      </c>
      <c r="B210" t="s">
        <v>1206</v>
      </c>
      <c r="C210" t="s">
        <v>1207</v>
      </c>
      <c r="D210">
        <v>2026</v>
      </c>
      <c r="E210" t="s">
        <v>56</v>
      </c>
      <c r="F210" t="s">
        <v>57</v>
      </c>
      <c r="G210" t="s">
        <v>1208</v>
      </c>
      <c r="H210" t="s">
        <v>1209</v>
      </c>
      <c r="I210" t="s">
        <v>1210</v>
      </c>
      <c r="J210" t="s">
        <v>87</v>
      </c>
      <c r="K210" t="s">
        <v>19</v>
      </c>
      <c r="L210" t="s">
        <v>72</v>
      </c>
      <c r="M210" t="s">
        <v>72</v>
      </c>
      <c r="N210" s="5"/>
      <c r="O210" t="str">
        <f t="shared" si="3"/>
        <v/>
      </c>
    </row>
    <row r="211" spans="1:15" x14ac:dyDescent="0.25">
      <c r="A211" t="s">
        <v>1211</v>
      </c>
      <c r="B211" t="s">
        <v>1212</v>
      </c>
      <c r="C211" t="s">
        <v>1213</v>
      </c>
      <c r="D211">
        <v>2026</v>
      </c>
      <c r="E211" t="s">
        <v>56</v>
      </c>
      <c r="F211" t="s">
        <v>57</v>
      </c>
      <c r="G211" t="s">
        <v>497</v>
      </c>
      <c r="H211" t="s">
        <v>1214</v>
      </c>
      <c r="I211" t="s">
        <v>1215</v>
      </c>
      <c r="J211" t="s">
        <v>61</v>
      </c>
      <c r="K211" t="s">
        <v>62</v>
      </c>
      <c r="L211" t="s">
        <v>63</v>
      </c>
      <c r="M211" t="s">
        <v>63</v>
      </c>
      <c r="N211" s="5"/>
      <c r="O211" t="str">
        <f t="shared" si="3"/>
        <v/>
      </c>
    </row>
    <row r="212" spans="1:15" x14ac:dyDescent="0.25">
      <c r="A212" t="s">
        <v>1216</v>
      </c>
      <c r="B212" t="s">
        <v>1217</v>
      </c>
      <c r="C212" t="s">
        <v>205</v>
      </c>
      <c r="D212">
        <v>2026</v>
      </c>
      <c r="E212" t="s">
        <v>56</v>
      </c>
      <c r="F212" t="s">
        <v>57</v>
      </c>
      <c r="G212" t="s">
        <v>766</v>
      </c>
      <c r="H212" t="s">
        <v>1218</v>
      </c>
      <c r="I212" t="s">
        <v>1219</v>
      </c>
      <c r="J212" t="s">
        <v>61</v>
      </c>
      <c r="K212" t="s">
        <v>62</v>
      </c>
      <c r="L212" t="s">
        <v>63</v>
      </c>
      <c r="M212" t="s">
        <v>63</v>
      </c>
      <c r="N212" s="5"/>
      <c r="O212" t="str">
        <f t="shared" si="3"/>
        <v/>
      </c>
    </row>
    <row r="213" spans="1:15" x14ac:dyDescent="0.25">
      <c r="A213" t="s">
        <v>1220</v>
      </c>
      <c r="B213" t="s">
        <v>1221</v>
      </c>
      <c r="C213" t="s">
        <v>1222</v>
      </c>
      <c r="D213">
        <v>2026</v>
      </c>
      <c r="E213" t="s">
        <v>56</v>
      </c>
      <c r="F213" t="s">
        <v>57</v>
      </c>
      <c r="G213" t="s">
        <v>1223</v>
      </c>
      <c r="H213" t="s">
        <v>1224</v>
      </c>
      <c r="I213" t="s">
        <v>1225</v>
      </c>
      <c r="J213" t="s">
        <v>71</v>
      </c>
      <c r="K213" t="s">
        <v>18</v>
      </c>
      <c r="L213" t="s">
        <v>72</v>
      </c>
      <c r="M213" t="s">
        <v>72</v>
      </c>
      <c r="N213" s="5"/>
      <c r="O213" t="str">
        <f t="shared" si="3"/>
        <v/>
      </c>
    </row>
    <row r="214" spans="1:15" x14ac:dyDescent="0.25">
      <c r="A214" t="s">
        <v>1226</v>
      </c>
      <c r="B214" t="s">
        <v>1227</v>
      </c>
      <c r="C214" t="s">
        <v>205</v>
      </c>
      <c r="D214">
        <v>2026</v>
      </c>
      <c r="E214" t="s">
        <v>56</v>
      </c>
      <c r="F214" t="s">
        <v>67</v>
      </c>
      <c r="G214" t="s">
        <v>952</v>
      </c>
      <c r="H214" t="s">
        <v>1228</v>
      </c>
      <c r="I214" t="s">
        <v>1229</v>
      </c>
      <c r="J214" t="s">
        <v>71</v>
      </c>
      <c r="K214" t="s">
        <v>18</v>
      </c>
      <c r="L214" t="s">
        <v>72</v>
      </c>
      <c r="M214" t="s">
        <v>72</v>
      </c>
      <c r="N214" s="5"/>
      <c r="O214" t="str">
        <f t="shared" si="3"/>
        <v/>
      </c>
    </row>
    <row r="215" spans="1:15" x14ac:dyDescent="0.25">
      <c r="A215" t="s">
        <v>1230</v>
      </c>
      <c r="B215" t="s">
        <v>1231</v>
      </c>
      <c r="C215" t="s">
        <v>1232</v>
      </c>
      <c r="D215">
        <v>2026</v>
      </c>
      <c r="E215" t="s">
        <v>56</v>
      </c>
      <c r="F215" t="s">
        <v>57</v>
      </c>
      <c r="G215" t="s">
        <v>1233</v>
      </c>
      <c r="H215" t="s">
        <v>1234</v>
      </c>
      <c r="I215" t="s">
        <v>1235</v>
      </c>
      <c r="J215" t="s">
        <v>71</v>
      </c>
      <c r="K215" t="s">
        <v>18</v>
      </c>
      <c r="L215" t="s">
        <v>72</v>
      </c>
      <c r="M215" t="s">
        <v>72</v>
      </c>
      <c r="N215" s="5"/>
      <c r="O215" t="str">
        <f t="shared" si="3"/>
        <v/>
      </c>
    </row>
    <row r="216" spans="1:15" x14ac:dyDescent="0.25">
      <c r="A216" t="s">
        <v>1236</v>
      </c>
      <c r="B216" t="s">
        <v>1237</v>
      </c>
      <c r="C216" t="s">
        <v>1238</v>
      </c>
      <c r="D216">
        <v>2026</v>
      </c>
      <c r="E216" t="s">
        <v>56</v>
      </c>
      <c r="F216" t="s">
        <v>57</v>
      </c>
      <c r="G216" t="s">
        <v>291</v>
      </c>
      <c r="H216" t="s">
        <v>1239</v>
      </c>
      <c r="I216" t="s">
        <v>1240</v>
      </c>
      <c r="J216" t="s">
        <v>61</v>
      </c>
      <c r="K216" t="s">
        <v>62</v>
      </c>
      <c r="L216" t="s">
        <v>63</v>
      </c>
      <c r="M216" t="s">
        <v>63</v>
      </c>
      <c r="N216" s="5"/>
      <c r="O216" t="str">
        <f t="shared" si="3"/>
        <v/>
      </c>
    </row>
    <row r="217" spans="1:15" x14ac:dyDescent="0.25">
      <c r="A217" t="s">
        <v>1241</v>
      </c>
      <c r="B217" t="s">
        <v>1242</v>
      </c>
      <c r="C217" t="s">
        <v>1243</v>
      </c>
      <c r="D217">
        <v>2026</v>
      </c>
      <c r="E217" t="s">
        <v>56</v>
      </c>
      <c r="F217" t="s">
        <v>67</v>
      </c>
      <c r="G217" t="s">
        <v>1244</v>
      </c>
      <c r="H217" t="s">
        <v>1245</v>
      </c>
      <c r="I217" t="s">
        <v>1246</v>
      </c>
      <c r="J217" t="s">
        <v>165</v>
      </c>
      <c r="K217" t="s">
        <v>166</v>
      </c>
      <c r="L217" t="s">
        <v>63</v>
      </c>
      <c r="M217" t="s">
        <v>72</v>
      </c>
      <c r="N217" s="5"/>
      <c r="O217" t="str">
        <f t="shared" si="3"/>
        <v/>
      </c>
    </row>
    <row r="218" spans="1:15" x14ac:dyDescent="0.25">
      <c r="A218" t="s">
        <v>1247</v>
      </c>
      <c r="B218" t="s">
        <v>1248</v>
      </c>
      <c r="C218" t="s">
        <v>571</v>
      </c>
      <c r="D218">
        <v>2026</v>
      </c>
      <c r="E218" t="s">
        <v>56</v>
      </c>
      <c r="F218" t="s">
        <v>67</v>
      </c>
      <c r="G218" t="s">
        <v>1249</v>
      </c>
      <c r="H218" t="s">
        <v>1250</v>
      </c>
      <c r="I218" t="s">
        <v>1251</v>
      </c>
      <c r="J218" t="s">
        <v>61</v>
      </c>
      <c r="K218" t="s">
        <v>62</v>
      </c>
      <c r="L218" t="s">
        <v>63</v>
      </c>
      <c r="M218" t="s">
        <v>63</v>
      </c>
      <c r="N218" s="5"/>
      <c r="O218" t="str">
        <f t="shared" si="3"/>
        <v/>
      </c>
    </row>
    <row r="219" spans="1:15" x14ac:dyDescent="0.25">
      <c r="A219" t="s">
        <v>1252</v>
      </c>
      <c r="B219" t="s">
        <v>1253</v>
      </c>
      <c r="C219" t="s">
        <v>1254</v>
      </c>
      <c r="D219">
        <v>2026</v>
      </c>
      <c r="E219" t="s">
        <v>56</v>
      </c>
      <c r="F219" t="s">
        <v>67</v>
      </c>
      <c r="G219" t="s">
        <v>1255</v>
      </c>
      <c r="H219" t="s">
        <v>1256</v>
      </c>
      <c r="I219" t="s">
        <v>1257</v>
      </c>
      <c r="J219" t="s">
        <v>71</v>
      </c>
      <c r="K219" t="s">
        <v>18</v>
      </c>
      <c r="L219" t="s">
        <v>72</v>
      </c>
      <c r="M219" t="s">
        <v>72</v>
      </c>
      <c r="N219" s="5"/>
      <c r="O219" t="str">
        <f t="shared" si="3"/>
        <v/>
      </c>
    </row>
    <row r="220" spans="1:15" x14ac:dyDescent="0.25">
      <c r="A220" t="s">
        <v>1258</v>
      </c>
      <c r="B220" t="s">
        <v>1253</v>
      </c>
      <c r="C220" t="s">
        <v>1259</v>
      </c>
      <c r="D220">
        <v>2026</v>
      </c>
      <c r="E220" t="s">
        <v>56</v>
      </c>
      <c r="F220" t="s">
        <v>67</v>
      </c>
      <c r="G220" t="s">
        <v>1260</v>
      </c>
      <c r="H220" t="s">
        <v>1256</v>
      </c>
      <c r="I220" t="s">
        <v>1261</v>
      </c>
      <c r="J220" t="s">
        <v>71</v>
      </c>
      <c r="K220" t="s">
        <v>18</v>
      </c>
      <c r="L220" t="s">
        <v>72</v>
      </c>
      <c r="M220" t="s">
        <v>72</v>
      </c>
      <c r="N220" s="5"/>
      <c r="O220" t="str">
        <f t="shared" si="3"/>
        <v/>
      </c>
    </row>
    <row r="221" spans="1:15" x14ac:dyDescent="0.25">
      <c r="A221" t="s">
        <v>1262</v>
      </c>
      <c r="B221" t="s">
        <v>1263</v>
      </c>
      <c r="C221" t="s">
        <v>1264</v>
      </c>
      <c r="D221">
        <v>2026</v>
      </c>
      <c r="E221" t="s">
        <v>56</v>
      </c>
      <c r="F221" t="s">
        <v>67</v>
      </c>
      <c r="G221" t="s">
        <v>1265</v>
      </c>
      <c r="H221" t="s">
        <v>1266</v>
      </c>
      <c r="I221" t="s">
        <v>1267</v>
      </c>
      <c r="J221" t="s">
        <v>71</v>
      </c>
      <c r="K221" t="s">
        <v>18</v>
      </c>
      <c r="L221" t="s">
        <v>72</v>
      </c>
      <c r="M221" t="s">
        <v>72</v>
      </c>
      <c r="N221" s="5"/>
      <c r="O221" t="str">
        <f t="shared" si="3"/>
        <v/>
      </c>
    </row>
    <row r="222" spans="1:15" x14ac:dyDescent="0.25">
      <c r="A222" t="s">
        <v>1268</v>
      </c>
      <c r="B222" t="s">
        <v>1263</v>
      </c>
      <c r="C222" t="s">
        <v>1269</v>
      </c>
      <c r="D222">
        <v>2026</v>
      </c>
      <c r="E222" t="s">
        <v>56</v>
      </c>
      <c r="F222" t="s">
        <v>67</v>
      </c>
      <c r="G222" t="s">
        <v>1270</v>
      </c>
      <c r="H222" t="s">
        <v>1266</v>
      </c>
      <c r="I222" t="s">
        <v>1271</v>
      </c>
      <c r="J222" t="s">
        <v>71</v>
      </c>
      <c r="K222" t="s">
        <v>18</v>
      </c>
      <c r="L222" t="s">
        <v>72</v>
      </c>
      <c r="M222" t="s">
        <v>72</v>
      </c>
      <c r="N222" s="5"/>
      <c r="O222" t="str">
        <f t="shared" si="3"/>
        <v/>
      </c>
    </row>
    <row r="223" spans="1:15" x14ac:dyDescent="0.25">
      <c r="A223" t="s">
        <v>1272</v>
      </c>
      <c r="B223" t="s">
        <v>1273</v>
      </c>
      <c r="C223" t="s">
        <v>1274</v>
      </c>
      <c r="D223">
        <v>2026</v>
      </c>
      <c r="E223" t="s">
        <v>56</v>
      </c>
      <c r="F223" t="s">
        <v>67</v>
      </c>
      <c r="G223" t="s">
        <v>1275</v>
      </c>
      <c r="H223" t="s">
        <v>1276</v>
      </c>
      <c r="I223" t="s">
        <v>1277</v>
      </c>
      <c r="J223" t="s">
        <v>71</v>
      </c>
      <c r="K223" t="s">
        <v>18</v>
      </c>
      <c r="L223" t="s">
        <v>72</v>
      </c>
      <c r="M223" t="s">
        <v>72</v>
      </c>
      <c r="N223" s="5"/>
      <c r="O223" t="str">
        <f t="shared" si="3"/>
        <v/>
      </c>
    </row>
    <row r="224" spans="1:15" x14ac:dyDescent="0.25">
      <c r="A224" t="s">
        <v>1278</v>
      </c>
      <c r="B224" t="s">
        <v>1279</v>
      </c>
      <c r="C224" t="s">
        <v>1280</v>
      </c>
      <c r="D224">
        <v>2026</v>
      </c>
      <c r="E224" t="s">
        <v>56</v>
      </c>
      <c r="F224" t="s">
        <v>67</v>
      </c>
      <c r="G224" t="s">
        <v>212</v>
      </c>
      <c r="H224" t="s">
        <v>1281</v>
      </c>
      <c r="I224" t="s">
        <v>1282</v>
      </c>
      <c r="J224" t="s">
        <v>71</v>
      </c>
      <c r="K224" t="s">
        <v>18</v>
      </c>
      <c r="L224" t="s">
        <v>72</v>
      </c>
      <c r="M224" t="s">
        <v>72</v>
      </c>
      <c r="N224" s="5"/>
      <c r="O224" t="str">
        <f t="shared" si="3"/>
        <v/>
      </c>
    </row>
    <row r="225" spans="1:15" x14ac:dyDescent="0.25">
      <c r="A225" t="s">
        <v>1283</v>
      </c>
      <c r="B225" t="s">
        <v>1284</v>
      </c>
      <c r="C225" t="s">
        <v>1285</v>
      </c>
      <c r="D225">
        <v>2026</v>
      </c>
      <c r="E225" t="s">
        <v>56</v>
      </c>
      <c r="F225" t="s">
        <v>67</v>
      </c>
      <c r="G225" t="s">
        <v>632</v>
      </c>
      <c r="H225" t="s">
        <v>1286</v>
      </c>
      <c r="I225" t="s">
        <v>1287</v>
      </c>
      <c r="J225" t="s">
        <v>71</v>
      </c>
      <c r="K225" t="s">
        <v>18</v>
      </c>
      <c r="L225" t="s">
        <v>72</v>
      </c>
      <c r="M225" t="s">
        <v>72</v>
      </c>
      <c r="N225" s="5"/>
      <c r="O225" t="str">
        <f t="shared" si="3"/>
        <v/>
      </c>
    </row>
    <row r="226" spans="1:15" x14ac:dyDescent="0.25">
      <c r="A226" t="s">
        <v>1288</v>
      </c>
      <c r="B226" t="s">
        <v>1284</v>
      </c>
      <c r="C226" t="s">
        <v>1289</v>
      </c>
      <c r="D226">
        <v>2026</v>
      </c>
      <c r="E226" t="s">
        <v>56</v>
      </c>
      <c r="F226" t="s">
        <v>67</v>
      </c>
      <c r="G226" t="s">
        <v>637</v>
      </c>
      <c r="H226" t="s">
        <v>1286</v>
      </c>
      <c r="I226" t="s">
        <v>1290</v>
      </c>
      <c r="J226" t="s">
        <v>71</v>
      </c>
      <c r="K226" t="s">
        <v>18</v>
      </c>
      <c r="L226" t="s">
        <v>72</v>
      </c>
      <c r="M226" t="s">
        <v>72</v>
      </c>
      <c r="N226" s="5"/>
      <c r="O226" t="str">
        <f t="shared" si="3"/>
        <v/>
      </c>
    </row>
    <row r="227" spans="1:15" x14ac:dyDescent="0.25">
      <c r="A227" t="s">
        <v>1291</v>
      </c>
      <c r="B227" t="s">
        <v>1292</v>
      </c>
      <c r="C227" t="s">
        <v>1293</v>
      </c>
      <c r="D227">
        <v>2026</v>
      </c>
      <c r="E227" t="s">
        <v>56</v>
      </c>
      <c r="F227" t="s">
        <v>67</v>
      </c>
      <c r="G227" t="s">
        <v>443</v>
      </c>
      <c r="H227" t="s">
        <v>1294</v>
      </c>
      <c r="I227" t="s">
        <v>1295</v>
      </c>
      <c r="J227" t="s">
        <v>71</v>
      </c>
      <c r="K227" t="s">
        <v>18</v>
      </c>
      <c r="L227" t="s">
        <v>72</v>
      </c>
      <c r="M227" t="s">
        <v>72</v>
      </c>
      <c r="N227" s="5"/>
      <c r="O227" t="str">
        <f t="shared" si="3"/>
        <v/>
      </c>
    </row>
    <row r="228" spans="1:15" x14ac:dyDescent="0.25">
      <c r="A228" t="s">
        <v>1296</v>
      </c>
      <c r="B228" t="s">
        <v>1297</v>
      </c>
      <c r="C228" t="s">
        <v>1298</v>
      </c>
      <c r="D228">
        <v>2026</v>
      </c>
      <c r="E228" t="s">
        <v>56</v>
      </c>
      <c r="F228" t="s">
        <v>67</v>
      </c>
      <c r="G228" t="s">
        <v>1299</v>
      </c>
      <c r="H228" t="s">
        <v>1300</v>
      </c>
      <c r="I228" t="s">
        <v>1301</v>
      </c>
      <c r="J228" t="s">
        <v>79</v>
      </c>
      <c r="K228" t="s">
        <v>80</v>
      </c>
      <c r="L228" t="s">
        <v>72</v>
      </c>
      <c r="M228" t="s">
        <v>72</v>
      </c>
      <c r="N228" s="5"/>
      <c r="O228" t="str">
        <f t="shared" si="3"/>
        <v/>
      </c>
    </row>
    <row r="229" spans="1:15" x14ac:dyDescent="0.25">
      <c r="A229" t="s">
        <v>1302</v>
      </c>
      <c r="B229" t="s">
        <v>1303</v>
      </c>
      <c r="C229" t="s">
        <v>777</v>
      </c>
      <c r="D229">
        <v>2026</v>
      </c>
      <c r="E229" t="s">
        <v>56</v>
      </c>
      <c r="F229" t="s">
        <v>57</v>
      </c>
      <c r="G229" t="s">
        <v>1304</v>
      </c>
      <c r="H229" t="s">
        <v>1305</v>
      </c>
      <c r="I229" t="s">
        <v>1306</v>
      </c>
      <c r="J229" t="s">
        <v>61</v>
      </c>
      <c r="K229" t="s">
        <v>62</v>
      </c>
      <c r="L229" t="s">
        <v>63</v>
      </c>
      <c r="M229" t="s">
        <v>63</v>
      </c>
      <c r="N229" s="5"/>
      <c r="O229" t="str">
        <f t="shared" si="3"/>
        <v/>
      </c>
    </row>
    <row r="230" spans="1:15" x14ac:dyDescent="0.25">
      <c r="A230" t="s">
        <v>1307</v>
      </c>
      <c r="B230" t="s">
        <v>1308</v>
      </c>
      <c r="C230" t="s">
        <v>815</v>
      </c>
      <c r="D230">
        <v>2026</v>
      </c>
      <c r="E230" t="s">
        <v>56</v>
      </c>
      <c r="F230" t="s">
        <v>57</v>
      </c>
      <c r="G230" t="s">
        <v>368</v>
      </c>
      <c r="H230" t="s">
        <v>1309</v>
      </c>
      <c r="I230" t="s">
        <v>1310</v>
      </c>
      <c r="J230" t="s">
        <v>87</v>
      </c>
      <c r="K230" t="s">
        <v>19</v>
      </c>
      <c r="L230" t="s">
        <v>72</v>
      </c>
      <c r="M230" t="s">
        <v>72</v>
      </c>
      <c r="N230" s="5"/>
      <c r="O230" t="str">
        <f t="shared" si="3"/>
        <v/>
      </c>
    </row>
    <row r="231" spans="1:15" x14ac:dyDescent="0.25">
      <c r="A231" t="s">
        <v>1311</v>
      </c>
      <c r="B231" t="s">
        <v>1312</v>
      </c>
      <c r="C231" t="s">
        <v>1313</v>
      </c>
      <c r="D231">
        <v>2026</v>
      </c>
      <c r="E231" t="s">
        <v>56</v>
      </c>
      <c r="F231" t="s">
        <v>57</v>
      </c>
      <c r="G231" t="s">
        <v>1314</v>
      </c>
      <c r="H231" t="s">
        <v>1315</v>
      </c>
      <c r="I231" t="s">
        <v>1316</v>
      </c>
      <c r="J231" t="s">
        <v>71</v>
      </c>
      <c r="K231" t="s">
        <v>18</v>
      </c>
      <c r="L231" t="s">
        <v>72</v>
      </c>
      <c r="M231" t="s">
        <v>72</v>
      </c>
      <c r="N231" s="5"/>
      <c r="O231" t="str">
        <f t="shared" si="3"/>
        <v/>
      </c>
    </row>
    <row r="232" spans="1:15" x14ac:dyDescent="0.25">
      <c r="A232" t="s">
        <v>1317</v>
      </c>
      <c r="B232" t="s">
        <v>1318</v>
      </c>
      <c r="C232" t="s">
        <v>1319</v>
      </c>
      <c r="D232">
        <v>2026</v>
      </c>
      <c r="E232" t="s">
        <v>56</v>
      </c>
      <c r="F232" t="s">
        <v>57</v>
      </c>
      <c r="G232" t="s">
        <v>1320</v>
      </c>
      <c r="H232" t="s">
        <v>1321</v>
      </c>
      <c r="I232" t="s">
        <v>1322</v>
      </c>
      <c r="J232" t="s">
        <v>71</v>
      </c>
      <c r="K232" t="s">
        <v>18</v>
      </c>
      <c r="L232" t="s">
        <v>72</v>
      </c>
      <c r="M232" t="s">
        <v>72</v>
      </c>
      <c r="N232" s="5"/>
      <c r="O232" t="str">
        <f t="shared" si="3"/>
        <v/>
      </c>
    </row>
    <row r="233" spans="1:15" x14ac:dyDescent="0.25">
      <c r="A233" t="s">
        <v>1323</v>
      </c>
      <c r="B233" t="s">
        <v>1324</v>
      </c>
      <c r="C233" t="s">
        <v>1325</v>
      </c>
      <c r="D233">
        <v>2026</v>
      </c>
      <c r="E233" t="s">
        <v>56</v>
      </c>
      <c r="F233" t="s">
        <v>67</v>
      </c>
      <c r="G233" t="s">
        <v>1326</v>
      </c>
      <c r="H233" t="s">
        <v>1327</v>
      </c>
      <c r="I233" t="s">
        <v>1328</v>
      </c>
      <c r="J233" t="s">
        <v>71</v>
      </c>
      <c r="K233" t="s">
        <v>18</v>
      </c>
      <c r="L233" t="s">
        <v>72</v>
      </c>
      <c r="M233" t="s">
        <v>72</v>
      </c>
      <c r="N233" s="5"/>
      <c r="O233" t="str">
        <f t="shared" si="3"/>
        <v/>
      </c>
    </row>
    <row r="234" spans="1:15" x14ac:dyDescent="0.25">
      <c r="A234" t="s">
        <v>1329</v>
      </c>
      <c r="B234" t="s">
        <v>1330</v>
      </c>
      <c r="C234" t="s">
        <v>571</v>
      </c>
      <c r="D234">
        <v>2026</v>
      </c>
      <c r="E234" t="s">
        <v>56</v>
      </c>
      <c r="F234" t="s">
        <v>67</v>
      </c>
      <c r="G234" t="s">
        <v>679</v>
      </c>
      <c r="H234" t="s">
        <v>1331</v>
      </c>
      <c r="I234" t="s">
        <v>1332</v>
      </c>
      <c r="J234" t="s">
        <v>71</v>
      </c>
      <c r="K234" t="s">
        <v>18</v>
      </c>
      <c r="L234" t="s">
        <v>72</v>
      </c>
      <c r="M234" t="s">
        <v>72</v>
      </c>
      <c r="N234" s="5"/>
      <c r="O234" t="str">
        <f t="shared" si="3"/>
        <v/>
      </c>
    </row>
    <row r="235" spans="1:15" x14ac:dyDescent="0.25">
      <c r="A235" t="s">
        <v>1333</v>
      </c>
      <c r="B235" t="s">
        <v>1334</v>
      </c>
      <c r="C235" t="s">
        <v>117</v>
      </c>
      <c r="D235">
        <v>2026</v>
      </c>
      <c r="E235" t="s">
        <v>56</v>
      </c>
      <c r="F235" t="s">
        <v>67</v>
      </c>
      <c r="G235" t="s">
        <v>679</v>
      </c>
      <c r="H235" t="s">
        <v>1335</v>
      </c>
      <c r="I235" t="s">
        <v>1336</v>
      </c>
      <c r="J235" t="s">
        <v>71</v>
      </c>
      <c r="K235" t="s">
        <v>18</v>
      </c>
      <c r="L235" t="s">
        <v>72</v>
      </c>
      <c r="M235" t="s">
        <v>72</v>
      </c>
      <c r="N235" s="5"/>
      <c r="O235" t="str">
        <f t="shared" si="3"/>
        <v/>
      </c>
    </row>
    <row r="236" spans="1:15" x14ac:dyDescent="0.25">
      <c r="A236" t="s">
        <v>1337</v>
      </c>
      <c r="B236" t="s">
        <v>1338</v>
      </c>
      <c r="C236" t="s">
        <v>95</v>
      </c>
      <c r="D236">
        <v>2026</v>
      </c>
      <c r="E236" t="s">
        <v>56</v>
      </c>
      <c r="F236" t="s">
        <v>57</v>
      </c>
      <c r="G236" t="s">
        <v>596</v>
      </c>
      <c r="H236" t="s">
        <v>1339</v>
      </c>
      <c r="I236" t="s">
        <v>1340</v>
      </c>
      <c r="J236" t="s">
        <v>79</v>
      </c>
      <c r="K236" t="s">
        <v>80</v>
      </c>
      <c r="L236" t="s">
        <v>72</v>
      </c>
      <c r="M236" t="s">
        <v>72</v>
      </c>
      <c r="N236" s="5"/>
      <c r="O236" t="str">
        <f t="shared" si="3"/>
        <v/>
      </c>
    </row>
    <row r="237" spans="1:15" x14ac:dyDescent="0.25">
      <c r="A237" t="s">
        <v>1341</v>
      </c>
      <c r="B237" t="s">
        <v>1342</v>
      </c>
      <c r="C237" t="s">
        <v>1343</v>
      </c>
      <c r="D237">
        <v>2026</v>
      </c>
      <c r="E237" t="s">
        <v>56</v>
      </c>
      <c r="F237" t="s">
        <v>57</v>
      </c>
      <c r="G237" t="s">
        <v>291</v>
      </c>
      <c r="H237" t="s">
        <v>1344</v>
      </c>
      <c r="I237" t="s">
        <v>1345</v>
      </c>
      <c r="J237" t="s">
        <v>87</v>
      </c>
      <c r="K237" t="s">
        <v>19</v>
      </c>
      <c r="L237" t="s">
        <v>72</v>
      </c>
      <c r="M237" t="s">
        <v>72</v>
      </c>
      <c r="N237" s="5"/>
      <c r="O237" t="str">
        <f t="shared" si="3"/>
        <v/>
      </c>
    </row>
    <row r="238" spans="1:15" x14ac:dyDescent="0.25">
      <c r="A238" t="s">
        <v>1346</v>
      </c>
      <c r="B238" t="s">
        <v>1347</v>
      </c>
      <c r="C238" t="s">
        <v>1348</v>
      </c>
      <c r="D238">
        <v>2026</v>
      </c>
      <c r="E238" t="s">
        <v>56</v>
      </c>
      <c r="F238" t="s">
        <v>57</v>
      </c>
      <c r="G238" t="s">
        <v>1349</v>
      </c>
      <c r="H238" t="s">
        <v>1350</v>
      </c>
      <c r="I238" t="s">
        <v>1351</v>
      </c>
      <c r="J238" t="s">
        <v>71</v>
      </c>
      <c r="K238" t="s">
        <v>18</v>
      </c>
      <c r="L238" t="s">
        <v>72</v>
      </c>
      <c r="M238" t="s">
        <v>72</v>
      </c>
      <c r="N238" s="5"/>
      <c r="O238" t="str">
        <f t="shared" si="3"/>
        <v/>
      </c>
    </row>
    <row r="239" spans="1:15" x14ac:dyDescent="0.25">
      <c r="A239" t="s">
        <v>1352</v>
      </c>
      <c r="B239" t="s">
        <v>1353</v>
      </c>
      <c r="C239" t="s">
        <v>1354</v>
      </c>
      <c r="D239">
        <v>2026</v>
      </c>
      <c r="E239" t="s">
        <v>56</v>
      </c>
      <c r="F239" t="s">
        <v>57</v>
      </c>
      <c r="G239" t="s">
        <v>750</v>
      </c>
      <c r="H239" t="s">
        <v>1355</v>
      </c>
      <c r="I239" t="s">
        <v>1356</v>
      </c>
      <c r="J239" t="s">
        <v>98</v>
      </c>
      <c r="K239" t="s">
        <v>99</v>
      </c>
      <c r="L239" t="s">
        <v>63</v>
      </c>
      <c r="M239" t="s">
        <v>72</v>
      </c>
      <c r="N239" s="5"/>
      <c r="O239" t="str">
        <f t="shared" si="3"/>
        <v/>
      </c>
    </row>
    <row r="240" spans="1:15" x14ac:dyDescent="0.25">
      <c r="A240" t="s">
        <v>1357</v>
      </c>
      <c r="B240" t="s">
        <v>1358</v>
      </c>
      <c r="C240" t="s">
        <v>1359</v>
      </c>
      <c r="D240">
        <v>2026</v>
      </c>
      <c r="E240" t="s">
        <v>56</v>
      </c>
      <c r="F240" t="s">
        <v>57</v>
      </c>
      <c r="G240" t="s">
        <v>788</v>
      </c>
      <c r="H240" t="s">
        <v>1360</v>
      </c>
      <c r="I240" t="s">
        <v>1361</v>
      </c>
      <c r="J240" t="s">
        <v>87</v>
      </c>
      <c r="K240" t="s">
        <v>19</v>
      </c>
      <c r="L240" t="s">
        <v>72</v>
      </c>
      <c r="M240" t="s">
        <v>72</v>
      </c>
      <c r="N240" s="5"/>
      <c r="O240" t="str">
        <f t="shared" si="3"/>
        <v/>
      </c>
    </row>
    <row r="241" spans="1:15" x14ac:dyDescent="0.25">
      <c r="A241" t="s">
        <v>1362</v>
      </c>
      <c r="B241" t="s">
        <v>1363</v>
      </c>
      <c r="C241" t="s">
        <v>1364</v>
      </c>
      <c r="D241">
        <v>2026</v>
      </c>
      <c r="E241" t="s">
        <v>56</v>
      </c>
      <c r="F241" t="s">
        <v>57</v>
      </c>
      <c r="G241" t="s">
        <v>1141</v>
      </c>
      <c r="H241" t="s">
        <v>1365</v>
      </c>
      <c r="I241" t="s">
        <v>1366</v>
      </c>
      <c r="J241" t="s">
        <v>87</v>
      </c>
      <c r="K241" t="s">
        <v>19</v>
      </c>
      <c r="L241" t="s">
        <v>72</v>
      </c>
      <c r="M241" t="s">
        <v>72</v>
      </c>
      <c r="N241" s="5"/>
      <c r="O241" t="str">
        <f t="shared" si="3"/>
        <v/>
      </c>
    </row>
    <row r="242" spans="1:15" x14ac:dyDescent="0.25">
      <c r="A242" t="s">
        <v>1367</v>
      </c>
      <c r="B242" t="s">
        <v>1368</v>
      </c>
      <c r="C242" t="s">
        <v>1369</v>
      </c>
      <c r="D242">
        <v>2026</v>
      </c>
      <c r="E242" t="s">
        <v>56</v>
      </c>
      <c r="F242" t="s">
        <v>67</v>
      </c>
      <c r="G242" t="s">
        <v>679</v>
      </c>
      <c r="H242" t="s">
        <v>1370</v>
      </c>
      <c r="I242" t="s">
        <v>1371</v>
      </c>
      <c r="J242" t="s">
        <v>71</v>
      </c>
      <c r="K242" t="s">
        <v>18</v>
      </c>
      <c r="L242" t="s">
        <v>72</v>
      </c>
      <c r="M242" t="s">
        <v>72</v>
      </c>
      <c r="N242" s="5"/>
      <c r="O242" t="str">
        <f t="shared" si="3"/>
        <v/>
      </c>
    </row>
    <row r="243" spans="1:15" x14ac:dyDescent="0.25">
      <c r="A243" t="s">
        <v>1372</v>
      </c>
      <c r="B243" t="s">
        <v>1373</v>
      </c>
      <c r="C243" t="s">
        <v>1374</v>
      </c>
      <c r="D243">
        <v>2026</v>
      </c>
      <c r="E243" t="s">
        <v>56</v>
      </c>
      <c r="F243" t="s">
        <v>67</v>
      </c>
      <c r="G243" t="s">
        <v>151</v>
      </c>
      <c r="H243" t="s">
        <v>1375</v>
      </c>
      <c r="I243" t="s">
        <v>1376</v>
      </c>
      <c r="J243" t="s">
        <v>71</v>
      </c>
      <c r="K243" t="s">
        <v>18</v>
      </c>
      <c r="L243" t="s">
        <v>72</v>
      </c>
      <c r="M243" t="s">
        <v>72</v>
      </c>
      <c r="N243" s="5"/>
      <c r="O243" t="str">
        <f t="shared" si="3"/>
        <v/>
      </c>
    </row>
    <row r="244" spans="1:15" x14ac:dyDescent="0.25">
      <c r="A244" t="s">
        <v>1377</v>
      </c>
      <c r="B244" t="s">
        <v>1378</v>
      </c>
      <c r="C244" t="s">
        <v>428</v>
      </c>
      <c r="D244">
        <v>2026</v>
      </c>
      <c r="E244" t="s">
        <v>56</v>
      </c>
      <c r="F244" t="s">
        <v>67</v>
      </c>
      <c r="G244" t="s">
        <v>1124</v>
      </c>
      <c r="H244" t="s">
        <v>1379</v>
      </c>
      <c r="I244" t="s">
        <v>1380</v>
      </c>
      <c r="J244" t="s">
        <v>71</v>
      </c>
      <c r="K244" t="s">
        <v>18</v>
      </c>
      <c r="L244" t="s">
        <v>72</v>
      </c>
      <c r="M244" t="s">
        <v>72</v>
      </c>
      <c r="N244" s="5"/>
      <c r="O244" t="str">
        <f t="shared" si="3"/>
        <v/>
      </c>
    </row>
    <row r="245" spans="1:15" x14ac:dyDescent="0.25">
      <c r="A245" t="s">
        <v>1381</v>
      </c>
      <c r="B245" t="s">
        <v>1382</v>
      </c>
      <c r="C245" t="s">
        <v>205</v>
      </c>
      <c r="D245">
        <v>2026</v>
      </c>
      <c r="E245" t="s">
        <v>56</v>
      </c>
      <c r="F245" t="s">
        <v>67</v>
      </c>
      <c r="G245" t="s">
        <v>556</v>
      </c>
      <c r="H245" t="s">
        <v>1383</v>
      </c>
      <c r="I245" t="s">
        <v>1384</v>
      </c>
      <c r="J245" t="s">
        <v>71</v>
      </c>
      <c r="K245" t="s">
        <v>18</v>
      </c>
      <c r="L245" t="s">
        <v>72</v>
      </c>
      <c r="M245" t="s">
        <v>72</v>
      </c>
      <c r="N245" s="5"/>
      <c r="O245" t="str">
        <f t="shared" si="3"/>
        <v/>
      </c>
    </row>
    <row r="246" spans="1:15" x14ac:dyDescent="0.25">
      <c r="A246" t="s">
        <v>1385</v>
      </c>
      <c r="B246" t="s">
        <v>1386</v>
      </c>
      <c r="C246" t="s">
        <v>1387</v>
      </c>
      <c r="D246">
        <v>2026</v>
      </c>
      <c r="E246" t="s">
        <v>56</v>
      </c>
      <c r="F246" t="s">
        <v>67</v>
      </c>
      <c r="G246" t="s">
        <v>212</v>
      </c>
      <c r="H246" t="s">
        <v>1388</v>
      </c>
      <c r="I246" t="s">
        <v>1389</v>
      </c>
      <c r="J246" t="s">
        <v>71</v>
      </c>
      <c r="K246" t="s">
        <v>18</v>
      </c>
      <c r="L246" t="s">
        <v>72</v>
      </c>
      <c r="M246" t="s">
        <v>72</v>
      </c>
      <c r="N246" s="5"/>
      <c r="O246" t="str">
        <f t="shared" si="3"/>
        <v/>
      </c>
    </row>
    <row r="247" spans="1:15" x14ac:dyDescent="0.25">
      <c r="A247" t="s">
        <v>1390</v>
      </c>
      <c r="B247" t="s">
        <v>1391</v>
      </c>
      <c r="C247" t="s">
        <v>1392</v>
      </c>
      <c r="D247">
        <v>2026</v>
      </c>
      <c r="E247" t="s">
        <v>56</v>
      </c>
      <c r="F247" t="s">
        <v>67</v>
      </c>
      <c r="G247" t="s">
        <v>1055</v>
      </c>
      <c r="H247" t="s">
        <v>1393</v>
      </c>
      <c r="I247" t="s">
        <v>1394</v>
      </c>
      <c r="J247" t="s">
        <v>79</v>
      </c>
      <c r="K247" t="s">
        <v>80</v>
      </c>
      <c r="L247" t="s">
        <v>72</v>
      </c>
      <c r="M247" t="s">
        <v>72</v>
      </c>
      <c r="N247" s="5"/>
      <c r="O247" t="str">
        <f t="shared" si="3"/>
        <v/>
      </c>
    </row>
    <row r="248" spans="1:15" x14ac:dyDescent="0.25">
      <c r="A248" t="s">
        <v>1395</v>
      </c>
      <c r="B248" t="s">
        <v>1396</v>
      </c>
      <c r="C248" t="s">
        <v>1387</v>
      </c>
      <c r="D248">
        <v>2026</v>
      </c>
      <c r="E248" t="s">
        <v>56</v>
      </c>
      <c r="F248" t="s">
        <v>67</v>
      </c>
      <c r="G248" t="s">
        <v>1397</v>
      </c>
      <c r="H248" t="s">
        <v>1398</v>
      </c>
      <c r="I248" t="s">
        <v>1399</v>
      </c>
      <c r="J248" t="s">
        <v>71</v>
      </c>
      <c r="K248" t="s">
        <v>18</v>
      </c>
      <c r="L248" t="s">
        <v>72</v>
      </c>
      <c r="M248" t="s">
        <v>72</v>
      </c>
      <c r="N248" s="5"/>
      <c r="O248" t="str">
        <f t="shared" si="3"/>
        <v/>
      </c>
    </row>
    <row r="249" spans="1:15" x14ac:dyDescent="0.25">
      <c r="A249" t="s">
        <v>1400</v>
      </c>
      <c r="B249" t="s">
        <v>1401</v>
      </c>
      <c r="C249" t="s">
        <v>1402</v>
      </c>
      <c r="D249">
        <v>2026</v>
      </c>
      <c r="E249" t="s">
        <v>56</v>
      </c>
      <c r="F249" t="s">
        <v>67</v>
      </c>
      <c r="G249" t="s">
        <v>1403</v>
      </c>
      <c r="H249" t="s">
        <v>1404</v>
      </c>
      <c r="I249" t="s">
        <v>1405</v>
      </c>
      <c r="J249" t="s">
        <v>71</v>
      </c>
      <c r="K249" t="s">
        <v>18</v>
      </c>
      <c r="L249" t="s">
        <v>72</v>
      </c>
      <c r="M249" t="s">
        <v>72</v>
      </c>
      <c r="N249" s="5"/>
      <c r="O249" t="str">
        <f t="shared" si="3"/>
        <v/>
      </c>
    </row>
    <row r="250" spans="1:15" x14ac:dyDescent="0.25">
      <c r="A250" t="s">
        <v>1406</v>
      </c>
      <c r="B250" t="s">
        <v>1407</v>
      </c>
      <c r="C250" t="s">
        <v>1408</v>
      </c>
      <c r="D250">
        <v>2026</v>
      </c>
      <c r="E250" t="s">
        <v>56</v>
      </c>
      <c r="F250" t="s">
        <v>67</v>
      </c>
      <c r="G250" t="s">
        <v>1409</v>
      </c>
      <c r="H250" t="s">
        <v>1410</v>
      </c>
      <c r="I250" t="s">
        <v>1411</v>
      </c>
      <c r="J250" t="s">
        <v>79</v>
      </c>
      <c r="K250" t="s">
        <v>80</v>
      </c>
      <c r="L250" t="s">
        <v>72</v>
      </c>
      <c r="M250" t="s">
        <v>72</v>
      </c>
      <c r="N250" s="5"/>
      <c r="O250" t="str">
        <f t="shared" si="3"/>
        <v/>
      </c>
    </row>
    <row r="251" spans="1:15" x14ac:dyDescent="0.25">
      <c r="A251" t="s">
        <v>1412</v>
      </c>
      <c r="B251" t="s">
        <v>1413</v>
      </c>
      <c r="C251" t="s">
        <v>1414</v>
      </c>
      <c r="D251">
        <v>2026</v>
      </c>
      <c r="E251" t="s">
        <v>56</v>
      </c>
      <c r="F251" t="s">
        <v>57</v>
      </c>
      <c r="G251" t="s">
        <v>1415</v>
      </c>
      <c r="H251" t="s">
        <v>1416</v>
      </c>
      <c r="I251" t="s">
        <v>1417</v>
      </c>
      <c r="J251" t="s">
        <v>98</v>
      </c>
      <c r="K251" t="s">
        <v>99</v>
      </c>
      <c r="L251" t="s">
        <v>63</v>
      </c>
      <c r="M251" t="s">
        <v>72</v>
      </c>
      <c r="N251" s="5"/>
      <c r="O251" t="str">
        <f t="shared" si="3"/>
        <v/>
      </c>
    </row>
    <row r="252" spans="1:15" x14ac:dyDescent="0.25">
      <c r="A252" t="s">
        <v>1418</v>
      </c>
      <c r="B252" t="s">
        <v>1419</v>
      </c>
      <c r="C252" t="s">
        <v>852</v>
      </c>
      <c r="D252">
        <v>2026</v>
      </c>
      <c r="E252" t="s">
        <v>56</v>
      </c>
      <c r="F252" t="s">
        <v>57</v>
      </c>
      <c r="G252" t="s">
        <v>302</v>
      </c>
      <c r="H252" t="s">
        <v>1420</v>
      </c>
      <c r="I252" t="s">
        <v>1421</v>
      </c>
      <c r="J252" t="s">
        <v>71</v>
      </c>
      <c r="K252" t="s">
        <v>18</v>
      </c>
      <c r="L252" t="s">
        <v>72</v>
      </c>
      <c r="M252" t="s">
        <v>72</v>
      </c>
      <c r="N252" s="5"/>
      <c r="O252" t="str">
        <f t="shared" si="3"/>
        <v/>
      </c>
    </row>
    <row r="253" spans="1:15" x14ac:dyDescent="0.25">
      <c r="A253" t="s">
        <v>1422</v>
      </c>
      <c r="B253" t="s">
        <v>1423</v>
      </c>
      <c r="C253" t="s">
        <v>1424</v>
      </c>
      <c r="D253">
        <v>2026</v>
      </c>
      <c r="E253" t="s">
        <v>56</v>
      </c>
      <c r="F253" t="s">
        <v>57</v>
      </c>
      <c r="G253" t="s">
        <v>1425</v>
      </c>
      <c r="H253" t="s">
        <v>1426</v>
      </c>
      <c r="I253" t="s">
        <v>1427</v>
      </c>
      <c r="J253" t="s">
        <v>79</v>
      </c>
      <c r="K253" t="s">
        <v>80</v>
      </c>
      <c r="L253" t="s">
        <v>72</v>
      </c>
      <c r="M253" t="s">
        <v>72</v>
      </c>
      <c r="N253" s="5"/>
      <c r="O253" t="str">
        <f t="shared" si="3"/>
        <v/>
      </c>
    </row>
    <row r="254" spans="1:15" x14ac:dyDescent="0.25">
      <c r="A254" t="s">
        <v>1428</v>
      </c>
      <c r="B254" t="s">
        <v>1429</v>
      </c>
      <c r="C254" t="s">
        <v>1430</v>
      </c>
      <c r="D254">
        <v>2026</v>
      </c>
      <c r="E254" t="s">
        <v>56</v>
      </c>
      <c r="F254" t="s">
        <v>57</v>
      </c>
      <c r="G254" t="s">
        <v>1431</v>
      </c>
      <c r="H254" t="s">
        <v>1432</v>
      </c>
      <c r="I254" t="s">
        <v>1433</v>
      </c>
      <c r="J254" t="s">
        <v>87</v>
      </c>
      <c r="K254" t="s">
        <v>19</v>
      </c>
      <c r="L254" t="s">
        <v>72</v>
      </c>
      <c r="M254" t="s">
        <v>72</v>
      </c>
      <c r="N254" s="5"/>
      <c r="O254" t="str">
        <f t="shared" si="3"/>
        <v/>
      </c>
    </row>
    <row r="255" spans="1:15" x14ac:dyDescent="0.25">
      <c r="A255" t="s">
        <v>1434</v>
      </c>
      <c r="B255" t="s">
        <v>1435</v>
      </c>
      <c r="C255" t="s">
        <v>1436</v>
      </c>
      <c r="D255">
        <v>2026</v>
      </c>
      <c r="E255" t="s">
        <v>56</v>
      </c>
      <c r="F255" t="s">
        <v>67</v>
      </c>
      <c r="G255" t="s">
        <v>1437</v>
      </c>
      <c r="H255" t="s">
        <v>1438</v>
      </c>
      <c r="I255" t="s">
        <v>1439</v>
      </c>
      <c r="J255" t="s">
        <v>71</v>
      </c>
      <c r="K255" t="s">
        <v>18</v>
      </c>
      <c r="L255" t="s">
        <v>72</v>
      </c>
      <c r="M255" t="s">
        <v>72</v>
      </c>
      <c r="N255" s="5"/>
      <c r="O255" t="str">
        <f t="shared" si="3"/>
        <v/>
      </c>
    </row>
    <row r="256" spans="1:15" x14ac:dyDescent="0.25">
      <c r="A256" t="s">
        <v>1440</v>
      </c>
      <c r="B256" t="s">
        <v>1441</v>
      </c>
      <c r="C256" t="s">
        <v>1442</v>
      </c>
      <c r="D256">
        <v>2026</v>
      </c>
      <c r="E256" t="s">
        <v>56</v>
      </c>
      <c r="F256" t="s">
        <v>57</v>
      </c>
      <c r="G256" t="s">
        <v>1443</v>
      </c>
      <c r="H256" t="s">
        <v>1444</v>
      </c>
      <c r="I256" t="s">
        <v>1445</v>
      </c>
      <c r="J256" t="s">
        <v>79</v>
      </c>
      <c r="K256" t="s">
        <v>80</v>
      </c>
      <c r="L256" t="s">
        <v>72</v>
      </c>
      <c r="M256" t="s">
        <v>72</v>
      </c>
      <c r="N256" s="5"/>
      <c r="O256" t="str">
        <f t="shared" si="3"/>
        <v/>
      </c>
    </row>
    <row r="257" spans="1:15" x14ac:dyDescent="0.25">
      <c r="A257" t="s">
        <v>1446</v>
      </c>
      <c r="B257" t="s">
        <v>1447</v>
      </c>
      <c r="C257" t="s">
        <v>1448</v>
      </c>
      <c r="D257">
        <v>2026</v>
      </c>
      <c r="E257" t="s">
        <v>56</v>
      </c>
      <c r="F257" t="s">
        <v>57</v>
      </c>
      <c r="G257" t="s">
        <v>1449</v>
      </c>
      <c r="H257" t="s">
        <v>1450</v>
      </c>
      <c r="I257" t="s">
        <v>1451</v>
      </c>
      <c r="J257" t="s">
        <v>71</v>
      </c>
      <c r="K257" t="s">
        <v>18</v>
      </c>
      <c r="L257" t="s">
        <v>72</v>
      </c>
      <c r="M257" t="s">
        <v>72</v>
      </c>
      <c r="N257" s="5"/>
      <c r="O257" t="str">
        <f t="shared" si="3"/>
        <v/>
      </c>
    </row>
    <row r="258" spans="1:15" x14ac:dyDescent="0.25">
      <c r="A258" t="s">
        <v>1452</v>
      </c>
      <c r="B258" t="s">
        <v>1453</v>
      </c>
      <c r="C258" t="s">
        <v>1454</v>
      </c>
      <c r="D258">
        <v>2026</v>
      </c>
      <c r="E258" t="s">
        <v>56</v>
      </c>
      <c r="F258" t="s">
        <v>67</v>
      </c>
      <c r="G258" t="s">
        <v>84</v>
      </c>
      <c r="H258" t="s">
        <v>1455</v>
      </c>
      <c r="I258" t="s">
        <v>1456</v>
      </c>
      <c r="J258" t="s">
        <v>79</v>
      </c>
      <c r="K258" t="s">
        <v>80</v>
      </c>
      <c r="L258" t="s">
        <v>72</v>
      </c>
      <c r="M258" t="s">
        <v>72</v>
      </c>
      <c r="N258" s="5"/>
      <c r="O258" t="str">
        <f t="shared" ref="O258:O321" si="4">IF(N258="","",IF(N258=J258,1,0))</f>
        <v/>
      </c>
    </row>
    <row r="259" spans="1:15" x14ac:dyDescent="0.25">
      <c r="A259" t="s">
        <v>1457</v>
      </c>
      <c r="B259" t="s">
        <v>1458</v>
      </c>
      <c r="C259" t="s">
        <v>1459</v>
      </c>
      <c r="D259">
        <v>2026</v>
      </c>
      <c r="E259" t="s">
        <v>56</v>
      </c>
      <c r="F259" t="s">
        <v>57</v>
      </c>
      <c r="G259" t="s">
        <v>1460</v>
      </c>
      <c r="H259" t="s">
        <v>1461</v>
      </c>
      <c r="I259" t="s">
        <v>1462</v>
      </c>
      <c r="J259" t="s">
        <v>87</v>
      </c>
      <c r="K259" t="s">
        <v>19</v>
      </c>
      <c r="L259" t="s">
        <v>72</v>
      </c>
      <c r="M259" t="s">
        <v>72</v>
      </c>
      <c r="N259" s="5"/>
      <c r="O259" t="str">
        <f t="shared" si="4"/>
        <v/>
      </c>
    </row>
    <row r="260" spans="1:15" x14ac:dyDescent="0.25">
      <c r="A260" t="s">
        <v>1463</v>
      </c>
      <c r="B260" t="s">
        <v>1464</v>
      </c>
      <c r="C260" t="s">
        <v>1465</v>
      </c>
      <c r="D260">
        <v>2026</v>
      </c>
      <c r="E260" t="s">
        <v>56</v>
      </c>
      <c r="F260" t="s">
        <v>57</v>
      </c>
      <c r="G260" t="s">
        <v>1466</v>
      </c>
      <c r="H260" t="s">
        <v>1467</v>
      </c>
      <c r="I260" t="s">
        <v>1468</v>
      </c>
      <c r="J260" t="s">
        <v>87</v>
      </c>
      <c r="K260" t="s">
        <v>19</v>
      </c>
      <c r="L260" t="s">
        <v>72</v>
      </c>
      <c r="M260" t="s">
        <v>72</v>
      </c>
      <c r="N260" s="5"/>
      <c r="O260" t="str">
        <f t="shared" si="4"/>
        <v/>
      </c>
    </row>
    <row r="261" spans="1:15" x14ac:dyDescent="0.25">
      <c r="A261" t="s">
        <v>1469</v>
      </c>
      <c r="B261" t="s">
        <v>1470</v>
      </c>
      <c r="C261" t="s">
        <v>1471</v>
      </c>
      <c r="D261">
        <v>2026</v>
      </c>
      <c r="E261" t="s">
        <v>56</v>
      </c>
      <c r="F261" t="s">
        <v>57</v>
      </c>
      <c r="G261" t="s">
        <v>1472</v>
      </c>
      <c r="H261" t="s">
        <v>1473</v>
      </c>
      <c r="I261" t="s">
        <v>1474</v>
      </c>
      <c r="J261" t="s">
        <v>79</v>
      </c>
      <c r="K261" t="s">
        <v>80</v>
      </c>
      <c r="L261" t="s">
        <v>72</v>
      </c>
      <c r="M261" t="s">
        <v>72</v>
      </c>
      <c r="N261" s="5"/>
      <c r="O261" t="str">
        <f t="shared" si="4"/>
        <v/>
      </c>
    </row>
    <row r="262" spans="1:15" x14ac:dyDescent="0.25">
      <c r="A262" t="s">
        <v>1475</v>
      </c>
      <c r="B262" t="s">
        <v>1476</v>
      </c>
      <c r="C262" t="s">
        <v>1477</v>
      </c>
      <c r="D262">
        <v>2026</v>
      </c>
      <c r="E262" t="s">
        <v>56</v>
      </c>
      <c r="F262" t="s">
        <v>67</v>
      </c>
      <c r="G262" t="s">
        <v>188</v>
      </c>
      <c r="H262" t="s">
        <v>1478</v>
      </c>
      <c r="I262" t="s">
        <v>1479</v>
      </c>
      <c r="J262" t="s">
        <v>71</v>
      </c>
      <c r="K262" t="s">
        <v>18</v>
      </c>
      <c r="L262" t="s">
        <v>72</v>
      </c>
      <c r="M262" t="s">
        <v>72</v>
      </c>
      <c r="N262" s="5"/>
      <c r="O262" t="str">
        <f t="shared" si="4"/>
        <v/>
      </c>
    </row>
    <row r="263" spans="1:15" x14ac:dyDescent="0.25">
      <c r="A263" t="s">
        <v>1480</v>
      </c>
      <c r="B263" t="s">
        <v>1481</v>
      </c>
      <c r="C263" t="s">
        <v>571</v>
      </c>
      <c r="D263">
        <v>2026</v>
      </c>
      <c r="E263" t="s">
        <v>56</v>
      </c>
      <c r="F263" t="s">
        <v>67</v>
      </c>
      <c r="G263" t="s">
        <v>679</v>
      </c>
      <c r="H263" t="s">
        <v>1482</v>
      </c>
      <c r="I263" t="s">
        <v>1483</v>
      </c>
      <c r="J263" t="s">
        <v>87</v>
      </c>
      <c r="K263" t="s">
        <v>19</v>
      </c>
      <c r="L263" t="s">
        <v>72</v>
      </c>
      <c r="M263" t="s">
        <v>72</v>
      </c>
      <c r="N263" s="5"/>
      <c r="O263" t="str">
        <f t="shared" si="4"/>
        <v/>
      </c>
    </row>
    <row r="264" spans="1:15" x14ac:dyDescent="0.25">
      <c r="A264" t="s">
        <v>1484</v>
      </c>
      <c r="B264" t="s">
        <v>1485</v>
      </c>
      <c r="C264" t="s">
        <v>1486</v>
      </c>
      <c r="D264">
        <v>2026</v>
      </c>
      <c r="E264" t="s">
        <v>56</v>
      </c>
      <c r="F264" t="s">
        <v>67</v>
      </c>
      <c r="G264" t="s">
        <v>713</v>
      </c>
      <c r="H264" t="s">
        <v>1487</v>
      </c>
      <c r="I264" t="s">
        <v>1488</v>
      </c>
      <c r="J264" t="s">
        <v>79</v>
      </c>
      <c r="K264" t="s">
        <v>80</v>
      </c>
      <c r="L264" t="s">
        <v>72</v>
      </c>
      <c r="M264" t="s">
        <v>72</v>
      </c>
      <c r="N264" s="5"/>
      <c r="O264" t="str">
        <f t="shared" si="4"/>
        <v/>
      </c>
    </row>
    <row r="265" spans="1:15" x14ac:dyDescent="0.25">
      <c r="A265" t="s">
        <v>1489</v>
      </c>
      <c r="B265" t="s">
        <v>1490</v>
      </c>
      <c r="C265" t="s">
        <v>452</v>
      </c>
      <c r="D265">
        <v>2026</v>
      </c>
      <c r="E265" t="s">
        <v>56</v>
      </c>
      <c r="F265" t="s">
        <v>67</v>
      </c>
      <c r="G265" t="s">
        <v>1491</v>
      </c>
      <c r="H265" t="s">
        <v>1492</v>
      </c>
      <c r="I265" t="s">
        <v>1493</v>
      </c>
      <c r="J265" t="s">
        <v>71</v>
      </c>
      <c r="K265" t="s">
        <v>18</v>
      </c>
      <c r="L265" t="s">
        <v>72</v>
      </c>
      <c r="M265" t="s">
        <v>72</v>
      </c>
      <c r="N265" s="5"/>
      <c r="O265" t="str">
        <f t="shared" si="4"/>
        <v/>
      </c>
    </row>
    <row r="266" spans="1:15" x14ac:dyDescent="0.25">
      <c r="A266" t="s">
        <v>1494</v>
      </c>
      <c r="B266" t="s">
        <v>1495</v>
      </c>
      <c r="C266" t="s">
        <v>1496</v>
      </c>
      <c r="D266">
        <v>2026</v>
      </c>
      <c r="E266" t="s">
        <v>56</v>
      </c>
      <c r="F266" t="s">
        <v>57</v>
      </c>
      <c r="G266" t="s">
        <v>1233</v>
      </c>
      <c r="H266" t="s">
        <v>1497</v>
      </c>
      <c r="I266" t="s">
        <v>1498</v>
      </c>
      <c r="J266" t="s">
        <v>71</v>
      </c>
      <c r="K266" t="s">
        <v>18</v>
      </c>
      <c r="L266" t="s">
        <v>72</v>
      </c>
      <c r="M266" t="s">
        <v>72</v>
      </c>
      <c r="N266" s="5"/>
      <c r="O266" t="str">
        <f t="shared" si="4"/>
        <v/>
      </c>
    </row>
    <row r="267" spans="1:15" x14ac:dyDescent="0.25">
      <c r="A267" t="s">
        <v>1499</v>
      </c>
      <c r="B267" t="s">
        <v>1500</v>
      </c>
      <c r="C267" t="s">
        <v>1501</v>
      </c>
      <c r="D267">
        <v>2026</v>
      </c>
      <c r="E267" t="s">
        <v>56</v>
      </c>
      <c r="F267" t="s">
        <v>57</v>
      </c>
      <c r="G267" t="s">
        <v>1502</v>
      </c>
      <c r="H267" t="s">
        <v>1503</v>
      </c>
      <c r="I267" t="s">
        <v>1504</v>
      </c>
      <c r="J267" t="s">
        <v>87</v>
      </c>
      <c r="K267" t="s">
        <v>19</v>
      </c>
      <c r="L267" t="s">
        <v>72</v>
      </c>
      <c r="M267" t="s">
        <v>72</v>
      </c>
      <c r="N267" s="5"/>
      <c r="O267" t="str">
        <f t="shared" si="4"/>
        <v/>
      </c>
    </row>
    <row r="268" spans="1:15" x14ac:dyDescent="0.25">
      <c r="A268" t="s">
        <v>1505</v>
      </c>
      <c r="B268" t="s">
        <v>1506</v>
      </c>
      <c r="C268" t="s">
        <v>571</v>
      </c>
      <c r="D268">
        <v>2026</v>
      </c>
      <c r="E268" t="s">
        <v>56</v>
      </c>
      <c r="F268" t="s">
        <v>67</v>
      </c>
      <c r="G268" t="s">
        <v>1007</v>
      </c>
      <c r="H268" t="s">
        <v>1507</v>
      </c>
      <c r="I268" t="s">
        <v>1508</v>
      </c>
      <c r="J268" t="s">
        <v>98</v>
      </c>
      <c r="K268" t="s">
        <v>99</v>
      </c>
      <c r="L268" t="s">
        <v>63</v>
      </c>
      <c r="M268" t="s">
        <v>72</v>
      </c>
      <c r="N268" s="5"/>
      <c r="O268" t="str">
        <f t="shared" si="4"/>
        <v/>
      </c>
    </row>
    <row r="269" spans="1:15" x14ac:dyDescent="0.25">
      <c r="A269" t="s">
        <v>1509</v>
      </c>
      <c r="B269" t="s">
        <v>1510</v>
      </c>
      <c r="C269" t="s">
        <v>1511</v>
      </c>
      <c r="D269">
        <v>2026</v>
      </c>
      <c r="E269" t="s">
        <v>56</v>
      </c>
      <c r="F269" t="s">
        <v>57</v>
      </c>
      <c r="G269" t="s">
        <v>162</v>
      </c>
      <c r="H269" t="s">
        <v>1512</v>
      </c>
      <c r="I269" t="s">
        <v>1513</v>
      </c>
      <c r="J269" t="s">
        <v>79</v>
      </c>
      <c r="K269" t="s">
        <v>80</v>
      </c>
      <c r="L269" t="s">
        <v>72</v>
      </c>
      <c r="M269" t="s">
        <v>72</v>
      </c>
      <c r="N269" s="5"/>
      <c r="O269" t="str">
        <f t="shared" si="4"/>
        <v/>
      </c>
    </row>
    <row r="270" spans="1:15" x14ac:dyDescent="0.25">
      <c r="A270" t="s">
        <v>1514</v>
      </c>
      <c r="B270" t="s">
        <v>1515</v>
      </c>
      <c r="C270" t="s">
        <v>1516</v>
      </c>
      <c r="D270">
        <v>2026</v>
      </c>
      <c r="E270" t="s">
        <v>56</v>
      </c>
      <c r="F270" t="s">
        <v>57</v>
      </c>
      <c r="G270" t="s">
        <v>1517</v>
      </c>
      <c r="H270" t="s">
        <v>1518</v>
      </c>
      <c r="I270" t="s">
        <v>1519</v>
      </c>
      <c r="J270" t="s">
        <v>61</v>
      </c>
      <c r="K270" t="s">
        <v>62</v>
      </c>
      <c r="L270" t="s">
        <v>63</v>
      </c>
      <c r="M270" t="s">
        <v>63</v>
      </c>
      <c r="N270" s="5"/>
      <c r="O270" t="str">
        <f t="shared" si="4"/>
        <v/>
      </c>
    </row>
    <row r="271" spans="1:15" x14ac:dyDescent="0.25">
      <c r="A271" t="s">
        <v>1520</v>
      </c>
      <c r="B271" t="s">
        <v>1521</v>
      </c>
      <c r="C271" t="s">
        <v>1522</v>
      </c>
      <c r="D271">
        <v>2026</v>
      </c>
      <c r="E271" t="s">
        <v>56</v>
      </c>
      <c r="F271" t="s">
        <v>67</v>
      </c>
      <c r="G271" t="s">
        <v>1007</v>
      </c>
      <c r="H271" t="s">
        <v>1523</v>
      </c>
      <c r="I271" t="s">
        <v>1524</v>
      </c>
      <c r="J271" t="s">
        <v>71</v>
      </c>
      <c r="K271" t="s">
        <v>18</v>
      </c>
      <c r="L271" t="s">
        <v>72</v>
      </c>
      <c r="M271" t="s">
        <v>72</v>
      </c>
      <c r="N271" s="5"/>
      <c r="O271" t="str">
        <f t="shared" si="4"/>
        <v/>
      </c>
    </row>
    <row r="272" spans="1:15" x14ac:dyDescent="0.25">
      <c r="A272" t="s">
        <v>1525</v>
      </c>
      <c r="B272" t="s">
        <v>1526</v>
      </c>
      <c r="C272" t="s">
        <v>1527</v>
      </c>
      <c r="D272">
        <v>2026</v>
      </c>
      <c r="E272" t="s">
        <v>56</v>
      </c>
      <c r="F272" t="s">
        <v>67</v>
      </c>
      <c r="G272" t="s">
        <v>679</v>
      </c>
      <c r="H272" t="s">
        <v>1528</v>
      </c>
      <c r="I272" t="s">
        <v>1529</v>
      </c>
      <c r="J272" t="s">
        <v>87</v>
      </c>
      <c r="K272" t="s">
        <v>19</v>
      </c>
      <c r="L272" t="s">
        <v>72</v>
      </c>
      <c r="M272" t="s">
        <v>72</v>
      </c>
      <c r="N272" s="5"/>
      <c r="O272" t="str">
        <f t="shared" si="4"/>
        <v/>
      </c>
    </row>
    <row r="273" spans="1:15" x14ac:dyDescent="0.25">
      <c r="A273" t="s">
        <v>1530</v>
      </c>
      <c r="B273" t="s">
        <v>1531</v>
      </c>
      <c r="C273" t="s">
        <v>1532</v>
      </c>
      <c r="D273">
        <v>2026</v>
      </c>
      <c r="E273" t="s">
        <v>56</v>
      </c>
      <c r="F273" t="s">
        <v>67</v>
      </c>
      <c r="G273" t="s">
        <v>1533</v>
      </c>
      <c r="H273" t="s">
        <v>1534</v>
      </c>
      <c r="I273" t="s">
        <v>1535</v>
      </c>
      <c r="J273" t="s">
        <v>87</v>
      </c>
      <c r="K273" t="s">
        <v>19</v>
      </c>
      <c r="L273" t="s">
        <v>72</v>
      </c>
      <c r="M273" t="s">
        <v>72</v>
      </c>
      <c r="N273" s="5"/>
      <c r="O273" t="str">
        <f t="shared" si="4"/>
        <v/>
      </c>
    </row>
    <row r="274" spans="1:15" x14ac:dyDescent="0.25">
      <c r="A274" t="s">
        <v>1536</v>
      </c>
      <c r="B274" t="s">
        <v>1537</v>
      </c>
      <c r="C274" t="s">
        <v>1538</v>
      </c>
      <c r="D274">
        <v>2026</v>
      </c>
      <c r="E274" t="s">
        <v>56</v>
      </c>
      <c r="F274" t="s">
        <v>67</v>
      </c>
      <c r="G274" t="s">
        <v>188</v>
      </c>
      <c r="H274" t="s">
        <v>1539</v>
      </c>
      <c r="I274" t="s">
        <v>1540</v>
      </c>
      <c r="J274" t="s">
        <v>71</v>
      </c>
      <c r="K274" t="s">
        <v>18</v>
      </c>
      <c r="L274" t="s">
        <v>72</v>
      </c>
      <c r="M274" t="s">
        <v>72</v>
      </c>
      <c r="N274" s="5"/>
      <c r="O274" t="str">
        <f t="shared" si="4"/>
        <v/>
      </c>
    </row>
    <row r="275" spans="1:15" x14ac:dyDescent="0.25">
      <c r="A275" t="s">
        <v>1541</v>
      </c>
      <c r="B275" t="s">
        <v>1542</v>
      </c>
      <c r="C275" t="s">
        <v>1543</v>
      </c>
      <c r="D275">
        <v>2026</v>
      </c>
      <c r="E275" t="s">
        <v>56</v>
      </c>
      <c r="F275" t="s">
        <v>67</v>
      </c>
      <c r="G275" t="s">
        <v>84</v>
      </c>
      <c r="H275" t="s">
        <v>1544</v>
      </c>
      <c r="I275" t="s">
        <v>1545</v>
      </c>
      <c r="J275" t="s">
        <v>98</v>
      </c>
      <c r="K275" t="s">
        <v>99</v>
      </c>
      <c r="L275" t="s">
        <v>63</v>
      </c>
      <c r="M275" t="s">
        <v>72</v>
      </c>
      <c r="N275" s="5"/>
      <c r="O275" t="str">
        <f t="shared" si="4"/>
        <v/>
      </c>
    </row>
    <row r="276" spans="1:15" x14ac:dyDescent="0.25">
      <c r="A276" t="s">
        <v>1546</v>
      </c>
      <c r="B276" t="s">
        <v>1547</v>
      </c>
      <c r="C276" t="s">
        <v>384</v>
      </c>
      <c r="D276">
        <v>2026</v>
      </c>
      <c r="E276" t="s">
        <v>56</v>
      </c>
      <c r="F276" t="s">
        <v>67</v>
      </c>
      <c r="G276" t="s">
        <v>1548</v>
      </c>
      <c r="H276" t="s">
        <v>1549</v>
      </c>
      <c r="I276" t="s">
        <v>1550</v>
      </c>
      <c r="J276" t="s">
        <v>98</v>
      </c>
      <c r="K276" t="s">
        <v>99</v>
      </c>
      <c r="L276" t="s">
        <v>63</v>
      </c>
      <c r="M276" t="s">
        <v>72</v>
      </c>
      <c r="N276" s="5"/>
      <c r="O276" t="str">
        <f t="shared" si="4"/>
        <v/>
      </c>
    </row>
    <row r="277" spans="1:15" x14ac:dyDescent="0.25">
      <c r="A277" t="s">
        <v>1551</v>
      </c>
      <c r="B277" t="s">
        <v>1552</v>
      </c>
      <c r="C277" t="s">
        <v>1553</v>
      </c>
      <c r="D277">
        <v>2026</v>
      </c>
      <c r="E277" t="s">
        <v>56</v>
      </c>
      <c r="F277" t="s">
        <v>57</v>
      </c>
      <c r="G277" t="s">
        <v>1554</v>
      </c>
      <c r="H277" t="s">
        <v>1555</v>
      </c>
      <c r="I277" t="s">
        <v>1556</v>
      </c>
      <c r="J277" t="s">
        <v>79</v>
      </c>
      <c r="K277" t="s">
        <v>80</v>
      </c>
      <c r="L277" t="s">
        <v>72</v>
      </c>
      <c r="M277" t="s">
        <v>72</v>
      </c>
      <c r="N277" s="5"/>
      <c r="O277" t="str">
        <f t="shared" si="4"/>
        <v/>
      </c>
    </row>
    <row r="278" spans="1:15" x14ac:dyDescent="0.25">
      <c r="A278" t="s">
        <v>1557</v>
      </c>
      <c r="B278" t="s">
        <v>1558</v>
      </c>
      <c r="C278" t="s">
        <v>1553</v>
      </c>
      <c r="D278">
        <v>2026</v>
      </c>
      <c r="E278" t="s">
        <v>56</v>
      </c>
      <c r="F278" t="s">
        <v>57</v>
      </c>
      <c r="G278" t="s">
        <v>1559</v>
      </c>
      <c r="H278" t="s">
        <v>1555</v>
      </c>
      <c r="I278" t="s">
        <v>1560</v>
      </c>
      <c r="J278" t="s">
        <v>79</v>
      </c>
      <c r="K278" t="s">
        <v>80</v>
      </c>
      <c r="L278" t="s">
        <v>72</v>
      </c>
      <c r="M278" t="s">
        <v>72</v>
      </c>
      <c r="N278" s="5"/>
      <c r="O278" t="str">
        <f t="shared" si="4"/>
        <v/>
      </c>
    </row>
    <row r="279" spans="1:15" x14ac:dyDescent="0.25">
      <c r="A279" t="s">
        <v>1561</v>
      </c>
      <c r="B279" t="s">
        <v>1562</v>
      </c>
      <c r="C279" t="s">
        <v>1563</v>
      </c>
      <c r="D279">
        <v>2026</v>
      </c>
      <c r="E279" t="s">
        <v>56</v>
      </c>
      <c r="F279" t="s">
        <v>67</v>
      </c>
      <c r="G279" t="s">
        <v>772</v>
      </c>
      <c r="H279" t="s">
        <v>1564</v>
      </c>
      <c r="I279" t="s">
        <v>1565</v>
      </c>
      <c r="J279" t="s">
        <v>79</v>
      </c>
      <c r="K279" t="s">
        <v>80</v>
      </c>
      <c r="L279" t="s">
        <v>72</v>
      </c>
      <c r="M279" t="s">
        <v>72</v>
      </c>
      <c r="N279" s="5"/>
      <c r="O279" t="str">
        <f t="shared" si="4"/>
        <v/>
      </c>
    </row>
    <row r="280" spans="1:15" x14ac:dyDescent="0.25">
      <c r="A280" t="s">
        <v>1566</v>
      </c>
      <c r="B280" t="s">
        <v>1567</v>
      </c>
      <c r="C280" t="s">
        <v>1568</v>
      </c>
      <c r="D280">
        <v>2026</v>
      </c>
      <c r="E280" t="s">
        <v>56</v>
      </c>
      <c r="F280" t="s">
        <v>57</v>
      </c>
      <c r="G280" t="s">
        <v>750</v>
      </c>
      <c r="H280" t="s">
        <v>1569</v>
      </c>
      <c r="I280" t="s">
        <v>1570</v>
      </c>
      <c r="J280" t="s">
        <v>98</v>
      </c>
      <c r="K280" t="s">
        <v>99</v>
      </c>
      <c r="L280" t="s">
        <v>63</v>
      </c>
      <c r="M280" t="s">
        <v>72</v>
      </c>
      <c r="N280" s="5"/>
      <c r="O280" t="str">
        <f t="shared" si="4"/>
        <v/>
      </c>
    </row>
    <row r="281" spans="1:15" x14ac:dyDescent="0.25">
      <c r="A281" t="s">
        <v>1571</v>
      </c>
      <c r="B281" t="s">
        <v>1572</v>
      </c>
      <c r="C281" t="s">
        <v>1573</v>
      </c>
      <c r="D281">
        <v>2026</v>
      </c>
      <c r="E281" t="s">
        <v>56</v>
      </c>
      <c r="F281" t="s">
        <v>67</v>
      </c>
      <c r="G281" t="s">
        <v>1007</v>
      </c>
      <c r="H281" t="s">
        <v>1574</v>
      </c>
      <c r="I281" t="s">
        <v>1575</v>
      </c>
      <c r="J281" t="s">
        <v>79</v>
      </c>
      <c r="K281" t="s">
        <v>80</v>
      </c>
      <c r="L281" t="s">
        <v>72</v>
      </c>
      <c r="M281" t="s">
        <v>72</v>
      </c>
      <c r="N281" s="5"/>
      <c r="O281" t="str">
        <f t="shared" si="4"/>
        <v/>
      </c>
    </row>
    <row r="282" spans="1:15" x14ac:dyDescent="0.25">
      <c r="A282" t="s">
        <v>1576</v>
      </c>
      <c r="B282" t="s">
        <v>1577</v>
      </c>
      <c r="C282" t="s">
        <v>1123</v>
      </c>
      <c r="D282">
        <v>2026</v>
      </c>
      <c r="E282" t="s">
        <v>56</v>
      </c>
      <c r="F282" t="s">
        <v>67</v>
      </c>
      <c r="G282" t="s">
        <v>84</v>
      </c>
      <c r="H282" t="s">
        <v>1578</v>
      </c>
      <c r="I282" t="s">
        <v>1579</v>
      </c>
      <c r="J282" t="s">
        <v>98</v>
      </c>
      <c r="K282" t="s">
        <v>99</v>
      </c>
      <c r="L282" t="s">
        <v>63</v>
      </c>
      <c r="M282" t="s">
        <v>72</v>
      </c>
      <c r="N282" s="5"/>
      <c r="O282" t="str">
        <f t="shared" si="4"/>
        <v/>
      </c>
    </row>
    <row r="283" spans="1:15" x14ac:dyDescent="0.25">
      <c r="A283" t="s">
        <v>1580</v>
      </c>
      <c r="B283" t="s">
        <v>1581</v>
      </c>
      <c r="C283" t="s">
        <v>1582</v>
      </c>
      <c r="D283">
        <v>2026</v>
      </c>
      <c r="E283" t="s">
        <v>56</v>
      </c>
      <c r="F283" t="s">
        <v>67</v>
      </c>
      <c r="G283" t="s">
        <v>679</v>
      </c>
      <c r="H283" t="s">
        <v>1583</v>
      </c>
      <c r="I283" t="s">
        <v>1584</v>
      </c>
      <c r="J283" t="s">
        <v>98</v>
      </c>
      <c r="K283" t="s">
        <v>99</v>
      </c>
      <c r="L283" t="s">
        <v>63</v>
      </c>
      <c r="M283" t="s">
        <v>72</v>
      </c>
      <c r="N283" s="5"/>
      <c r="O283" t="str">
        <f t="shared" si="4"/>
        <v/>
      </c>
    </row>
    <row r="284" spans="1:15" x14ac:dyDescent="0.25">
      <c r="A284" t="s">
        <v>1585</v>
      </c>
      <c r="B284" t="s">
        <v>1586</v>
      </c>
      <c r="C284" t="s">
        <v>1348</v>
      </c>
      <c r="D284">
        <v>2026</v>
      </c>
      <c r="E284" t="s">
        <v>56</v>
      </c>
      <c r="F284" t="s">
        <v>67</v>
      </c>
      <c r="G284" t="s">
        <v>556</v>
      </c>
      <c r="H284" t="s">
        <v>1587</v>
      </c>
      <c r="I284" t="s">
        <v>1588</v>
      </c>
      <c r="J284" t="s">
        <v>71</v>
      </c>
      <c r="K284" t="s">
        <v>18</v>
      </c>
      <c r="L284" t="s">
        <v>72</v>
      </c>
      <c r="M284" t="s">
        <v>72</v>
      </c>
      <c r="N284" s="5"/>
      <c r="O284" t="str">
        <f t="shared" si="4"/>
        <v/>
      </c>
    </row>
    <row r="285" spans="1:15" x14ac:dyDescent="0.25">
      <c r="A285" t="s">
        <v>1589</v>
      </c>
      <c r="B285" t="s">
        <v>1590</v>
      </c>
      <c r="C285" t="s">
        <v>117</v>
      </c>
      <c r="D285">
        <v>2026</v>
      </c>
      <c r="E285" t="s">
        <v>56</v>
      </c>
      <c r="F285" t="s">
        <v>67</v>
      </c>
      <c r="G285" t="s">
        <v>84</v>
      </c>
      <c r="H285" t="s">
        <v>1591</v>
      </c>
      <c r="I285" t="s">
        <v>1592</v>
      </c>
      <c r="J285" t="s">
        <v>98</v>
      </c>
      <c r="K285" t="s">
        <v>99</v>
      </c>
      <c r="L285" t="s">
        <v>63</v>
      </c>
      <c r="M285" t="s">
        <v>72</v>
      </c>
      <c r="N285" s="5"/>
      <c r="O285" t="str">
        <f t="shared" si="4"/>
        <v/>
      </c>
    </row>
    <row r="286" spans="1:15" x14ac:dyDescent="0.25">
      <c r="A286" t="s">
        <v>1593</v>
      </c>
      <c r="B286" t="s">
        <v>1594</v>
      </c>
      <c r="C286" t="s">
        <v>1595</v>
      </c>
      <c r="D286">
        <v>2026</v>
      </c>
      <c r="E286" t="s">
        <v>56</v>
      </c>
      <c r="F286" t="s">
        <v>57</v>
      </c>
      <c r="G286" t="s">
        <v>1596</v>
      </c>
      <c r="H286" t="s">
        <v>1597</v>
      </c>
      <c r="I286" t="s">
        <v>1598</v>
      </c>
      <c r="J286" t="s">
        <v>98</v>
      </c>
      <c r="K286" t="s">
        <v>99</v>
      </c>
      <c r="L286" t="s">
        <v>63</v>
      </c>
      <c r="M286" t="s">
        <v>72</v>
      </c>
      <c r="N286" s="5"/>
      <c r="O286" t="str">
        <f t="shared" si="4"/>
        <v/>
      </c>
    </row>
    <row r="287" spans="1:15" x14ac:dyDescent="0.25">
      <c r="A287" t="s">
        <v>1599</v>
      </c>
      <c r="B287" t="s">
        <v>1600</v>
      </c>
      <c r="C287" t="s">
        <v>1601</v>
      </c>
      <c r="D287">
        <v>2026</v>
      </c>
      <c r="E287" t="s">
        <v>56</v>
      </c>
      <c r="F287" t="s">
        <v>57</v>
      </c>
      <c r="G287" t="s">
        <v>1602</v>
      </c>
      <c r="H287" t="s">
        <v>1603</v>
      </c>
      <c r="I287" t="s">
        <v>1604</v>
      </c>
      <c r="J287" t="s">
        <v>87</v>
      </c>
      <c r="K287" t="s">
        <v>19</v>
      </c>
      <c r="L287" t="s">
        <v>72</v>
      </c>
      <c r="M287" t="s">
        <v>72</v>
      </c>
      <c r="N287" s="5"/>
      <c r="O287" t="str">
        <f t="shared" si="4"/>
        <v/>
      </c>
    </row>
    <row r="288" spans="1:15" x14ac:dyDescent="0.25">
      <c r="A288" t="s">
        <v>1605</v>
      </c>
      <c r="B288" t="s">
        <v>1606</v>
      </c>
      <c r="C288" t="s">
        <v>1607</v>
      </c>
      <c r="D288">
        <v>2026</v>
      </c>
      <c r="E288" t="s">
        <v>56</v>
      </c>
      <c r="F288" t="s">
        <v>57</v>
      </c>
      <c r="G288" t="s">
        <v>1608</v>
      </c>
      <c r="H288" t="s">
        <v>1609</v>
      </c>
      <c r="I288" t="s">
        <v>1610</v>
      </c>
      <c r="J288" t="s">
        <v>165</v>
      </c>
      <c r="K288" t="s">
        <v>166</v>
      </c>
      <c r="L288" t="s">
        <v>63</v>
      </c>
      <c r="M288" t="s">
        <v>72</v>
      </c>
      <c r="N288" s="5"/>
      <c r="O288" t="str">
        <f t="shared" si="4"/>
        <v/>
      </c>
    </row>
    <row r="289" spans="1:15" x14ac:dyDescent="0.25">
      <c r="A289" t="s">
        <v>1611</v>
      </c>
      <c r="B289" t="s">
        <v>1612</v>
      </c>
      <c r="C289" t="s">
        <v>1613</v>
      </c>
      <c r="D289">
        <v>2026</v>
      </c>
      <c r="E289" t="s">
        <v>56</v>
      </c>
      <c r="F289" t="s">
        <v>67</v>
      </c>
      <c r="G289" t="s">
        <v>1614</v>
      </c>
      <c r="H289" t="s">
        <v>1615</v>
      </c>
      <c r="I289" t="s">
        <v>1616</v>
      </c>
      <c r="J289" t="s">
        <v>71</v>
      </c>
      <c r="K289" t="s">
        <v>18</v>
      </c>
      <c r="L289" t="s">
        <v>72</v>
      </c>
      <c r="M289" t="s">
        <v>72</v>
      </c>
      <c r="N289" s="5"/>
      <c r="O289" t="str">
        <f t="shared" si="4"/>
        <v/>
      </c>
    </row>
    <row r="290" spans="1:15" x14ac:dyDescent="0.25">
      <c r="A290" t="s">
        <v>1617</v>
      </c>
      <c r="B290" t="s">
        <v>1618</v>
      </c>
      <c r="C290" t="s">
        <v>815</v>
      </c>
      <c r="D290">
        <v>2026</v>
      </c>
      <c r="E290" t="s">
        <v>56</v>
      </c>
      <c r="F290" t="s">
        <v>57</v>
      </c>
      <c r="G290" t="s">
        <v>750</v>
      </c>
      <c r="H290" t="s">
        <v>1619</v>
      </c>
      <c r="I290" t="s">
        <v>1620</v>
      </c>
      <c r="J290" t="s">
        <v>71</v>
      </c>
      <c r="K290" t="s">
        <v>18</v>
      </c>
      <c r="L290" t="s">
        <v>72</v>
      </c>
      <c r="M290" t="s">
        <v>72</v>
      </c>
      <c r="N290" s="5"/>
      <c r="O290" t="str">
        <f t="shared" si="4"/>
        <v/>
      </c>
    </row>
    <row r="291" spans="1:15" x14ac:dyDescent="0.25">
      <c r="A291" t="s">
        <v>1621</v>
      </c>
      <c r="B291" t="s">
        <v>1622</v>
      </c>
      <c r="C291" t="s">
        <v>852</v>
      </c>
      <c r="D291">
        <v>2026</v>
      </c>
      <c r="E291" t="s">
        <v>56</v>
      </c>
      <c r="F291" t="s">
        <v>57</v>
      </c>
      <c r="G291" t="s">
        <v>1623</v>
      </c>
      <c r="H291" t="s">
        <v>1624</v>
      </c>
      <c r="I291" t="s">
        <v>1625</v>
      </c>
      <c r="J291" t="s">
        <v>71</v>
      </c>
      <c r="K291" t="s">
        <v>18</v>
      </c>
      <c r="L291" t="s">
        <v>72</v>
      </c>
      <c r="M291" t="s">
        <v>72</v>
      </c>
      <c r="N291" s="5"/>
      <c r="O291" t="str">
        <f t="shared" si="4"/>
        <v/>
      </c>
    </row>
    <row r="292" spans="1:15" x14ac:dyDescent="0.25">
      <c r="A292" t="s">
        <v>1626</v>
      </c>
      <c r="B292" t="s">
        <v>1627</v>
      </c>
      <c r="C292" t="s">
        <v>1628</v>
      </c>
      <c r="D292">
        <v>2026</v>
      </c>
      <c r="E292" t="s">
        <v>56</v>
      </c>
      <c r="F292" t="s">
        <v>67</v>
      </c>
      <c r="G292" t="s">
        <v>84</v>
      </c>
      <c r="H292" t="s">
        <v>1629</v>
      </c>
      <c r="I292" t="s">
        <v>1630</v>
      </c>
      <c r="J292" t="s">
        <v>87</v>
      </c>
      <c r="K292" t="s">
        <v>19</v>
      </c>
      <c r="L292" t="s">
        <v>72</v>
      </c>
      <c r="M292" t="s">
        <v>72</v>
      </c>
      <c r="N292" s="5"/>
      <c r="O292" t="str">
        <f t="shared" si="4"/>
        <v/>
      </c>
    </row>
    <row r="293" spans="1:15" x14ac:dyDescent="0.25">
      <c r="A293" t="s">
        <v>1631</v>
      </c>
      <c r="B293" t="s">
        <v>1632</v>
      </c>
      <c r="C293" t="s">
        <v>1633</v>
      </c>
      <c r="D293">
        <v>2026</v>
      </c>
      <c r="E293" t="s">
        <v>56</v>
      </c>
      <c r="F293" t="s">
        <v>57</v>
      </c>
      <c r="G293" t="s">
        <v>1634</v>
      </c>
      <c r="H293" t="s">
        <v>1635</v>
      </c>
      <c r="I293" t="s">
        <v>1636</v>
      </c>
      <c r="J293" t="s">
        <v>71</v>
      </c>
      <c r="K293" t="s">
        <v>18</v>
      </c>
      <c r="L293" t="s">
        <v>72</v>
      </c>
      <c r="M293" t="s">
        <v>72</v>
      </c>
      <c r="N293" s="5"/>
      <c r="O293" t="str">
        <f t="shared" si="4"/>
        <v/>
      </c>
    </row>
    <row r="294" spans="1:15" x14ac:dyDescent="0.25">
      <c r="A294" t="s">
        <v>1637</v>
      </c>
      <c r="B294" t="s">
        <v>1638</v>
      </c>
      <c r="C294" t="s">
        <v>1639</v>
      </c>
      <c r="D294">
        <v>2026</v>
      </c>
      <c r="E294" t="s">
        <v>56</v>
      </c>
      <c r="F294" t="s">
        <v>67</v>
      </c>
      <c r="G294" t="s">
        <v>679</v>
      </c>
      <c r="H294" t="s">
        <v>1640</v>
      </c>
      <c r="I294" t="s">
        <v>1641</v>
      </c>
      <c r="J294" t="s">
        <v>71</v>
      </c>
      <c r="K294" t="s">
        <v>18</v>
      </c>
      <c r="L294" t="s">
        <v>72</v>
      </c>
      <c r="M294" t="s">
        <v>72</v>
      </c>
      <c r="N294" s="5"/>
      <c r="O294" t="str">
        <f t="shared" si="4"/>
        <v/>
      </c>
    </row>
    <row r="295" spans="1:15" x14ac:dyDescent="0.25">
      <c r="A295" t="s">
        <v>1642</v>
      </c>
      <c r="B295" t="s">
        <v>1643</v>
      </c>
      <c r="C295" t="s">
        <v>1644</v>
      </c>
      <c r="D295">
        <v>2026</v>
      </c>
      <c r="E295" t="s">
        <v>56</v>
      </c>
      <c r="F295" t="s">
        <v>57</v>
      </c>
      <c r="G295" t="s">
        <v>1645</v>
      </c>
      <c r="H295" t="s">
        <v>1646</v>
      </c>
      <c r="I295" t="s">
        <v>1647</v>
      </c>
      <c r="J295" t="s">
        <v>71</v>
      </c>
      <c r="K295" t="s">
        <v>18</v>
      </c>
      <c r="L295" t="s">
        <v>72</v>
      </c>
      <c r="M295" t="s">
        <v>72</v>
      </c>
      <c r="N295" s="5"/>
      <c r="O295" t="str">
        <f t="shared" si="4"/>
        <v/>
      </c>
    </row>
    <row r="296" spans="1:15" x14ac:dyDescent="0.25">
      <c r="A296" t="s">
        <v>1648</v>
      </c>
      <c r="B296" t="s">
        <v>1649</v>
      </c>
      <c r="C296" t="s">
        <v>1650</v>
      </c>
      <c r="D296">
        <v>2026</v>
      </c>
      <c r="E296" t="s">
        <v>56</v>
      </c>
      <c r="F296" t="s">
        <v>67</v>
      </c>
      <c r="G296" t="s">
        <v>1651</v>
      </c>
      <c r="H296" t="s">
        <v>1652</v>
      </c>
      <c r="I296" t="s">
        <v>1653</v>
      </c>
      <c r="J296" t="s">
        <v>71</v>
      </c>
      <c r="K296" t="s">
        <v>18</v>
      </c>
      <c r="L296" t="s">
        <v>72</v>
      </c>
      <c r="M296" t="s">
        <v>72</v>
      </c>
      <c r="N296" s="5"/>
      <c r="O296" t="str">
        <f t="shared" si="4"/>
        <v/>
      </c>
    </row>
    <row r="297" spans="1:15" x14ac:dyDescent="0.25">
      <c r="A297" t="s">
        <v>1654</v>
      </c>
      <c r="B297" t="s">
        <v>1655</v>
      </c>
      <c r="C297" t="s">
        <v>1181</v>
      </c>
      <c r="D297">
        <v>2026</v>
      </c>
      <c r="E297" t="s">
        <v>56</v>
      </c>
      <c r="F297" t="s">
        <v>57</v>
      </c>
      <c r="G297" t="s">
        <v>800</v>
      </c>
      <c r="H297" t="s">
        <v>1656</v>
      </c>
      <c r="I297" t="s">
        <v>1657</v>
      </c>
      <c r="J297" t="s">
        <v>87</v>
      </c>
      <c r="K297" t="s">
        <v>19</v>
      </c>
      <c r="L297" t="s">
        <v>72</v>
      </c>
      <c r="M297" t="s">
        <v>72</v>
      </c>
      <c r="N297" s="5"/>
      <c r="O297" t="str">
        <f t="shared" si="4"/>
        <v/>
      </c>
    </row>
    <row r="298" spans="1:15" x14ac:dyDescent="0.25">
      <c r="A298" t="s">
        <v>1658</v>
      </c>
      <c r="B298" t="s">
        <v>1659</v>
      </c>
      <c r="C298" t="s">
        <v>1660</v>
      </c>
      <c r="D298">
        <v>2026</v>
      </c>
      <c r="E298" t="s">
        <v>56</v>
      </c>
      <c r="F298" t="s">
        <v>57</v>
      </c>
      <c r="G298" t="s">
        <v>1661</v>
      </c>
      <c r="H298" t="s">
        <v>1662</v>
      </c>
      <c r="I298" t="s">
        <v>1663</v>
      </c>
      <c r="J298" t="s">
        <v>87</v>
      </c>
      <c r="K298" t="s">
        <v>19</v>
      </c>
      <c r="L298" t="s">
        <v>72</v>
      </c>
      <c r="M298" t="s">
        <v>72</v>
      </c>
      <c r="N298" s="5"/>
      <c r="O298" t="str">
        <f t="shared" si="4"/>
        <v/>
      </c>
    </row>
    <row r="299" spans="1:15" x14ac:dyDescent="0.25">
      <c r="A299" t="s">
        <v>1664</v>
      </c>
      <c r="B299" t="s">
        <v>1665</v>
      </c>
      <c r="C299" t="s">
        <v>1666</v>
      </c>
      <c r="D299">
        <v>2026</v>
      </c>
      <c r="E299" t="s">
        <v>56</v>
      </c>
      <c r="F299" t="s">
        <v>67</v>
      </c>
      <c r="G299" t="s">
        <v>1007</v>
      </c>
      <c r="H299" t="s">
        <v>1667</v>
      </c>
      <c r="I299" t="s">
        <v>1668</v>
      </c>
      <c r="J299" t="s">
        <v>79</v>
      </c>
      <c r="K299" t="s">
        <v>80</v>
      </c>
      <c r="L299" t="s">
        <v>72</v>
      </c>
      <c r="M299" t="s">
        <v>72</v>
      </c>
      <c r="N299" s="5"/>
      <c r="O299" t="str">
        <f t="shared" si="4"/>
        <v/>
      </c>
    </row>
    <row r="300" spans="1:15" x14ac:dyDescent="0.25">
      <c r="A300" t="s">
        <v>1669</v>
      </c>
      <c r="B300" t="s">
        <v>1670</v>
      </c>
      <c r="C300" t="s">
        <v>921</v>
      </c>
      <c r="D300">
        <v>2026</v>
      </c>
      <c r="E300" t="s">
        <v>56</v>
      </c>
      <c r="F300" t="s">
        <v>57</v>
      </c>
      <c r="G300" t="s">
        <v>831</v>
      </c>
      <c r="H300" t="s">
        <v>1671</v>
      </c>
      <c r="I300" t="s">
        <v>1672</v>
      </c>
      <c r="J300" t="s">
        <v>71</v>
      </c>
      <c r="K300" t="s">
        <v>18</v>
      </c>
      <c r="L300" t="s">
        <v>72</v>
      </c>
      <c r="M300" t="s">
        <v>72</v>
      </c>
      <c r="N300" s="5"/>
      <c r="O300" t="str">
        <f t="shared" si="4"/>
        <v/>
      </c>
    </row>
    <row r="301" spans="1:15" x14ac:dyDescent="0.25">
      <c r="A301" t="s">
        <v>1673</v>
      </c>
      <c r="B301" t="s">
        <v>1674</v>
      </c>
      <c r="C301" t="s">
        <v>1675</v>
      </c>
      <c r="D301">
        <v>2026</v>
      </c>
      <c r="E301" t="s">
        <v>56</v>
      </c>
      <c r="F301" t="s">
        <v>67</v>
      </c>
      <c r="G301" t="s">
        <v>1676</v>
      </c>
      <c r="H301" t="s">
        <v>1677</v>
      </c>
      <c r="I301" t="s">
        <v>1678</v>
      </c>
      <c r="J301" t="s">
        <v>87</v>
      </c>
      <c r="K301" t="s">
        <v>19</v>
      </c>
      <c r="L301" t="s">
        <v>72</v>
      </c>
      <c r="M301" t="s">
        <v>72</v>
      </c>
      <c r="N301" s="5"/>
      <c r="O301" t="str">
        <f t="shared" si="4"/>
        <v/>
      </c>
    </row>
    <row r="302" spans="1:15" x14ac:dyDescent="0.25">
      <c r="A302" t="s">
        <v>1679</v>
      </c>
      <c r="B302" t="s">
        <v>1680</v>
      </c>
      <c r="C302" t="s">
        <v>1681</v>
      </c>
      <c r="D302">
        <v>2026</v>
      </c>
      <c r="E302" t="s">
        <v>56</v>
      </c>
      <c r="F302" t="s">
        <v>57</v>
      </c>
      <c r="G302" t="s">
        <v>1682</v>
      </c>
      <c r="H302" t="s">
        <v>1683</v>
      </c>
      <c r="I302" t="s">
        <v>1684</v>
      </c>
      <c r="J302" t="s">
        <v>79</v>
      </c>
      <c r="K302" t="s">
        <v>80</v>
      </c>
      <c r="L302" t="s">
        <v>72</v>
      </c>
      <c r="M302" t="s">
        <v>72</v>
      </c>
      <c r="N302" s="5"/>
      <c r="O302" t="str">
        <f t="shared" si="4"/>
        <v/>
      </c>
    </row>
    <row r="303" spans="1:15" x14ac:dyDescent="0.25">
      <c r="A303" t="s">
        <v>1685</v>
      </c>
      <c r="B303" t="s">
        <v>1686</v>
      </c>
      <c r="C303" t="s">
        <v>1687</v>
      </c>
      <c r="D303">
        <v>2026</v>
      </c>
      <c r="E303" t="s">
        <v>56</v>
      </c>
      <c r="F303" t="s">
        <v>67</v>
      </c>
      <c r="G303" t="s">
        <v>188</v>
      </c>
      <c r="H303" t="s">
        <v>1688</v>
      </c>
      <c r="I303" t="s">
        <v>1689</v>
      </c>
      <c r="J303" t="s">
        <v>79</v>
      </c>
      <c r="K303" t="s">
        <v>80</v>
      </c>
      <c r="L303" t="s">
        <v>72</v>
      </c>
      <c r="M303" t="s">
        <v>72</v>
      </c>
      <c r="N303" s="5"/>
      <c r="O303" t="str">
        <f t="shared" si="4"/>
        <v/>
      </c>
    </row>
    <row r="304" spans="1:15" x14ac:dyDescent="0.25">
      <c r="A304" t="s">
        <v>1690</v>
      </c>
      <c r="B304" t="s">
        <v>1691</v>
      </c>
      <c r="C304" t="s">
        <v>1692</v>
      </c>
      <c r="D304">
        <v>2026</v>
      </c>
      <c r="E304" t="s">
        <v>56</v>
      </c>
      <c r="F304" t="s">
        <v>57</v>
      </c>
      <c r="G304" t="s">
        <v>992</v>
      </c>
      <c r="H304" t="s">
        <v>1693</v>
      </c>
      <c r="I304" t="s">
        <v>1694</v>
      </c>
      <c r="J304" t="s">
        <v>87</v>
      </c>
      <c r="K304" t="s">
        <v>19</v>
      </c>
      <c r="L304" t="s">
        <v>72</v>
      </c>
      <c r="M304" t="s">
        <v>72</v>
      </c>
      <c r="N304" s="5"/>
      <c r="O304" t="str">
        <f t="shared" si="4"/>
        <v/>
      </c>
    </row>
    <row r="305" spans="1:15" x14ac:dyDescent="0.25">
      <c r="A305" t="s">
        <v>1695</v>
      </c>
      <c r="B305" t="s">
        <v>1696</v>
      </c>
      <c r="C305" t="s">
        <v>1697</v>
      </c>
      <c r="D305">
        <v>2026</v>
      </c>
      <c r="E305" t="s">
        <v>56</v>
      </c>
      <c r="F305" t="s">
        <v>57</v>
      </c>
      <c r="G305" t="s">
        <v>859</v>
      </c>
      <c r="H305" t="s">
        <v>1698</v>
      </c>
      <c r="I305" t="s">
        <v>1699</v>
      </c>
      <c r="J305" t="s">
        <v>61</v>
      </c>
      <c r="K305" t="s">
        <v>62</v>
      </c>
      <c r="L305" t="s">
        <v>63</v>
      </c>
      <c r="M305" t="s">
        <v>63</v>
      </c>
      <c r="N305" s="5"/>
      <c r="O305" t="str">
        <f t="shared" si="4"/>
        <v/>
      </c>
    </row>
    <row r="306" spans="1:15" x14ac:dyDescent="0.25">
      <c r="A306" t="s">
        <v>1700</v>
      </c>
      <c r="B306" t="s">
        <v>1701</v>
      </c>
      <c r="C306" t="s">
        <v>117</v>
      </c>
      <c r="D306">
        <v>2026</v>
      </c>
      <c r="E306" t="s">
        <v>56</v>
      </c>
      <c r="F306" t="s">
        <v>57</v>
      </c>
      <c r="G306" t="s">
        <v>750</v>
      </c>
      <c r="H306" t="s">
        <v>1702</v>
      </c>
      <c r="I306" t="s">
        <v>1703</v>
      </c>
      <c r="J306" t="s">
        <v>165</v>
      </c>
      <c r="K306" t="s">
        <v>166</v>
      </c>
      <c r="L306" t="s">
        <v>63</v>
      </c>
      <c r="M306" t="s">
        <v>72</v>
      </c>
      <c r="N306" s="5"/>
      <c r="O306" t="str">
        <f t="shared" si="4"/>
        <v/>
      </c>
    </row>
    <row r="307" spans="1:15" x14ac:dyDescent="0.25">
      <c r="A307" t="s">
        <v>1704</v>
      </c>
      <c r="B307" t="s">
        <v>1705</v>
      </c>
      <c r="C307" t="s">
        <v>1706</v>
      </c>
      <c r="D307">
        <v>2026</v>
      </c>
      <c r="E307" t="s">
        <v>56</v>
      </c>
      <c r="F307" t="s">
        <v>67</v>
      </c>
      <c r="G307" t="s">
        <v>1707</v>
      </c>
      <c r="H307" t="s">
        <v>1708</v>
      </c>
      <c r="I307" t="s">
        <v>1709</v>
      </c>
      <c r="J307" t="s">
        <v>98</v>
      </c>
      <c r="K307" t="s">
        <v>99</v>
      </c>
      <c r="L307" t="s">
        <v>63</v>
      </c>
      <c r="M307" t="s">
        <v>72</v>
      </c>
      <c r="N307" s="5"/>
      <c r="O307" t="str">
        <f t="shared" si="4"/>
        <v/>
      </c>
    </row>
    <row r="308" spans="1:15" x14ac:dyDescent="0.25">
      <c r="A308" t="s">
        <v>1710</v>
      </c>
      <c r="B308" t="s">
        <v>1711</v>
      </c>
      <c r="C308" t="s">
        <v>571</v>
      </c>
      <c r="D308">
        <v>2026</v>
      </c>
      <c r="E308" t="s">
        <v>56</v>
      </c>
      <c r="F308" t="s">
        <v>67</v>
      </c>
      <c r="G308" t="s">
        <v>679</v>
      </c>
      <c r="H308" t="s">
        <v>1712</v>
      </c>
      <c r="I308" t="s">
        <v>1713</v>
      </c>
      <c r="J308" t="s">
        <v>71</v>
      </c>
      <c r="K308" t="s">
        <v>18</v>
      </c>
      <c r="L308" t="s">
        <v>72</v>
      </c>
      <c r="M308" t="s">
        <v>72</v>
      </c>
      <c r="N308" s="5"/>
      <c r="O308" t="str">
        <f t="shared" si="4"/>
        <v/>
      </c>
    </row>
    <row r="309" spans="1:15" x14ac:dyDescent="0.25">
      <c r="A309" t="s">
        <v>1714</v>
      </c>
      <c r="B309" t="s">
        <v>1715</v>
      </c>
      <c r="C309" t="s">
        <v>1716</v>
      </c>
      <c r="D309">
        <v>2026</v>
      </c>
      <c r="E309" t="s">
        <v>56</v>
      </c>
      <c r="F309" t="s">
        <v>67</v>
      </c>
      <c r="G309" t="s">
        <v>1717</v>
      </c>
      <c r="H309" t="s">
        <v>1718</v>
      </c>
      <c r="I309" t="s">
        <v>1719</v>
      </c>
      <c r="J309" t="s">
        <v>71</v>
      </c>
      <c r="K309" t="s">
        <v>18</v>
      </c>
      <c r="L309" t="s">
        <v>72</v>
      </c>
      <c r="M309" t="s">
        <v>72</v>
      </c>
      <c r="N309" s="5"/>
      <c r="O309" t="str">
        <f t="shared" si="4"/>
        <v/>
      </c>
    </row>
    <row r="310" spans="1:15" x14ac:dyDescent="0.25">
      <c r="A310" t="s">
        <v>1720</v>
      </c>
      <c r="B310" t="s">
        <v>1721</v>
      </c>
      <c r="C310" t="s">
        <v>1722</v>
      </c>
      <c r="D310">
        <v>2026</v>
      </c>
      <c r="E310" t="s">
        <v>56</v>
      </c>
      <c r="F310" t="s">
        <v>57</v>
      </c>
      <c r="G310" t="s">
        <v>1723</v>
      </c>
      <c r="H310" t="s">
        <v>1724</v>
      </c>
      <c r="I310" t="s">
        <v>1725</v>
      </c>
      <c r="J310" t="s">
        <v>61</v>
      </c>
      <c r="K310" t="s">
        <v>62</v>
      </c>
      <c r="L310" t="s">
        <v>63</v>
      </c>
      <c r="M310" t="s">
        <v>63</v>
      </c>
      <c r="N310" s="5"/>
      <c r="O310" t="str">
        <f t="shared" si="4"/>
        <v/>
      </c>
    </row>
    <row r="311" spans="1:15" x14ac:dyDescent="0.25">
      <c r="A311" t="s">
        <v>1726</v>
      </c>
      <c r="B311" t="s">
        <v>1727</v>
      </c>
      <c r="C311" t="s">
        <v>1728</v>
      </c>
      <c r="D311">
        <v>2026</v>
      </c>
      <c r="E311" t="s">
        <v>56</v>
      </c>
      <c r="F311" t="s">
        <v>57</v>
      </c>
      <c r="G311" t="s">
        <v>302</v>
      </c>
      <c r="H311" t="s">
        <v>1729</v>
      </c>
      <c r="I311" t="s">
        <v>1730</v>
      </c>
      <c r="J311" t="s">
        <v>79</v>
      </c>
      <c r="K311" t="s">
        <v>80</v>
      </c>
      <c r="L311" t="s">
        <v>72</v>
      </c>
      <c r="M311" t="s">
        <v>72</v>
      </c>
      <c r="N311" s="5"/>
      <c r="O311" t="str">
        <f t="shared" si="4"/>
        <v/>
      </c>
    </row>
    <row r="312" spans="1:15" x14ac:dyDescent="0.25">
      <c r="A312" t="s">
        <v>1731</v>
      </c>
      <c r="B312" t="s">
        <v>1732</v>
      </c>
      <c r="C312" t="s">
        <v>1733</v>
      </c>
      <c r="D312">
        <v>2026</v>
      </c>
      <c r="E312" t="s">
        <v>56</v>
      </c>
      <c r="F312" t="s">
        <v>67</v>
      </c>
      <c r="G312" t="s">
        <v>84</v>
      </c>
      <c r="H312" t="s">
        <v>1734</v>
      </c>
      <c r="I312" t="s">
        <v>1735</v>
      </c>
      <c r="J312" t="s">
        <v>98</v>
      </c>
      <c r="K312" t="s">
        <v>99</v>
      </c>
      <c r="L312" t="s">
        <v>63</v>
      </c>
      <c r="M312" t="s">
        <v>72</v>
      </c>
      <c r="N312" s="5"/>
      <c r="O312" t="str">
        <f t="shared" si="4"/>
        <v/>
      </c>
    </row>
    <row r="313" spans="1:15" x14ac:dyDescent="0.25">
      <c r="A313" t="s">
        <v>1736</v>
      </c>
      <c r="B313" t="s">
        <v>1737</v>
      </c>
      <c r="C313" t="s">
        <v>1738</v>
      </c>
      <c r="D313">
        <v>2026</v>
      </c>
      <c r="E313" t="s">
        <v>56</v>
      </c>
      <c r="F313" t="s">
        <v>67</v>
      </c>
      <c r="G313" t="s">
        <v>1739</v>
      </c>
      <c r="H313" t="s">
        <v>1740</v>
      </c>
      <c r="I313" t="s">
        <v>1741</v>
      </c>
      <c r="J313" t="s">
        <v>87</v>
      </c>
      <c r="K313" t="s">
        <v>19</v>
      </c>
      <c r="L313" t="s">
        <v>72</v>
      </c>
      <c r="M313" t="s">
        <v>72</v>
      </c>
      <c r="N313" s="5"/>
      <c r="O313" t="str">
        <f t="shared" si="4"/>
        <v/>
      </c>
    </row>
    <row r="314" spans="1:15" x14ac:dyDescent="0.25">
      <c r="A314" t="s">
        <v>1742</v>
      </c>
      <c r="B314" t="s">
        <v>1743</v>
      </c>
      <c r="C314" t="s">
        <v>1744</v>
      </c>
      <c r="D314">
        <v>2026</v>
      </c>
      <c r="E314" t="s">
        <v>56</v>
      </c>
      <c r="F314" t="s">
        <v>57</v>
      </c>
      <c r="G314" t="s">
        <v>1091</v>
      </c>
      <c r="H314" t="s">
        <v>1745</v>
      </c>
      <c r="I314" t="s">
        <v>1746</v>
      </c>
      <c r="J314" t="s">
        <v>79</v>
      </c>
      <c r="K314" t="s">
        <v>80</v>
      </c>
      <c r="L314" t="s">
        <v>72</v>
      </c>
      <c r="M314" t="s">
        <v>72</v>
      </c>
      <c r="N314" s="5"/>
      <c r="O314" t="str">
        <f t="shared" si="4"/>
        <v/>
      </c>
    </row>
    <row r="315" spans="1:15" x14ac:dyDescent="0.25">
      <c r="A315" t="s">
        <v>1747</v>
      </c>
      <c r="B315" t="s">
        <v>1748</v>
      </c>
      <c r="C315" t="s">
        <v>1749</v>
      </c>
      <c r="D315">
        <v>2026</v>
      </c>
      <c r="E315" t="s">
        <v>56</v>
      </c>
      <c r="F315" t="s">
        <v>57</v>
      </c>
      <c r="G315" t="s">
        <v>1750</v>
      </c>
      <c r="H315" t="s">
        <v>1751</v>
      </c>
      <c r="I315" t="s">
        <v>1752</v>
      </c>
      <c r="J315" t="s">
        <v>79</v>
      </c>
      <c r="K315" t="s">
        <v>80</v>
      </c>
      <c r="L315" t="s">
        <v>72</v>
      </c>
      <c r="M315" t="s">
        <v>72</v>
      </c>
      <c r="N315" s="5"/>
      <c r="O315" t="str">
        <f t="shared" si="4"/>
        <v/>
      </c>
    </row>
    <row r="316" spans="1:15" x14ac:dyDescent="0.25">
      <c r="A316" t="s">
        <v>1753</v>
      </c>
      <c r="B316" t="s">
        <v>1754</v>
      </c>
      <c r="C316" t="s">
        <v>1755</v>
      </c>
      <c r="D316">
        <v>2026</v>
      </c>
      <c r="E316" t="s">
        <v>56</v>
      </c>
      <c r="F316" t="s">
        <v>67</v>
      </c>
      <c r="G316" t="s">
        <v>1244</v>
      </c>
      <c r="H316" t="s">
        <v>1756</v>
      </c>
      <c r="I316" t="s">
        <v>1757</v>
      </c>
      <c r="J316" t="s">
        <v>98</v>
      </c>
      <c r="K316" t="s">
        <v>99</v>
      </c>
      <c r="L316" t="s">
        <v>63</v>
      </c>
      <c r="M316" t="s">
        <v>72</v>
      </c>
      <c r="N316" s="5"/>
      <c r="O316" t="str">
        <f t="shared" si="4"/>
        <v/>
      </c>
    </row>
    <row r="317" spans="1:15" x14ac:dyDescent="0.25">
      <c r="A317" t="s">
        <v>1758</v>
      </c>
      <c r="B317" t="s">
        <v>1759</v>
      </c>
      <c r="C317" t="s">
        <v>1760</v>
      </c>
      <c r="D317">
        <v>2026</v>
      </c>
      <c r="E317" t="s">
        <v>56</v>
      </c>
      <c r="F317" t="s">
        <v>57</v>
      </c>
      <c r="G317" t="s">
        <v>279</v>
      </c>
      <c r="H317" t="s">
        <v>1761</v>
      </c>
      <c r="I317" t="s">
        <v>1762</v>
      </c>
      <c r="J317" t="s">
        <v>71</v>
      </c>
      <c r="K317" t="s">
        <v>18</v>
      </c>
      <c r="L317" t="s">
        <v>72</v>
      </c>
      <c r="M317" t="s">
        <v>72</v>
      </c>
      <c r="N317" s="5"/>
      <c r="O317" t="str">
        <f t="shared" si="4"/>
        <v/>
      </c>
    </row>
    <row r="318" spans="1:15" x14ac:dyDescent="0.25">
      <c r="A318" t="s">
        <v>1763</v>
      </c>
      <c r="B318" t="s">
        <v>1764</v>
      </c>
      <c r="C318" t="s">
        <v>571</v>
      </c>
      <c r="D318">
        <v>2026</v>
      </c>
      <c r="E318" t="s">
        <v>56</v>
      </c>
      <c r="F318" t="s">
        <v>57</v>
      </c>
      <c r="G318" t="s">
        <v>1765</v>
      </c>
      <c r="H318" t="s">
        <v>1766</v>
      </c>
      <c r="I318" t="s">
        <v>1767</v>
      </c>
      <c r="J318" t="s">
        <v>87</v>
      </c>
      <c r="K318" t="s">
        <v>19</v>
      </c>
      <c r="L318" t="s">
        <v>72</v>
      </c>
      <c r="M318" t="s">
        <v>72</v>
      </c>
      <c r="N318" s="5"/>
      <c r="O318" t="str">
        <f t="shared" si="4"/>
        <v/>
      </c>
    </row>
    <row r="319" spans="1:15" x14ac:dyDescent="0.25">
      <c r="A319" t="s">
        <v>1768</v>
      </c>
      <c r="B319" t="s">
        <v>1769</v>
      </c>
      <c r="C319" t="s">
        <v>1770</v>
      </c>
      <c r="D319">
        <v>2026</v>
      </c>
      <c r="E319" t="s">
        <v>56</v>
      </c>
      <c r="F319" t="s">
        <v>57</v>
      </c>
      <c r="G319" t="s">
        <v>1113</v>
      </c>
      <c r="H319" t="s">
        <v>1771</v>
      </c>
      <c r="I319" t="s">
        <v>1772</v>
      </c>
      <c r="J319" t="s">
        <v>87</v>
      </c>
      <c r="K319" t="s">
        <v>19</v>
      </c>
      <c r="L319" t="s">
        <v>72</v>
      </c>
      <c r="M319" t="s">
        <v>72</v>
      </c>
      <c r="N319" s="5"/>
      <c r="O319" t="str">
        <f t="shared" si="4"/>
        <v/>
      </c>
    </row>
    <row r="320" spans="1:15" x14ac:dyDescent="0.25">
      <c r="A320" t="s">
        <v>1773</v>
      </c>
      <c r="B320" t="s">
        <v>1774</v>
      </c>
      <c r="C320" t="s">
        <v>1775</v>
      </c>
      <c r="D320">
        <v>2026</v>
      </c>
      <c r="E320" t="s">
        <v>56</v>
      </c>
      <c r="F320" t="s">
        <v>67</v>
      </c>
      <c r="G320" t="s">
        <v>1776</v>
      </c>
      <c r="H320" t="s">
        <v>1777</v>
      </c>
      <c r="I320" t="s">
        <v>1778</v>
      </c>
      <c r="J320" t="s">
        <v>71</v>
      </c>
      <c r="K320" t="s">
        <v>18</v>
      </c>
      <c r="L320" t="s">
        <v>72</v>
      </c>
      <c r="M320" t="s">
        <v>72</v>
      </c>
      <c r="N320" s="5"/>
      <c r="O320" t="str">
        <f t="shared" si="4"/>
        <v/>
      </c>
    </row>
    <row r="321" spans="1:15" x14ac:dyDescent="0.25">
      <c r="A321" t="s">
        <v>1779</v>
      </c>
      <c r="B321" t="s">
        <v>1780</v>
      </c>
      <c r="C321" t="s">
        <v>1781</v>
      </c>
      <c r="D321">
        <v>2026</v>
      </c>
      <c r="E321" t="s">
        <v>56</v>
      </c>
      <c r="F321" t="s">
        <v>67</v>
      </c>
      <c r="G321" t="s">
        <v>1651</v>
      </c>
      <c r="H321" t="s">
        <v>1782</v>
      </c>
      <c r="I321" t="s">
        <v>1783</v>
      </c>
      <c r="J321" t="s">
        <v>71</v>
      </c>
      <c r="K321" t="s">
        <v>18</v>
      </c>
      <c r="L321" t="s">
        <v>72</v>
      </c>
      <c r="M321" t="s">
        <v>72</v>
      </c>
      <c r="N321" s="5"/>
      <c r="O321" t="str">
        <f t="shared" si="4"/>
        <v/>
      </c>
    </row>
    <row r="322" spans="1:15" x14ac:dyDescent="0.25">
      <c r="A322" t="s">
        <v>1784</v>
      </c>
      <c r="B322" t="s">
        <v>1785</v>
      </c>
      <c r="C322" t="s">
        <v>1786</v>
      </c>
      <c r="D322">
        <v>2026</v>
      </c>
      <c r="E322" t="s">
        <v>56</v>
      </c>
      <c r="F322" t="s">
        <v>67</v>
      </c>
      <c r="G322" t="s">
        <v>84</v>
      </c>
      <c r="H322" t="s">
        <v>1787</v>
      </c>
      <c r="I322" t="s">
        <v>1788</v>
      </c>
      <c r="J322" t="s">
        <v>79</v>
      </c>
      <c r="K322" t="s">
        <v>80</v>
      </c>
      <c r="L322" t="s">
        <v>72</v>
      </c>
      <c r="M322" t="s">
        <v>72</v>
      </c>
      <c r="N322" s="5"/>
      <c r="O322" t="str">
        <f t="shared" ref="O322:O385" si="5">IF(N322="","",IF(N322=J322,1,0))</f>
        <v/>
      </c>
    </row>
    <row r="323" spans="1:15" x14ac:dyDescent="0.25">
      <c r="A323" t="s">
        <v>1789</v>
      </c>
      <c r="B323" t="s">
        <v>1790</v>
      </c>
      <c r="C323" t="s">
        <v>1722</v>
      </c>
      <c r="D323">
        <v>2026</v>
      </c>
      <c r="E323" t="s">
        <v>56</v>
      </c>
      <c r="F323" t="s">
        <v>67</v>
      </c>
      <c r="G323" t="s">
        <v>1791</v>
      </c>
      <c r="H323" t="s">
        <v>1792</v>
      </c>
      <c r="I323" t="s">
        <v>1793</v>
      </c>
      <c r="J323" t="s">
        <v>71</v>
      </c>
      <c r="K323" t="s">
        <v>18</v>
      </c>
      <c r="L323" t="s">
        <v>72</v>
      </c>
      <c r="M323" t="s">
        <v>72</v>
      </c>
      <c r="N323" s="5"/>
      <c r="O323" t="str">
        <f t="shared" si="5"/>
        <v/>
      </c>
    </row>
    <row r="324" spans="1:15" x14ac:dyDescent="0.25">
      <c r="A324" t="s">
        <v>1794</v>
      </c>
      <c r="B324" t="s">
        <v>1795</v>
      </c>
      <c r="C324" t="s">
        <v>1796</v>
      </c>
      <c r="D324">
        <v>2026</v>
      </c>
      <c r="E324" t="s">
        <v>56</v>
      </c>
      <c r="F324" t="s">
        <v>57</v>
      </c>
      <c r="G324" t="s">
        <v>1797</v>
      </c>
      <c r="H324" t="s">
        <v>1798</v>
      </c>
      <c r="I324" t="s">
        <v>1799</v>
      </c>
      <c r="J324" t="s">
        <v>71</v>
      </c>
      <c r="K324" t="s">
        <v>18</v>
      </c>
      <c r="L324" t="s">
        <v>72</v>
      </c>
      <c r="M324" t="s">
        <v>72</v>
      </c>
      <c r="N324" s="5"/>
      <c r="O324" t="str">
        <f t="shared" si="5"/>
        <v/>
      </c>
    </row>
    <row r="325" spans="1:15" x14ac:dyDescent="0.25">
      <c r="A325" t="s">
        <v>1800</v>
      </c>
      <c r="B325" t="s">
        <v>1801</v>
      </c>
      <c r="C325" t="s">
        <v>1802</v>
      </c>
      <c r="D325">
        <v>2026</v>
      </c>
      <c r="E325" t="s">
        <v>56</v>
      </c>
      <c r="F325" t="s">
        <v>57</v>
      </c>
      <c r="G325" t="s">
        <v>1803</v>
      </c>
      <c r="H325" t="s">
        <v>1804</v>
      </c>
      <c r="I325" t="s">
        <v>1805</v>
      </c>
      <c r="J325" t="s">
        <v>87</v>
      </c>
      <c r="K325" t="s">
        <v>19</v>
      </c>
      <c r="L325" t="s">
        <v>72</v>
      </c>
      <c r="M325" t="s">
        <v>72</v>
      </c>
      <c r="N325" s="5"/>
      <c r="O325" t="str">
        <f t="shared" si="5"/>
        <v/>
      </c>
    </row>
    <row r="326" spans="1:15" x14ac:dyDescent="0.25">
      <c r="A326" t="s">
        <v>1806</v>
      </c>
      <c r="B326" t="s">
        <v>1807</v>
      </c>
      <c r="C326" t="s">
        <v>1808</v>
      </c>
      <c r="D326">
        <v>2026</v>
      </c>
      <c r="E326" t="s">
        <v>56</v>
      </c>
      <c r="F326" t="s">
        <v>67</v>
      </c>
      <c r="G326" t="s">
        <v>1809</v>
      </c>
      <c r="H326" t="s">
        <v>1810</v>
      </c>
      <c r="I326" t="s">
        <v>1811</v>
      </c>
      <c r="J326" t="s">
        <v>79</v>
      </c>
      <c r="K326" t="s">
        <v>80</v>
      </c>
      <c r="L326" t="s">
        <v>72</v>
      </c>
      <c r="M326" t="s">
        <v>72</v>
      </c>
      <c r="N326" s="5"/>
      <c r="O326" t="str">
        <f t="shared" si="5"/>
        <v/>
      </c>
    </row>
    <row r="327" spans="1:15" x14ac:dyDescent="0.25">
      <c r="A327" t="s">
        <v>1812</v>
      </c>
      <c r="B327" t="s">
        <v>1813</v>
      </c>
      <c r="C327" t="s">
        <v>571</v>
      </c>
      <c r="D327">
        <v>2026</v>
      </c>
      <c r="E327" t="s">
        <v>56</v>
      </c>
      <c r="F327" t="s">
        <v>67</v>
      </c>
      <c r="G327" t="s">
        <v>679</v>
      </c>
      <c r="H327" t="s">
        <v>1814</v>
      </c>
      <c r="I327" t="s">
        <v>1815</v>
      </c>
      <c r="J327" t="s">
        <v>87</v>
      </c>
      <c r="K327" t="s">
        <v>19</v>
      </c>
      <c r="L327" t="s">
        <v>72</v>
      </c>
      <c r="M327" t="s">
        <v>72</v>
      </c>
      <c r="N327" s="5"/>
      <c r="O327" t="str">
        <f t="shared" si="5"/>
        <v/>
      </c>
    </row>
    <row r="328" spans="1:15" x14ac:dyDescent="0.25">
      <c r="A328" t="s">
        <v>1816</v>
      </c>
      <c r="B328" t="s">
        <v>1817</v>
      </c>
      <c r="C328" t="s">
        <v>1818</v>
      </c>
      <c r="D328">
        <v>2026</v>
      </c>
      <c r="E328" t="s">
        <v>56</v>
      </c>
      <c r="F328" t="s">
        <v>57</v>
      </c>
      <c r="G328" t="s">
        <v>1819</v>
      </c>
      <c r="H328" t="s">
        <v>1820</v>
      </c>
      <c r="I328" t="s">
        <v>1821</v>
      </c>
      <c r="J328" t="s">
        <v>61</v>
      </c>
      <c r="K328" t="s">
        <v>62</v>
      </c>
      <c r="L328" t="s">
        <v>63</v>
      </c>
      <c r="M328" t="s">
        <v>63</v>
      </c>
      <c r="N328" s="5"/>
      <c r="O328" t="str">
        <f t="shared" si="5"/>
        <v/>
      </c>
    </row>
    <row r="329" spans="1:15" x14ac:dyDescent="0.25">
      <c r="A329" t="s">
        <v>1822</v>
      </c>
      <c r="B329" t="s">
        <v>1823</v>
      </c>
      <c r="C329" t="s">
        <v>1824</v>
      </c>
      <c r="D329">
        <v>2026</v>
      </c>
      <c r="E329" t="s">
        <v>56</v>
      </c>
      <c r="F329" t="s">
        <v>67</v>
      </c>
      <c r="G329" t="s">
        <v>273</v>
      </c>
      <c r="H329" t="s">
        <v>1825</v>
      </c>
      <c r="I329" t="s">
        <v>1826</v>
      </c>
      <c r="J329" t="s">
        <v>98</v>
      </c>
      <c r="K329" t="s">
        <v>99</v>
      </c>
      <c r="L329" t="s">
        <v>63</v>
      </c>
      <c r="M329" t="s">
        <v>72</v>
      </c>
      <c r="N329" s="5"/>
      <c r="O329" t="str">
        <f t="shared" si="5"/>
        <v/>
      </c>
    </row>
    <row r="330" spans="1:15" x14ac:dyDescent="0.25">
      <c r="A330" t="s">
        <v>1827</v>
      </c>
      <c r="B330" t="s">
        <v>1828</v>
      </c>
      <c r="C330" t="s">
        <v>1829</v>
      </c>
      <c r="D330">
        <v>2026</v>
      </c>
      <c r="E330" t="s">
        <v>56</v>
      </c>
      <c r="F330" t="s">
        <v>57</v>
      </c>
      <c r="G330" t="s">
        <v>1830</v>
      </c>
      <c r="H330" t="s">
        <v>1831</v>
      </c>
      <c r="I330" t="s">
        <v>1832</v>
      </c>
      <c r="J330" t="s">
        <v>71</v>
      </c>
      <c r="K330" t="s">
        <v>18</v>
      </c>
      <c r="L330" t="s">
        <v>72</v>
      </c>
      <c r="M330" t="s">
        <v>72</v>
      </c>
      <c r="N330" s="5"/>
      <c r="O330" t="str">
        <f t="shared" si="5"/>
        <v/>
      </c>
    </row>
    <row r="331" spans="1:15" x14ac:dyDescent="0.25">
      <c r="A331" t="s">
        <v>1833</v>
      </c>
      <c r="B331" t="s">
        <v>1834</v>
      </c>
      <c r="C331" t="s">
        <v>1835</v>
      </c>
      <c r="D331">
        <v>2026</v>
      </c>
      <c r="E331" t="s">
        <v>56</v>
      </c>
      <c r="F331" t="s">
        <v>67</v>
      </c>
      <c r="G331" t="s">
        <v>151</v>
      </c>
      <c r="H331" t="s">
        <v>1836</v>
      </c>
      <c r="I331" t="s">
        <v>1837</v>
      </c>
      <c r="J331" t="s">
        <v>71</v>
      </c>
      <c r="K331" t="s">
        <v>18</v>
      </c>
      <c r="L331" t="s">
        <v>72</v>
      </c>
      <c r="M331" t="s">
        <v>72</v>
      </c>
      <c r="N331" s="5"/>
      <c r="O331" t="str">
        <f t="shared" si="5"/>
        <v/>
      </c>
    </row>
    <row r="332" spans="1:15" x14ac:dyDescent="0.25">
      <c r="A332" t="s">
        <v>1838</v>
      </c>
      <c r="B332" t="s">
        <v>1839</v>
      </c>
      <c r="C332" t="s">
        <v>1840</v>
      </c>
      <c r="D332">
        <v>2026</v>
      </c>
      <c r="E332" t="s">
        <v>56</v>
      </c>
      <c r="F332" t="s">
        <v>57</v>
      </c>
      <c r="G332" t="s">
        <v>584</v>
      </c>
      <c r="H332" t="s">
        <v>1841</v>
      </c>
      <c r="I332" t="s">
        <v>1842</v>
      </c>
      <c r="J332" t="s">
        <v>71</v>
      </c>
      <c r="K332" t="s">
        <v>18</v>
      </c>
      <c r="L332" t="s">
        <v>72</v>
      </c>
      <c r="M332" t="s">
        <v>72</v>
      </c>
      <c r="N332" s="5"/>
      <c r="O332" t="str">
        <f t="shared" si="5"/>
        <v/>
      </c>
    </row>
    <row r="333" spans="1:15" x14ac:dyDescent="0.25">
      <c r="A333" t="s">
        <v>1843</v>
      </c>
      <c r="B333" t="s">
        <v>1844</v>
      </c>
      <c r="C333" t="s">
        <v>1845</v>
      </c>
      <c r="D333">
        <v>2026</v>
      </c>
      <c r="E333" t="s">
        <v>56</v>
      </c>
      <c r="F333" t="s">
        <v>67</v>
      </c>
      <c r="G333" t="s">
        <v>1846</v>
      </c>
      <c r="H333" t="s">
        <v>1847</v>
      </c>
      <c r="I333" t="s">
        <v>1848</v>
      </c>
      <c r="J333" t="s">
        <v>71</v>
      </c>
      <c r="K333" t="s">
        <v>18</v>
      </c>
      <c r="L333" t="s">
        <v>72</v>
      </c>
      <c r="M333" t="s">
        <v>72</v>
      </c>
      <c r="N333" s="5"/>
      <c r="O333" t="str">
        <f t="shared" si="5"/>
        <v/>
      </c>
    </row>
    <row r="334" spans="1:15" x14ac:dyDescent="0.25">
      <c r="A334" t="s">
        <v>1849</v>
      </c>
      <c r="B334" t="s">
        <v>1850</v>
      </c>
      <c r="C334" t="s">
        <v>1851</v>
      </c>
      <c r="D334">
        <v>2026</v>
      </c>
      <c r="E334" t="s">
        <v>56</v>
      </c>
      <c r="F334" t="s">
        <v>57</v>
      </c>
      <c r="G334" t="s">
        <v>1852</v>
      </c>
      <c r="H334" t="s">
        <v>1853</v>
      </c>
      <c r="I334" t="s">
        <v>1854</v>
      </c>
      <c r="J334" t="s">
        <v>61</v>
      </c>
      <c r="K334" t="s">
        <v>62</v>
      </c>
      <c r="L334" t="s">
        <v>63</v>
      </c>
      <c r="M334" t="s">
        <v>63</v>
      </c>
      <c r="N334" s="5"/>
      <c r="O334" t="str">
        <f t="shared" si="5"/>
        <v/>
      </c>
    </row>
    <row r="335" spans="1:15" x14ac:dyDescent="0.25">
      <c r="A335" t="s">
        <v>1855</v>
      </c>
      <c r="B335" t="s">
        <v>1856</v>
      </c>
      <c r="C335" t="s">
        <v>417</v>
      </c>
      <c r="D335">
        <v>2026</v>
      </c>
      <c r="E335" t="s">
        <v>56</v>
      </c>
      <c r="F335" t="s">
        <v>57</v>
      </c>
      <c r="G335" t="s">
        <v>859</v>
      </c>
      <c r="H335" t="s">
        <v>1857</v>
      </c>
      <c r="I335" t="s">
        <v>1858</v>
      </c>
      <c r="J335" t="s">
        <v>165</v>
      </c>
      <c r="K335" t="s">
        <v>166</v>
      </c>
      <c r="L335" t="s">
        <v>63</v>
      </c>
      <c r="M335" t="s">
        <v>72</v>
      </c>
      <c r="N335" s="5"/>
      <c r="O335" t="str">
        <f t="shared" si="5"/>
        <v/>
      </c>
    </row>
    <row r="336" spans="1:15" x14ac:dyDescent="0.25">
      <c r="A336" t="s">
        <v>1859</v>
      </c>
      <c r="B336" t="s">
        <v>1860</v>
      </c>
      <c r="C336" t="s">
        <v>205</v>
      </c>
      <c r="D336">
        <v>2026</v>
      </c>
      <c r="E336" t="s">
        <v>56</v>
      </c>
      <c r="F336" t="s">
        <v>57</v>
      </c>
      <c r="G336" t="s">
        <v>1861</v>
      </c>
      <c r="H336" t="s">
        <v>1862</v>
      </c>
      <c r="I336" t="s">
        <v>1863</v>
      </c>
      <c r="J336" t="s">
        <v>87</v>
      </c>
      <c r="K336" t="s">
        <v>19</v>
      </c>
      <c r="L336" t="s">
        <v>72</v>
      </c>
      <c r="M336" t="s">
        <v>72</v>
      </c>
      <c r="N336" s="5"/>
      <c r="O336" t="str">
        <f t="shared" si="5"/>
        <v/>
      </c>
    </row>
    <row r="337" spans="1:15" x14ac:dyDescent="0.25">
      <c r="A337" t="s">
        <v>1864</v>
      </c>
      <c r="B337" t="s">
        <v>1865</v>
      </c>
      <c r="C337" t="s">
        <v>1866</v>
      </c>
      <c r="D337">
        <v>2026</v>
      </c>
      <c r="E337" t="s">
        <v>56</v>
      </c>
      <c r="F337" t="s">
        <v>67</v>
      </c>
      <c r="G337" t="s">
        <v>1124</v>
      </c>
      <c r="H337" t="s">
        <v>1867</v>
      </c>
      <c r="I337" t="s">
        <v>1868</v>
      </c>
      <c r="J337" t="s">
        <v>71</v>
      </c>
      <c r="K337" t="s">
        <v>18</v>
      </c>
      <c r="L337" t="s">
        <v>72</v>
      </c>
      <c r="M337" t="s">
        <v>72</v>
      </c>
      <c r="N337" s="5"/>
      <c r="O337" t="str">
        <f t="shared" si="5"/>
        <v/>
      </c>
    </row>
    <row r="338" spans="1:15" x14ac:dyDescent="0.25">
      <c r="A338" t="s">
        <v>1869</v>
      </c>
      <c r="B338" t="s">
        <v>1870</v>
      </c>
      <c r="C338" t="s">
        <v>815</v>
      </c>
      <c r="D338">
        <v>2026</v>
      </c>
      <c r="E338" t="s">
        <v>56</v>
      </c>
      <c r="F338" t="s">
        <v>57</v>
      </c>
      <c r="G338" t="s">
        <v>379</v>
      </c>
      <c r="H338" t="s">
        <v>1871</v>
      </c>
      <c r="I338" t="s">
        <v>1872</v>
      </c>
      <c r="J338" t="s">
        <v>71</v>
      </c>
      <c r="K338" t="s">
        <v>18</v>
      </c>
      <c r="L338" t="s">
        <v>72</v>
      </c>
      <c r="M338" t="s">
        <v>72</v>
      </c>
      <c r="N338" s="5"/>
      <c r="O338" t="str">
        <f t="shared" si="5"/>
        <v/>
      </c>
    </row>
    <row r="339" spans="1:15" x14ac:dyDescent="0.25">
      <c r="A339" t="s">
        <v>1873</v>
      </c>
      <c r="B339" t="s">
        <v>1874</v>
      </c>
      <c r="C339" t="s">
        <v>1875</v>
      </c>
      <c r="D339">
        <v>2026</v>
      </c>
      <c r="E339" t="s">
        <v>56</v>
      </c>
      <c r="F339" t="s">
        <v>67</v>
      </c>
      <c r="G339" t="s">
        <v>362</v>
      </c>
      <c r="H339" t="s">
        <v>1876</v>
      </c>
      <c r="I339" t="s">
        <v>1877</v>
      </c>
      <c r="J339" t="s">
        <v>71</v>
      </c>
      <c r="K339" t="s">
        <v>18</v>
      </c>
      <c r="L339" t="s">
        <v>72</v>
      </c>
      <c r="M339" t="s">
        <v>72</v>
      </c>
      <c r="N339" s="5"/>
      <c r="O339" t="str">
        <f t="shared" si="5"/>
        <v/>
      </c>
    </row>
    <row r="340" spans="1:15" x14ac:dyDescent="0.25">
      <c r="A340" t="s">
        <v>1878</v>
      </c>
      <c r="B340" t="s">
        <v>1879</v>
      </c>
      <c r="C340" t="s">
        <v>1880</v>
      </c>
      <c r="D340">
        <v>2026</v>
      </c>
      <c r="E340" t="s">
        <v>56</v>
      </c>
      <c r="F340" t="s">
        <v>57</v>
      </c>
      <c r="G340" t="s">
        <v>1881</v>
      </c>
      <c r="H340" t="s">
        <v>1882</v>
      </c>
      <c r="I340" t="s">
        <v>1883</v>
      </c>
      <c r="J340" t="s">
        <v>87</v>
      </c>
      <c r="K340" t="s">
        <v>19</v>
      </c>
      <c r="L340" t="s">
        <v>72</v>
      </c>
      <c r="M340" t="s">
        <v>72</v>
      </c>
      <c r="N340" s="5"/>
      <c r="O340" t="str">
        <f t="shared" si="5"/>
        <v/>
      </c>
    </row>
    <row r="341" spans="1:15" x14ac:dyDescent="0.25">
      <c r="A341" t="s">
        <v>1884</v>
      </c>
      <c r="B341" t="s">
        <v>1885</v>
      </c>
      <c r="C341" t="s">
        <v>1886</v>
      </c>
      <c r="D341">
        <v>2026</v>
      </c>
      <c r="E341" t="s">
        <v>56</v>
      </c>
      <c r="F341" t="s">
        <v>57</v>
      </c>
      <c r="G341" t="s">
        <v>418</v>
      </c>
      <c r="H341" t="s">
        <v>1887</v>
      </c>
      <c r="I341" t="s">
        <v>1888</v>
      </c>
      <c r="J341" t="s">
        <v>71</v>
      </c>
      <c r="K341" t="s">
        <v>18</v>
      </c>
      <c r="L341" t="s">
        <v>72</v>
      </c>
      <c r="M341" t="s">
        <v>72</v>
      </c>
      <c r="N341" s="5"/>
      <c r="O341" t="str">
        <f t="shared" si="5"/>
        <v/>
      </c>
    </row>
    <row r="342" spans="1:15" x14ac:dyDescent="0.25">
      <c r="A342" t="s">
        <v>1889</v>
      </c>
      <c r="B342" t="s">
        <v>1890</v>
      </c>
      <c r="C342" t="s">
        <v>1891</v>
      </c>
      <c r="D342">
        <v>2026</v>
      </c>
      <c r="E342" t="s">
        <v>56</v>
      </c>
      <c r="F342" t="s">
        <v>67</v>
      </c>
      <c r="G342" t="s">
        <v>1892</v>
      </c>
      <c r="H342" t="s">
        <v>1893</v>
      </c>
      <c r="I342" t="s">
        <v>1894</v>
      </c>
      <c r="J342" t="s">
        <v>71</v>
      </c>
      <c r="K342" t="s">
        <v>18</v>
      </c>
      <c r="L342" t="s">
        <v>72</v>
      </c>
      <c r="M342" t="s">
        <v>72</v>
      </c>
      <c r="N342" s="5"/>
      <c r="O342" t="str">
        <f t="shared" si="5"/>
        <v/>
      </c>
    </row>
    <row r="343" spans="1:15" x14ac:dyDescent="0.25">
      <c r="A343" t="s">
        <v>1895</v>
      </c>
      <c r="B343" t="s">
        <v>1896</v>
      </c>
      <c r="C343" t="s">
        <v>1897</v>
      </c>
      <c r="D343">
        <v>2026</v>
      </c>
      <c r="E343" t="s">
        <v>56</v>
      </c>
      <c r="F343" t="s">
        <v>57</v>
      </c>
      <c r="G343" t="s">
        <v>1898</v>
      </c>
      <c r="H343" t="s">
        <v>1899</v>
      </c>
      <c r="I343" t="s">
        <v>1900</v>
      </c>
      <c r="J343" t="s">
        <v>79</v>
      </c>
      <c r="K343" t="s">
        <v>80</v>
      </c>
      <c r="L343" t="s">
        <v>72</v>
      </c>
      <c r="M343" t="s">
        <v>72</v>
      </c>
      <c r="N343" s="5"/>
      <c r="O343" t="str">
        <f t="shared" si="5"/>
        <v/>
      </c>
    </row>
    <row r="344" spans="1:15" x14ac:dyDescent="0.25">
      <c r="A344" t="s">
        <v>1901</v>
      </c>
      <c r="B344" t="s">
        <v>1902</v>
      </c>
      <c r="C344" t="s">
        <v>205</v>
      </c>
      <c r="D344">
        <v>2026</v>
      </c>
      <c r="E344" t="s">
        <v>56</v>
      </c>
      <c r="F344" t="s">
        <v>67</v>
      </c>
      <c r="G344" t="s">
        <v>1124</v>
      </c>
      <c r="H344" t="s">
        <v>1903</v>
      </c>
      <c r="I344" t="s">
        <v>1904</v>
      </c>
      <c r="J344" t="s">
        <v>79</v>
      </c>
      <c r="K344" t="s">
        <v>80</v>
      </c>
      <c r="L344" t="s">
        <v>72</v>
      </c>
      <c r="M344" t="s">
        <v>72</v>
      </c>
      <c r="N344" s="5"/>
      <c r="O344" t="str">
        <f t="shared" si="5"/>
        <v/>
      </c>
    </row>
    <row r="345" spans="1:15" x14ac:dyDescent="0.25">
      <c r="A345" t="s">
        <v>1905</v>
      </c>
      <c r="B345" t="s">
        <v>1906</v>
      </c>
      <c r="C345" t="s">
        <v>117</v>
      </c>
      <c r="D345">
        <v>2026</v>
      </c>
      <c r="E345" t="s">
        <v>56</v>
      </c>
      <c r="F345" t="s">
        <v>57</v>
      </c>
      <c r="G345" t="s">
        <v>702</v>
      </c>
      <c r="H345" t="s">
        <v>1907</v>
      </c>
      <c r="I345" t="s">
        <v>1908</v>
      </c>
      <c r="J345" t="s">
        <v>61</v>
      </c>
      <c r="K345" t="s">
        <v>62</v>
      </c>
      <c r="L345" t="s">
        <v>63</v>
      </c>
      <c r="M345" t="s">
        <v>63</v>
      </c>
      <c r="N345" s="5"/>
      <c r="O345" t="str">
        <f t="shared" si="5"/>
        <v/>
      </c>
    </row>
    <row r="346" spans="1:15" x14ac:dyDescent="0.25">
      <c r="A346" t="s">
        <v>1909</v>
      </c>
      <c r="B346" t="s">
        <v>1910</v>
      </c>
      <c r="C346" t="s">
        <v>1749</v>
      </c>
      <c r="D346">
        <v>2026</v>
      </c>
      <c r="E346" t="s">
        <v>56</v>
      </c>
      <c r="F346" t="s">
        <v>57</v>
      </c>
      <c r="G346" t="s">
        <v>1911</v>
      </c>
      <c r="H346" t="s">
        <v>1912</v>
      </c>
      <c r="I346" t="s">
        <v>1913</v>
      </c>
      <c r="J346" t="s">
        <v>61</v>
      </c>
      <c r="K346" t="s">
        <v>62</v>
      </c>
      <c r="L346" t="s">
        <v>63</v>
      </c>
      <c r="M346" t="s">
        <v>63</v>
      </c>
      <c r="N346" s="5"/>
      <c r="O346" t="str">
        <f t="shared" si="5"/>
        <v/>
      </c>
    </row>
    <row r="347" spans="1:15" x14ac:dyDescent="0.25">
      <c r="A347" t="s">
        <v>1914</v>
      </c>
      <c r="B347" t="s">
        <v>1915</v>
      </c>
      <c r="C347" t="s">
        <v>1916</v>
      </c>
      <c r="D347">
        <v>2026</v>
      </c>
      <c r="E347" t="s">
        <v>56</v>
      </c>
      <c r="F347" t="s">
        <v>57</v>
      </c>
      <c r="G347" t="s">
        <v>1917</v>
      </c>
      <c r="H347" t="s">
        <v>1918</v>
      </c>
      <c r="I347" t="s">
        <v>1919</v>
      </c>
      <c r="J347" t="s">
        <v>71</v>
      </c>
      <c r="K347" t="s">
        <v>18</v>
      </c>
      <c r="L347" t="s">
        <v>72</v>
      </c>
      <c r="M347" t="s">
        <v>72</v>
      </c>
      <c r="N347" s="5"/>
      <c r="O347" t="str">
        <f t="shared" si="5"/>
        <v/>
      </c>
    </row>
    <row r="348" spans="1:15" x14ac:dyDescent="0.25">
      <c r="A348" t="s">
        <v>1920</v>
      </c>
      <c r="B348" t="s">
        <v>1921</v>
      </c>
      <c r="C348" t="s">
        <v>1922</v>
      </c>
      <c r="D348">
        <v>2026</v>
      </c>
      <c r="E348" t="s">
        <v>56</v>
      </c>
      <c r="F348" t="s">
        <v>67</v>
      </c>
      <c r="G348" t="s">
        <v>1265</v>
      </c>
      <c r="H348" t="s">
        <v>1923</v>
      </c>
      <c r="I348" t="s">
        <v>1924</v>
      </c>
      <c r="J348" t="s">
        <v>71</v>
      </c>
      <c r="K348" t="s">
        <v>18</v>
      </c>
      <c r="L348" t="s">
        <v>72</v>
      </c>
      <c r="M348" t="s">
        <v>72</v>
      </c>
      <c r="N348" s="5"/>
      <c r="O348" t="str">
        <f t="shared" si="5"/>
        <v/>
      </c>
    </row>
    <row r="349" spans="1:15" x14ac:dyDescent="0.25">
      <c r="A349" t="s">
        <v>1925</v>
      </c>
      <c r="B349" t="s">
        <v>1926</v>
      </c>
      <c r="C349" t="s">
        <v>1238</v>
      </c>
      <c r="D349">
        <v>2026</v>
      </c>
      <c r="E349" t="s">
        <v>56</v>
      </c>
      <c r="F349" t="s">
        <v>57</v>
      </c>
      <c r="G349" t="s">
        <v>1927</v>
      </c>
      <c r="H349" t="s">
        <v>1928</v>
      </c>
      <c r="I349" t="s">
        <v>1929</v>
      </c>
      <c r="J349" t="s">
        <v>61</v>
      </c>
      <c r="K349" t="s">
        <v>62</v>
      </c>
      <c r="L349" t="s">
        <v>63</v>
      </c>
      <c r="M349" t="s">
        <v>63</v>
      </c>
      <c r="N349" s="5"/>
      <c r="O349" t="str">
        <f t="shared" si="5"/>
        <v/>
      </c>
    </row>
    <row r="350" spans="1:15" x14ac:dyDescent="0.25">
      <c r="A350" t="s">
        <v>1930</v>
      </c>
      <c r="B350" t="s">
        <v>1931</v>
      </c>
      <c r="C350" t="s">
        <v>1932</v>
      </c>
      <c r="D350">
        <v>2026</v>
      </c>
      <c r="E350" t="s">
        <v>56</v>
      </c>
      <c r="F350" t="s">
        <v>67</v>
      </c>
      <c r="G350" t="s">
        <v>1933</v>
      </c>
      <c r="H350" t="s">
        <v>1934</v>
      </c>
      <c r="I350" t="s">
        <v>1935</v>
      </c>
      <c r="J350" t="s">
        <v>71</v>
      </c>
      <c r="K350" t="s">
        <v>18</v>
      </c>
      <c r="L350" t="s">
        <v>72</v>
      </c>
      <c r="M350" t="s">
        <v>72</v>
      </c>
      <c r="N350" s="5"/>
      <c r="O350" t="str">
        <f t="shared" si="5"/>
        <v/>
      </c>
    </row>
    <row r="351" spans="1:15" x14ac:dyDescent="0.25">
      <c r="A351" t="s">
        <v>1936</v>
      </c>
      <c r="B351" t="s">
        <v>1937</v>
      </c>
      <c r="C351" t="s">
        <v>991</v>
      </c>
      <c r="D351">
        <v>2026</v>
      </c>
      <c r="E351" t="s">
        <v>56</v>
      </c>
      <c r="F351" t="s">
        <v>57</v>
      </c>
      <c r="G351" t="s">
        <v>1938</v>
      </c>
      <c r="H351" t="s">
        <v>1939</v>
      </c>
      <c r="I351" t="s">
        <v>1940</v>
      </c>
      <c r="J351" t="s">
        <v>71</v>
      </c>
      <c r="K351" t="s">
        <v>18</v>
      </c>
      <c r="L351" t="s">
        <v>72</v>
      </c>
      <c r="M351" t="s">
        <v>72</v>
      </c>
      <c r="N351" s="5"/>
      <c r="O351" t="str">
        <f t="shared" si="5"/>
        <v/>
      </c>
    </row>
    <row r="352" spans="1:15" x14ac:dyDescent="0.25">
      <c r="A352" t="s">
        <v>1941</v>
      </c>
      <c r="B352" t="s">
        <v>1942</v>
      </c>
      <c r="C352" t="s">
        <v>1943</v>
      </c>
      <c r="D352">
        <v>2026</v>
      </c>
      <c r="E352" t="s">
        <v>56</v>
      </c>
      <c r="F352" t="s">
        <v>67</v>
      </c>
      <c r="G352" t="s">
        <v>1944</v>
      </c>
      <c r="H352" t="s">
        <v>1945</v>
      </c>
      <c r="I352" t="s">
        <v>1946</v>
      </c>
      <c r="J352" t="s">
        <v>87</v>
      </c>
      <c r="K352" t="s">
        <v>19</v>
      </c>
      <c r="L352" t="s">
        <v>72</v>
      </c>
      <c r="M352" t="s">
        <v>72</v>
      </c>
      <c r="N352" s="5"/>
      <c r="O352" t="str">
        <f t="shared" si="5"/>
        <v/>
      </c>
    </row>
    <row r="353" spans="1:15" x14ac:dyDescent="0.25">
      <c r="A353" t="s">
        <v>1947</v>
      </c>
      <c r="B353" t="s">
        <v>1948</v>
      </c>
      <c r="C353" t="s">
        <v>1949</v>
      </c>
      <c r="D353">
        <v>2026</v>
      </c>
      <c r="E353" t="s">
        <v>56</v>
      </c>
      <c r="F353" t="s">
        <v>67</v>
      </c>
      <c r="G353" t="s">
        <v>188</v>
      </c>
      <c r="H353" t="s">
        <v>1950</v>
      </c>
      <c r="I353" t="s">
        <v>1951</v>
      </c>
      <c r="J353" t="s">
        <v>87</v>
      </c>
      <c r="K353" t="s">
        <v>19</v>
      </c>
      <c r="L353" t="s">
        <v>72</v>
      </c>
      <c r="M353" t="s">
        <v>72</v>
      </c>
      <c r="N353" s="5"/>
      <c r="O353" t="str">
        <f t="shared" si="5"/>
        <v/>
      </c>
    </row>
    <row r="354" spans="1:15" x14ac:dyDescent="0.25">
      <c r="A354" t="s">
        <v>1952</v>
      </c>
      <c r="B354" t="s">
        <v>1953</v>
      </c>
      <c r="C354" t="s">
        <v>1954</v>
      </c>
      <c r="D354">
        <v>2026</v>
      </c>
      <c r="E354" t="s">
        <v>56</v>
      </c>
      <c r="F354" t="s">
        <v>67</v>
      </c>
      <c r="G354" t="s">
        <v>1955</v>
      </c>
      <c r="H354" t="s">
        <v>1956</v>
      </c>
      <c r="I354" t="s">
        <v>1957</v>
      </c>
      <c r="J354" t="s">
        <v>71</v>
      </c>
      <c r="K354" t="s">
        <v>18</v>
      </c>
      <c r="L354" t="s">
        <v>72</v>
      </c>
      <c r="M354" t="s">
        <v>72</v>
      </c>
      <c r="N354" s="5"/>
      <c r="O354" t="str">
        <f t="shared" si="5"/>
        <v/>
      </c>
    </row>
    <row r="355" spans="1:15" x14ac:dyDescent="0.25">
      <c r="A355" t="s">
        <v>1958</v>
      </c>
      <c r="B355" t="s">
        <v>1959</v>
      </c>
      <c r="C355" t="s">
        <v>1960</v>
      </c>
      <c r="D355">
        <v>2026</v>
      </c>
      <c r="E355" t="s">
        <v>56</v>
      </c>
      <c r="F355" t="s">
        <v>57</v>
      </c>
      <c r="G355" t="s">
        <v>1415</v>
      </c>
      <c r="H355" t="s">
        <v>1961</v>
      </c>
      <c r="I355" t="s">
        <v>1962</v>
      </c>
      <c r="J355" t="s">
        <v>87</v>
      </c>
      <c r="K355" t="s">
        <v>19</v>
      </c>
      <c r="L355" t="s">
        <v>72</v>
      </c>
      <c r="M355" t="s">
        <v>72</v>
      </c>
      <c r="N355" s="5"/>
      <c r="O355" t="str">
        <f t="shared" si="5"/>
        <v/>
      </c>
    </row>
    <row r="356" spans="1:15" x14ac:dyDescent="0.25">
      <c r="A356" t="s">
        <v>1963</v>
      </c>
      <c r="B356" t="s">
        <v>1964</v>
      </c>
      <c r="C356" t="s">
        <v>1965</v>
      </c>
      <c r="D356">
        <v>2026</v>
      </c>
      <c r="E356" t="s">
        <v>56</v>
      </c>
      <c r="F356" t="s">
        <v>67</v>
      </c>
      <c r="G356" t="s">
        <v>556</v>
      </c>
      <c r="H356" t="s">
        <v>1966</v>
      </c>
      <c r="I356" t="s">
        <v>1967</v>
      </c>
      <c r="J356" t="s">
        <v>71</v>
      </c>
      <c r="K356" t="s">
        <v>18</v>
      </c>
      <c r="L356" t="s">
        <v>72</v>
      </c>
      <c r="M356" t="s">
        <v>72</v>
      </c>
      <c r="N356" s="5"/>
      <c r="O356" t="str">
        <f t="shared" si="5"/>
        <v/>
      </c>
    </row>
    <row r="357" spans="1:15" x14ac:dyDescent="0.25">
      <c r="A357" t="s">
        <v>1968</v>
      </c>
      <c r="B357" t="s">
        <v>1969</v>
      </c>
      <c r="C357" t="s">
        <v>1970</v>
      </c>
      <c r="D357">
        <v>2026</v>
      </c>
      <c r="E357" t="s">
        <v>56</v>
      </c>
      <c r="F357" t="s">
        <v>57</v>
      </c>
      <c r="G357" t="s">
        <v>1971</v>
      </c>
      <c r="H357" t="s">
        <v>1972</v>
      </c>
      <c r="I357" t="s">
        <v>1973</v>
      </c>
      <c r="J357" t="s">
        <v>87</v>
      </c>
      <c r="K357" t="s">
        <v>19</v>
      </c>
      <c r="L357" t="s">
        <v>72</v>
      </c>
      <c r="M357" t="s">
        <v>72</v>
      </c>
      <c r="N357" s="5"/>
      <c r="O357" t="str">
        <f t="shared" si="5"/>
        <v/>
      </c>
    </row>
    <row r="358" spans="1:15" x14ac:dyDescent="0.25">
      <c r="A358" t="s">
        <v>1974</v>
      </c>
      <c r="B358" t="s">
        <v>1975</v>
      </c>
      <c r="C358" t="s">
        <v>1976</v>
      </c>
      <c r="D358">
        <v>2026</v>
      </c>
      <c r="E358" t="s">
        <v>56</v>
      </c>
      <c r="F358" t="s">
        <v>67</v>
      </c>
      <c r="G358" t="s">
        <v>235</v>
      </c>
      <c r="H358" t="s">
        <v>1977</v>
      </c>
      <c r="I358" t="s">
        <v>1978</v>
      </c>
      <c r="J358" t="s">
        <v>71</v>
      </c>
      <c r="K358" t="s">
        <v>18</v>
      </c>
      <c r="L358" t="s">
        <v>72</v>
      </c>
      <c r="M358" t="s">
        <v>72</v>
      </c>
      <c r="N358" s="5"/>
      <c r="O358" t="str">
        <f t="shared" si="5"/>
        <v/>
      </c>
    </row>
    <row r="359" spans="1:15" x14ac:dyDescent="0.25">
      <c r="A359" t="s">
        <v>1979</v>
      </c>
      <c r="B359" t="s">
        <v>1980</v>
      </c>
      <c r="C359" t="s">
        <v>1866</v>
      </c>
      <c r="D359">
        <v>2026</v>
      </c>
      <c r="E359" t="s">
        <v>56</v>
      </c>
      <c r="F359" t="s">
        <v>67</v>
      </c>
      <c r="G359" t="s">
        <v>84</v>
      </c>
      <c r="H359" t="s">
        <v>1981</v>
      </c>
      <c r="I359" t="s">
        <v>1982</v>
      </c>
      <c r="J359" t="s">
        <v>79</v>
      </c>
      <c r="K359" t="s">
        <v>80</v>
      </c>
      <c r="L359" t="s">
        <v>72</v>
      </c>
      <c r="M359" t="s">
        <v>72</v>
      </c>
      <c r="N359" s="5"/>
      <c r="O359" t="str">
        <f t="shared" si="5"/>
        <v/>
      </c>
    </row>
    <row r="360" spans="1:15" x14ac:dyDescent="0.25">
      <c r="A360" t="s">
        <v>1983</v>
      </c>
      <c r="B360" t="s">
        <v>1984</v>
      </c>
      <c r="C360" t="s">
        <v>1985</v>
      </c>
      <c r="D360">
        <v>2026</v>
      </c>
      <c r="E360" t="s">
        <v>56</v>
      </c>
      <c r="F360" t="s">
        <v>57</v>
      </c>
      <c r="G360" t="s">
        <v>702</v>
      </c>
      <c r="H360" t="s">
        <v>1986</v>
      </c>
      <c r="I360" t="s">
        <v>1987</v>
      </c>
      <c r="J360" t="s">
        <v>79</v>
      </c>
      <c r="K360" t="s">
        <v>80</v>
      </c>
      <c r="L360" t="s">
        <v>72</v>
      </c>
      <c r="M360" t="s">
        <v>72</v>
      </c>
      <c r="N360" s="5"/>
      <c r="O360" t="str">
        <f t="shared" si="5"/>
        <v/>
      </c>
    </row>
    <row r="361" spans="1:15" x14ac:dyDescent="0.25">
      <c r="A361" t="s">
        <v>1988</v>
      </c>
      <c r="B361" t="s">
        <v>1989</v>
      </c>
      <c r="C361" t="s">
        <v>1990</v>
      </c>
      <c r="D361">
        <v>2026</v>
      </c>
      <c r="E361" t="s">
        <v>56</v>
      </c>
      <c r="F361" t="s">
        <v>67</v>
      </c>
      <c r="G361" t="s">
        <v>1955</v>
      </c>
      <c r="H361" t="s">
        <v>1991</v>
      </c>
      <c r="I361" t="s">
        <v>1992</v>
      </c>
      <c r="J361" t="s">
        <v>71</v>
      </c>
      <c r="K361" t="s">
        <v>18</v>
      </c>
      <c r="L361" t="s">
        <v>72</v>
      </c>
      <c r="M361" t="s">
        <v>72</v>
      </c>
      <c r="N361" s="5"/>
      <c r="O361" t="str">
        <f t="shared" si="5"/>
        <v/>
      </c>
    </row>
    <row r="362" spans="1:15" x14ac:dyDescent="0.25">
      <c r="A362" t="s">
        <v>1993</v>
      </c>
      <c r="B362" t="s">
        <v>1994</v>
      </c>
      <c r="C362" t="s">
        <v>1995</v>
      </c>
      <c r="D362">
        <v>2026</v>
      </c>
      <c r="E362" t="s">
        <v>56</v>
      </c>
      <c r="F362" t="s">
        <v>67</v>
      </c>
      <c r="G362" t="s">
        <v>1996</v>
      </c>
      <c r="H362" t="s">
        <v>1997</v>
      </c>
      <c r="I362" t="s">
        <v>1998</v>
      </c>
      <c r="J362" t="s">
        <v>87</v>
      </c>
      <c r="K362" t="s">
        <v>19</v>
      </c>
      <c r="L362" t="s">
        <v>72</v>
      </c>
      <c r="M362" t="s">
        <v>72</v>
      </c>
      <c r="N362" s="5"/>
      <c r="O362" t="str">
        <f t="shared" si="5"/>
        <v/>
      </c>
    </row>
    <row r="363" spans="1:15" x14ac:dyDescent="0.25">
      <c r="A363" t="s">
        <v>1999</v>
      </c>
      <c r="B363" t="s">
        <v>2000</v>
      </c>
      <c r="C363" t="s">
        <v>2001</v>
      </c>
      <c r="D363">
        <v>2026</v>
      </c>
      <c r="E363" t="s">
        <v>56</v>
      </c>
      <c r="F363" t="s">
        <v>67</v>
      </c>
      <c r="G363" t="s">
        <v>556</v>
      </c>
      <c r="H363" t="s">
        <v>2002</v>
      </c>
      <c r="I363" t="s">
        <v>2003</v>
      </c>
      <c r="J363" t="s">
        <v>71</v>
      </c>
      <c r="K363" t="s">
        <v>18</v>
      </c>
      <c r="L363" t="s">
        <v>72</v>
      </c>
      <c r="M363" t="s">
        <v>72</v>
      </c>
      <c r="N363" s="5"/>
      <c r="O363" t="str">
        <f t="shared" si="5"/>
        <v/>
      </c>
    </row>
    <row r="364" spans="1:15" x14ac:dyDescent="0.25">
      <c r="A364" t="s">
        <v>2004</v>
      </c>
      <c r="B364" t="s">
        <v>2005</v>
      </c>
      <c r="C364" t="s">
        <v>117</v>
      </c>
      <c r="D364">
        <v>2026</v>
      </c>
      <c r="E364" t="s">
        <v>56</v>
      </c>
      <c r="F364" t="s">
        <v>67</v>
      </c>
      <c r="G364" t="s">
        <v>2006</v>
      </c>
      <c r="H364" t="s">
        <v>2007</v>
      </c>
      <c r="I364" t="s">
        <v>2008</v>
      </c>
      <c r="J364" t="s">
        <v>79</v>
      </c>
      <c r="K364" t="s">
        <v>80</v>
      </c>
      <c r="L364" t="s">
        <v>72</v>
      </c>
      <c r="M364" t="s">
        <v>72</v>
      </c>
      <c r="N364" s="5"/>
      <c r="O364" t="str">
        <f t="shared" si="5"/>
        <v/>
      </c>
    </row>
    <row r="365" spans="1:15" x14ac:dyDescent="0.25">
      <c r="A365" t="s">
        <v>2009</v>
      </c>
      <c r="B365" t="s">
        <v>2010</v>
      </c>
      <c r="C365" t="s">
        <v>2011</v>
      </c>
      <c r="D365">
        <v>2026</v>
      </c>
      <c r="E365" t="s">
        <v>56</v>
      </c>
      <c r="F365" t="s">
        <v>67</v>
      </c>
      <c r="G365" t="s">
        <v>2012</v>
      </c>
      <c r="H365" t="s">
        <v>2013</v>
      </c>
      <c r="I365" t="s">
        <v>2014</v>
      </c>
      <c r="J365" t="s">
        <v>71</v>
      </c>
      <c r="K365" t="s">
        <v>18</v>
      </c>
      <c r="L365" t="s">
        <v>72</v>
      </c>
      <c r="M365" t="s">
        <v>72</v>
      </c>
      <c r="N365" s="5"/>
      <c r="O365" t="str">
        <f t="shared" si="5"/>
        <v/>
      </c>
    </row>
    <row r="366" spans="1:15" x14ac:dyDescent="0.25">
      <c r="A366" t="s">
        <v>2015</v>
      </c>
      <c r="B366" t="s">
        <v>2016</v>
      </c>
      <c r="C366" t="s">
        <v>2017</v>
      </c>
      <c r="D366">
        <v>2026</v>
      </c>
      <c r="E366" t="s">
        <v>56</v>
      </c>
      <c r="F366" t="s">
        <v>67</v>
      </c>
      <c r="G366" t="s">
        <v>2018</v>
      </c>
      <c r="H366" t="s">
        <v>2019</v>
      </c>
      <c r="I366" t="s">
        <v>2020</v>
      </c>
      <c r="J366" t="s">
        <v>71</v>
      </c>
      <c r="K366" t="s">
        <v>18</v>
      </c>
      <c r="L366" t="s">
        <v>72</v>
      </c>
      <c r="M366" t="s">
        <v>72</v>
      </c>
      <c r="N366" s="5"/>
      <c r="O366" t="str">
        <f t="shared" si="5"/>
        <v/>
      </c>
    </row>
    <row r="367" spans="1:15" x14ac:dyDescent="0.25">
      <c r="A367" t="s">
        <v>2021</v>
      </c>
      <c r="B367" t="s">
        <v>2022</v>
      </c>
      <c r="C367" t="s">
        <v>2023</v>
      </c>
      <c r="D367">
        <v>2026</v>
      </c>
      <c r="E367" t="s">
        <v>56</v>
      </c>
      <c r="F367" t="s">
        <v>57</v>
      </c>
      <c r="G367" t="s">
        <v>2024</v>
      </c>
      <c r="H367" t="s">
        <v>2025</v>
      </c>
      <c r="I367" t="s">
        <v>2026</v>
      </c>
      <c r="J367" t="s">
        <v>71</v>
      </c>
      <c r="K367" t="s">
        <v>18</v>
      </c>
      <c r="L367" t="s">
        <v>72</v>
      </c>
      <c r="M367" t="s">
        <v>72</v>
      </c>
      <c r="N367" s="5"/>
      <c r="O367" t="str">
        <f t="shared" si="5"/>
        <v/>
      </c>
    </row>
    <row r="368" spans="1:15" x14ac:dyDescent="0.25">
      <c r="A368" t="s">
        <v>2027</v>
      </c>
      <c r="B368" t="s">
        <v>2028</v>
      </c>
      <c r="C368" t="s">
        <v>205</v>
      </c>
      <c r="D368">
        <v>2026</v>
      </c>
      <c r="E368" t="s">
        <v>56</v>
      </c>
      <c r="F368" t="s">
        <v>67</v>
      </c>
      <c r="G368" t="s">
        <v>2029</v>
      </c>
      <c r="H368" t="s">
        <v>2030</v>
      </c>
      <c r="I368" t="s">
        <v>2031</v>
      </c>
      <c r="J368" t="s">
        <v>71</v>
      </c>
      <c r="K368" t="s">
        <v>18</v>
      </c>
      <c r="L368" t="s">
        <v>72</v>
      </c>
      <c r="M368" t="s">
        <v>72</v>
      </c>
      <c r="N368" s="5"/>
      <c r="O368" t="str">
        <f t="shared" si="5"/>
        <v/>
      </c>
    </row>
    <row r="369" spans="1:15" x14ac:dyDescent="0.25">
      <c r="A369" t="s">
        <v>2032</v>
      </c>
      <c r="B369" t="s">
        <v>2033</v>
      </c>
      <c r="C369" t="s">
        <v>2034</v>
      </c>
      <c r="D369">
        <v>2026</v>
      </c>
      <c r="E369" t="s">
        <v>56</v>
      </c>
      <c r="F369" t="s">
        <v>67</v>
      </c>
      <c r="G369" t="s">
        <v>2035</v>
      </c>
      <c r="H369" t="s">
        <v>2036</v>
      </c>
      <c r="I369" t="s">
        <v>2037</v>
      </c>
      <c r="J369" t="s">
        <v>87</v>
      </c>
      <c r="K369" t="s">
        <v>19</v>
      </c>
      <c r="L369" t="s">
        <v>72</v>
      </c>
      <c r="M369" t="s">
        <v>72</v>
      </c>
      <c r="N369" s="5"/>
      <c r="O369" t="str">
        <f t="shared" si="5"/>
        <v/>
      </c>
    </row>
    <row r="370" spans="1:15" x14ac:dyDescent="0.25">
      <c r="A370" t="s">
        <v>2038</v>
      </c>
      <c r="B370" t="s">
        <v>2039</v>
      </c>
      <c r="C370" t="s">
        <v>2040</v>
      </c>
      <c r="D370">
        <v>2026</v>
      </c>
      <c r="E370" t="s">
        <v>56</v>
      </c>
      <c r="F370" t="s">
        <v>67</v>
      </c>
      <c r="G370" t="s">
        <v>2041</v>
      </c>
      <c r="H370" t="s">
        <v>2042</v>
      </c>
      <c r="I370" t="s">
        <v>2043</v>
      </c>
      <c r="J370" t="s">
        <v>87</v>
      </c>
      <c r="K370" t="s">
        <v>19</v>
      </c>
      <c r="L370" t="s">
        <v>72</v>
      </c>
      <c r="M370" t="s">
        <v>72</v>
      </c>
      <c r="N370" s="5"/>
      <c r="O370" t="str">
        <f t="shared" si="5"/>
        <v/>
      </c>
    </row>
    <row r="371" spans="1:15" x14ac:dyDescent="0.25">
      <c r="A371" t="s">
        <v>2044</v>
      </c>
      <c r="B371" t="s">
        <v>2045</v>
      </c>
      <c r="C371" t="s">
        <v>815</v>
      </c>
      <c r="D371">
        <v>2026</v>
      </c>
      <c r="E371" t="s">
        <v>56</v>
      </c>
      <c r="F371" t="s">
        <v>57</v>
      </c>
      <c r="G371" t="s">
        <v>2046</v>
      </c>
      <c r="H371" t="s">
        <v>2047</v>
      </c>
      <c r="I371" t="s">
        <v>2048</v>
      </c>
      <c r="J371" t="s">
        <v>71</v>
      </c>
      <c r="K371" t="s">
        <v>18</v>
      </c>
      <c r="L371" t="s">
        <v>72</v>
      </c>
      <c r="M371" t="s">
        <v>72</v>
      </c>
      <c r="N371" s="5"/>
      <c r="O371" t="str">
        <f t="shared" si="5"/>
        <v/>
      </c>
    </row>
    <row r="372" spans="1:15" x14ac:dyDescent="0.25">
      <c r="A372" t="s">
        <v>2049</v>
      </c>
      <c r="B372" t="s">
        <v>2050</v>
      </c>
      <c r="C372" t="s">
        <v>555</v>
      </c>
      <c r="D372">
        <v>2026</v>
      </c>
      <c r="E372" t="s">
        <v>56</v>
      </c>
      <c r="F372" t="s">
        <v>67</v>
      </c>
      <c r="G372" t="s">
        <v>84</v>
      </c>
      <c r="H372" t="s">
        <v>2051</v>
      </c>
      <c r="I372" t="s">
        <v>2052</v>
      </c>
      <c r="J372" t="s">
        <v>98</v>
      </c>
      <c r="K372" t="s">
        <v>99</v>
      </c>
      <c r="L372" t="s">
        <v>63</v>
      </c>
      <c r="M372" t="s">
        <v>72</v>
      </c>
      <c r="N372" s="5"/>
      <c r="O372" t="str">
        <f t="shared" si="5"/>
        <v/>
      </c>
    </row>
    <row r="373" spans="1:15" x14ac:dyDescent="0.25">
      <c r="A373" t="s">
        <v>2053</v>
      </c>
      <c r="B373" t="s">
        <v>2054</v>
      </c>
      <c r="C373" t="s">
        <v>2055</v>
      </c>
      <c r="D373">
        <v>2026</v>
      </c>
      <c r="E373" t="s">
        <v>56</v>
      </c>
      <c r="F373" t="s">
        <v>67</v>
      </c>
      <c r="G373" t="s">
        <v>2056</v>
      </c>
      <c r="H373" t="s">
        <v>2057</v>
      </c>
      <c r="I373" t="s">
        <v>2058</v>
      </c>
      <c r="J373" t="s">
        <v>87</v>
      </c>
      <c r="K373" t="s">
        <v>19</v>
      </c>
      <c r="L373" t="s">
        <v>72</v>
      </c>
      <c r="M373" t="s">
        <v>72</v>
      </c>
      <c r="N373" s="5"/>
      <c r="O373" t="str">
        <f t="shared" si="5"/>
        <v/>
      </c>
    </row>
    <row r="374" spans="1:15" x14ac:dyDescent="0.25">
      <c r="A374" t="s">
        <v>2059</v>
      </c>
      <c r="B374" t="s">
        <v>2060</v>
      </c>
      <c r="C374" t="s">
        <v>2061</v>
      </c>
      <c r="D374">
        <v>2026</v>
      </c>
      <c r="E374" t="s">
        <v>56</v>
      </c>
      <c r="F374" t="s">
        <v>57</v>
      </c>
      <c r="G374" t="s">
        <v>2062</v>
      </c>
      <c r="H374" t="s">
        <v>2063</v>
      </c>
      <c r="I374" t="s">
        <v>2064</v>
      </c>
      <c r="J374" t="s">
        <v>98</v>
      </c>
      <c r="K374" t="s">
        <v>99</v>
      </c>
      <c r="L374" t="s">
        <v>63</v>
      </c>
      <c r="M374" t="s">
        <v>72</v>
      </c>
      <c r="N374" s="5"/>
      <c r="O374" t="str">
        <f t="shared" si="5"/>
        <v/>
      </c>
    </row>
    <row r="375" spans="1:15" x14ac:dyDescent="0.25">
      <c r="A375" t="s">
        <v>2065</v>
      </c>
      <c r="B375" t="s">
        <v>2066</v>
      </c>
      <c r="C375" t="s">
        <v>2067</v>
      </c>
      <c r="D375">
        <v>2026</v>
      </c>
      <c r="E375" t="s">
        <v>56</v>
      </c>
      <c r="F375" t="s">
        <v>67</v>
      </c>
      <c r="G375" t="s">
        <v>772</v>
      </c>
      <c r="H375" t="s">
        <v>2068</v>
      </c>
      <c r="I375" t="s">
        <v>2069</v>
      </c>
      <c r="J375" t="s">
        <v>71</v>
      </c>
      <c r="K375" t="s">
        <v>18</v>
      </c>
      <c r="L375" t="s">
        <v>72</v>
      </c>
      <c r="M375" t="s">
        <v>72</v>
      </c>
      <c r="N375" s="5"/>
      <c r="O375" t="str">
        <f t="shared" si="5"/>
        <v/>
      </c>
    </row>
    <row r="376" spans="1:15" x14ac:dyDescent="0.25">
      <c r="A376" t="s">
        <v>2070</v>
      </c>
      <c r="B376" t="s">
        <v>2071</v>
      </c>
      <c r="C376" t="s">
        <v>571</v>
      </c>
      <c r="D376">
        <v>2026</v>
      </c>
      <c r="E376" t="s">
        <v>56</v>
      </c>
      <c r="F376" t="s">
        <v>57</v>
      </c>
      <c r="G376" t="s">
        <v>368</v>
      </c>
      <c r="H376" t="s">
        <v>2072</v>
      </c>
      <c r="I376" t="s">
        <v>2073</v>
      </c>
      <c r="J376" t="s">
        <v>87</v>
      </c>
      <c r="K376" t="s">
        <v>19</v>
      </c>
      <c r="L376" t="s">
        <v>72</v>
      </c>
      <c r="M376" t="s">
        <v>72</v>
      </c>
      <c r="N376" s="5"/>
      <c r="O376" t="str">
        <f t="shared" si="5"/>
        <v/>
      </c>
    </row>
    <row r="377" spans="1:15" x14ac:dyDescent="0.25">
      <c r="A377" t="s">
        <v>2074</v>
      </c>
      <c r="B377" t="s">
        <v>2075</v>
      </c>
      <c r="C377" t="s">
        <v>2076</v>
      </c>
      <c r="D377">
        <v>2026</v>
      </c>
      <c r="E377" t="s">
        <v>56</v>
      </c>
      <c r="F377" t="s">
        <v>57</v>
      </c>
      <c r="G377" t="s">
        <v>200</v>
      </c>
      <c r="H377" t="s">
        <v>2077</v>
      </c>
      <c r="I377" t="s">
        <v>2078</v>
      </c>
      <c r="J377" t="s">
        <v>61</v>
      </c>
      <c r="K377" t="s">
        <v>62</v>
      </c>
      <c r="L377" t="s">
        <v>63</v>
      </c>
      <c r="M377" t="s">
        <v>63</v>
      </c>
      <c r="N377" s="5"/>
      <c r="O377" t="str">
        <f t="shared" si="5"/>
        <v/>
      </c>
    </row>
    <row r="378" spans="1:15" x14ac:dyDescent="0.25">
      <c r="A378" t="s">
        <v>2079</v>
      </c>
      <c r="B378" t="s">
        <v>2080</v>
      </c>
      <c r="C378" t="s">
        <v>2081</v>
      </c>
      <c r="D378">
        <v>2026</v>
      </c>
      <c r="E378" t="s">
        <v>56</v>
      </c>
      <c r="F378" t="s">
        <v>57</v>
      </c>
      <c r="G378" t="s">
        <v>750</v>
      </c>
      <c r="H378" t="s">
        <v>2082</v>
      </c>
      <c r="I378" t="s">
        <v>2083</v>
      </c>
      <c r="J378" t="s">
        <v>87</v>
      </c>
      <c r="K378" t="s">
        <v>19</v>
      </c>
      <c r="L378" t="s">
        <v>72</v>
      </c>
      <c r="M378" t="s">
        <v>72</v>
      </c>
      <c r="N378" s="5"/>
      <c r="O378" t="str">
        <f t="shared" si="5"/>
        <v/>
      </c>
    </row>
    <row r="379" spans="1:15" x14ac:dyDescent="0.25">
      <c r="A379" t="s">
        <v>2084</v>
      </c>
      <c r="B379" t="s">
        <v>2085</v>
      </c>
      <c r="C379" t="s">
        <v>2086</v>
      </c>
      <c r="D379">
        <v>2026</v>
      </c>
      <c r="E379" t="s">
        <v>56</v>
      </c>
      <c r="F379" t="s">
        <v>57</v>
      </c>
      <c r="G379" t="s">
        <v>2087</v>
      </c>
      <c r="H379" t="s">
        <v>2088</v>
      </c>
      <c r="I379" t="s">
        <v>2089</v>
      </c>
      <c r="J379" t="s">
        <v>71</v>
      </c>
      <c r="K379" t="s">
        <v>18</v>
      </c>
      <c r="L379" t="s">
        <v>72</v>
      </c>
      <c r="M379" t="s">
        <v>72</v>
      </c>
      <c r="N379" s="5"/>
      <c r="O379" t="str">
        <f t="shared" si="5"/>
        <v/>
      </c>
    </row>
    <row r="380" spans="1:15" x14ac:dyDescent="0.25">
      <c r="A380" t="s">
        <v>2090</v>
      </c>
      <c r="B380" t="s">
        <v>2091</v>
      </c>
      <c r="C380" t="s">
        <v>2092</v>
      </c>
      <c r="D380">
        <v>2026</v>
      </c>
      <c r="E380" t="s">
        <v>56</v>
      </c>
      <c r="F380" t="s">
        <v>67</v>
      </c>
      <c r="G380" t="s">
        <v>188</v>
      </c>
      <c r="H380" t="s">
        <v>2093</v>
      </c>
      <c r="I380" t="s">
        <v>2094</v>
      </c>
      <c r="J380" t="s">
        <v>71</v>
      </c>
      <c r="K380" t="s">
        <v>18</v>
      </c>
      <c r="L380" t="s">
        <v>72</v>
      </c>
      <c r="M380" t="s">
        <v>72</v>
      </c>
      <c r="N380" s="5"/>
      <c r="O380" t="str">
        <f t="shared" si="5"/>
        <v/>
      </c>
    </row>
    <row r="381" spans="1:15" x14ac:dyDescent="0.25">
      <c r="A381" t="s">
        <v>2095</v>
      </c>
      <c r="B381" t="s">
        <v>2096</v>
      </c>
      <c r="C381" t="s">
        <v>205</v>
      </c>
      <c r="D381">
        <v>2026</v>
      </c>
      <c r="E381" t="s">
        <v>56</v>
      </c>
      <c r="F381" t="s">
        <v>57</v>
      </c>
      <c r="G381" t="s">
        <v>2097</v>
      </c>
      <c r="H381" t="s">
        <v>2098</v>
      </c>
      <c r="I381" t="s">
        <v>2099</v>
      </c>
      <c r="J381" t="s">
        <v>71</v>
      </c>
      <c r="K381" t="s">
        <v>18</v>
      </c>
      <c r="L381" t="s">
        <v>72</v>
      </c>
      <c r="M381" t="s">
        <v>72</v>
      </c>
      <c r="N381" s="5"/>
      <c r="O381" t="str">
        <f t="shared" si="5"/>
        <v/>
      </c>
    </row>
    <row r="382" spans="1:15" x14ac:dyDescent="0.25">
      <c r="A382" t="s">
        <v>2100</v>
      </c>
      <c r="B382" t="s">
        <v>2101</v>
      </c>
      <c r="C382" t="s">
        <v>2102</v>
      </c>
      <c r="D382">
        <v>2026</v>
      </c>
      <c r="E382" t="s">
        <v>56</v>
      </c>
      <c r="F382" t="s">
        <v>57</v>
      </c>
      <c r="G382" t="s">
        <v>2103</v>
      </c>
      <c r="H382" t="s">
        <v>2104</v>
      </c>
      <c r="I382" t="s">
        <v>2105</v>
      </c>
      <c r="J382" t="s">
        <v>71</v>
      </c>
      <c r="K382" t="s">
        <v>18</v>
      </c>
      <c r="L382" t="s">
        <v>72</v>
      </c>
      <c r="M382" t="s">
        <v>72</v>
      </c>
      <c r="N382" s="5"/>
      <c r="O382" t="str">
        <f t="shared" si="5"/>
        <v/>
      </c>
    </row>
    <row r="383" spans="1:15" x14ac:dyDescent="0.25">
      <c r="A383" t="s">
        <v>2106</v>
      </c>
      <c r="B383" t="s">
        <v>2107</v>
      </c>
      <c r="C383" t="s">
        <v>2108</v>
      </c>
      <c r="D383">
        <v>2026</v>
      </c>
      <c r="E383" t="s">
        <v>56</v>
      </c>
      <c r="F383" t="s">
        <v>67</v>
      </c>
      <c r="G383" t="s">
        <v>1124</v>
      </c>
      <c r="H383" t="s">
        <v>2109</v>
      </c>
      <c r="I383" t="s">
        <v>2110</v>
      </c>
      <c r="J383" t="s">
        <v>71</v>
      </c>
      <c r="K383" t="s">
        <v>18</v>
      </c>
      <c r="L383" t="s">
        <v>72</v>
      </c>
      <c r="M383" t="s">
        <v>72</v>
      </c>
      <c r="N383" s="5"/>
      <c r="O383" t="str">
        <f t="shared" si="5"/>
        <v/>
      </c>
    </row>
    <row r="384" spans="1:15" x14ac:dyDescent="0.25">
      <c r="A384" t="s">
        <v>2111</v>
      </c>
      <c r="B384" t="s">
        <v>2112</v>
      </c>
      <c r="C384" t="s">
        <v>2113</v>
      </c>
      <c r="D384">
        <v>2026</v>
      </c>
      <c r="E384" t="s">
        <v>56</v>
      </c>
      <c r="F384" t="s">
        <v>67</v>
      </c>
      <c r="G384" t="s">
        <v>1162</v>
      </c>
      <c r="H384" t="s">
        <v>2114</v>
      </c>
      <c r="I384" t="s">
        <v>2115</v>
      </c>
      <c r="J384" t="s">
        <v>71</v>
      </c>
      <c r="K384" t="s">
        <v>18</v>
      </c>
      <c r="L384" t="s">
        <v>72</v>
      </c>
      <c r="M384" t="s">
        <v>72</v>
      </c>
      <c r="N384" s="5"/>
      <c r="O384" t="str">
        <f t="shared" si="5"/>
        <v/>
      </c>
    </row>
    <row r="385" spans="1:15" x14ac:dyDescent="0.25">
      <c r="A385" t="s">
        <v>2116</v>
      </c>
      <c r="B385" t="s">
        <v>2117</v>
      </c>
      <c r="C385" t="s">
        <v>2118</v>
      </c>
      <c r="D385">
        <v>2026</v>
      </c>
      <c r="E385" t="s">
        <v>56</v>
      </c>
      <c r="F385" t="s">
        <v>67</v>
      </c>
      <c r="G385" t="s">
        <v>2119</v>
      </c>
      <c r="H385" t="s">
        <v>2120</v>
      </c>
      <c r="I385" t="s">
        <v>2121</v>
      </c>
      <c r="J385" t="s">
        <v>71</v>
      </c>
      <c r="K385" t="s">
        <v>18</v>
      </c>
      <c r="L385" t="s">
        <v>72</v>
      </c>
      <c r="M385" t="s">
        <v>72</v>
      </c>
      <c r="N385" s="5"/>
      <c r="O385" t="str">
        <f t="shared" si="5"/>
        <v/>
      </c>
    </row>
    <row r="386" spans="1:15" x14ac:dyDescent="0.25">
      <c r="A386" t="s">
        <v>2122</v>
      </c>
      <c r="B386" t="s">
        <v>2123</v>
      </c>
      <c r="C386" t="s">
        <v>2124</v>
      </c>
      <c r="D386">
        <v>2026</v>
      </c>
      <c r="E386" t="s">
        <v>56</v>
      </c>
      <c r="F386" t="s">
        <v>67</v>
      </c>
      <c r="G386" t="s">
        <v>679</v>
      </c>
      <c r="H386" t="s">
        <v>2125</v>
      </c>
      <c r="I386" t="s">
        <v>2126</v>
      </c>
      <c r="J386" t="s">
        <v>71</v>
      </c>
      <c r="K386" t="s">
        <v>18</v>
      </c>
      <c r="L386" t="s">
        <v>72</v>
      </c>
      <c r="M386" t="s">
        <v>72</v>
      </c>
      <c r="N386" s="5"/>
      <c r="O386" t="str">
        <f t="shared" ref="O386:O449" si="6">IF(N386="","",IF(N386=J386,1,0))</f>
        <v/>
      </c>
    </row>
    <row r="387" spans="1:15" x14ac:dyDescent="0.25">
      <c r="A387" t="s">
        <v>2127</v>
      </c>
      <c r="B387" t="s">
        <v>2128</v>
      </c>
      <c r="C387" t="s">
        <v>95</v>
      </c>
      <c r="D387">
        <v>2026</v>
      </c>
      <c r="E387" t="s">
        <v>56</v>
      </c>
      <c r="F387" t="s">
        <v>57</v>
      </c>
      <c r="G387" t="s">
        <v>145</v>
      </c>
      <c r="H387" t="s">
        <v>2129</v>
      </c>
      <c r="I387" t="s">
        <v>2130</v>
      </c>
      <c r="J387" t="s">
        <v>71</v>
      </c>
      <c r="K387" t="s">
        <v>18</v>
      </c>
      <c r="L387" t="s">
        <v>72</v>
      </c>
      <c r="M387" t="s">
        <v>72</v>
      </c>
      <c r="N387" s="5"/>
      <c r="O387" t="str">
        <f t="shared" si="6"/>
        <v/>
      </c>
    </row>
    <row r="388" spans="1:15" x14ac:dyDescent="0.25">
      <c r="A388" t="s">
        <v>2131</v>
      </c>
      <c r="B388" t="s">
        <v>2132</v>
      </c>
      <c r="C388" t="s">
        <v>2133</v>
      </c>
      <c r="D388">
        <v>2026</v>
      </c>
      <c r="E388" t="s">
        <v>56</v>
      </c>
      <c r="F388" t="s">
        <v>67</v>
      </c>
      <c r="G388" t="s">
        <v>2134</v>
      </c>
      <c r="H388" t="s">
        <v>2135</v>
      </c>
      <c r="I388" t="s">
        <v>2136</v>
      </c>
      <c r="J388" t="s">
        <v>79</v>
      </c>
      <c r="K388" t="s">
        <v>80</v>
      </c>
      <c r="L388" t="s">
        <v>72</v>
      </c>
      <c r="M388" t="s">
        <v>72</v>
      </c>
      <c r="N388" s="5"/>
      <c r="O388" t="str">
        <f t="shared" si="6"/>
        <v/>
      </c>
    </row>
    <row r="389" spans="1:15" x14ac:dyDescent="0.25">
      <c r="A389" t="s">
        <v>2137</v>
      </c>
      <c r="B389" t="s">
        <v>2138</v>
      </c>
      <c r="C389" t="s">
        <v>284</v>
      </c>
      <c r="D389">
        <v>2026</v>
      </c>
      <c r="E389" t="s">
        <v>56</v>
      </c>
      <c r="F389" t="s">
        <v>67</v>
      </c>
      <c r="G389" t="s">
        <v>679</v>
      </c>
      <c r="H389" t="s">
        <v>2139</v>
      </c>
      <c r="I389" t="s">
        <v>2140</v>
      </c>
      <c r="J389" t="s">
        <v>71</v>
      </c>
      <c r="K389" t="s">
        <v>18</v>
      </c>
      <c r="L389" t="s">
        <v>72</v>
      </c>
      <c r="M389" t="s">
        <v>72</v>
      </c>
      <c r="N389" s="5"/>
      <c r="O389" t="str">
        <f t="shared" si="6"/>
        <v/>
      </c>
    </row>
    <row r="390" spans="1:15" x14ac:dyDescent="0.25">
      <c r="A390" t="s">
        <v>2141</v>
      </c>
      <c r="B390" t="s">
        <v>2142</v>
      </c>
      <c r="C390" t="s">
        <v>1129</v>
      </c>
      <c r="D390">
        <v>2026</v>
      </c>
      <c r="E390" t="s">
        <v>56</v>
      </c>
      <c r="F390" t="s">
        <v>57</v>
      </c>
      <c r="G390" t="s">
        <v>1449</v>
      </c>
      <c r="H390" t="s">
        <v>2143</v>
      </c>
      <c r="I390" t="s">
        <v>2144</v>
      </c>
      <c r="J390" t="s">
        <v>71</v>
      </c>
      <c r="K390" t="s">
        <v>18</v>
      </c>
      <c r="L390" t="s">
        <v>72</v>
      </c>
      <c r="M390" t="s">
        <v>72</v>
      </c>
      <c r="N390" s="5"/>
      <c r="O390" t="str">
        <f t="shared" si="6"/>
        <v/>
      </c>
    </row>
    <row r="391" spans="1:15" x14ac:dyDescent="0.25">
      <c r="A391" t="s">
        <v>2145</v>
      </c>
      <c r="B391" t="s">
        <v>2146</v>
      </c>
      <c r="C391" t="s">
        <v>2147</v>
      </c>
      <c r="D391">
        <v>2026</v>
      </c>
      <c r="E391" t="s">
        <v>56</v>
      </c>
      <c r="F391" t="s">
        <v>57</v>
      </c>
      <c r="G391" t="s">
        <v>2148</v>
      </c>
      <c r="H391" t="s">
        <v>2149</v>
      </c>
      <c r="I391" t="s">
        <v>2150</v>
      </c>
      <c r="J391" t="s">
        <v>79</v>
      </c>
      <c r="K391" t="s">
        <v>80</v>
      </c>
      <c r="L391" t="s">
        <v>72</v>
      </c>
      <c r="M391" t="s">
        <v>72</v>
      </c>
      <c r="N391" s="5"/>
      <c r="O391" t="str">
        <f t="shared" si="6"/>
        <v/>
      </c>
    </row>
    <row r="392" spans="1:15" x14ac:dyDescent="0.25">
      <c r="A392" t="s">
        <v>2151</v>
      </c>
      <c r="B392" t="s">
        <v>2152</v>
      </c>
      <c r="C392" t="s">
        <v>1802</v>
      </c>
      <c r="D392">
        <v>2026</v>
      </c>
      <c r="E392" t="s">
        <v>56</v>
      </c>
      <c r="F392" t="s">
        <v>57</v>
      </c>
      <c r="G392" t="s">
        <v>418</v>
      </c>
      <c r="H392" t="s">
        <v>2153</v>
      </c>
      <c r="I392" t="s">
        <v>2154</v>
      </c>
      <c r="J392" t="s">
        <v>98</v>
      </c>
      <c r="K392" t="s">
        <v>99</v>
      </c>
      <c r="L392" t="s">
        <v>63</v>
      </c>
      <c r="M392" t="s">
        <v>72</v>
      </c>
      <c r="N392" s="5"/>
      <c r="O392" t="str">
        <f t="shared" si="6"/>
        <v/>
      </c>
    </row>
    <row r="393" spans="1:15" x14ac:dyDescent="0.25">
      <c r="A393" t="s">
        <v>2155</v>
      </c>
      <c r="B393" t="s">
        <v>2156</v>
      </c>
      <c r="C393" t="s">
        <v>2157</v>
      </c>
      <c r="D393">
        <v>2026</v>
      </c>
      <c r="E393" t="s">
        <v>56</v>
      </c>
      <c r="F393" t="s">
        <v>67</v>
      </c>
      <c r="G393" t="s">
        <v>2158</v>
      </c>
      <c r="H393" t="s">
        <v>2159</v>
      </c>
      <c r="I393" t="s">
        <v>2160</v>
      </c>
      <c r="J393" t="s">
        <v>71</v>
      </c>
      <c r="K393" t="s">
        <v>18</v>
      </c>
      <c r="L393" t="s">
        <v>72</v>
      </c>
      <c r="M393" t="s">
        <v>72</v>
      </c>
      <c r="N393" s="5"/>
      <c r="O393" t="str">
        <f t="shared" si="6"/>
        <v/>
      </c>
    </row>
    <row r="394" spans="1:15" x14ac:dyDescent="0.25">
      <c r="A394" t="s">
        <v>2161</v>
      </c>
      <c r="B394" t="s">
        <v>2162</v>
      </c>
      <c r="C394" t="s">
        <v>2163</v>
      </c>
      <c r="D394">
        <v>2026</v>
      </c>
      <c r="E394" t="s">
        <v>56</v>
      </c>
      <c r="F394" t="s">
        <v>57</v>
      </c>
      <c r="G394" t="s">
        <v>2164</v>
      </c>
      <c r="H394" t="s">
        <v>2165</v>
      </c>
      <c r="I394" t="s">
        <v>2166</v>
      </c>
      <c r="J394" t="s">
        <v>79</v>
      </c>
      <c r="K394" t="s">
        <v>80</v>
      </c>
      <c r="L394" t="s">
        <v>72</v>
      </c>
      <c r="M394" t="s">
        <v>72</v>
      </c>
      <c r="N394" s="5"/>
      <c r="O394" t="str">
        <f t="shared" si="6"/>
        <v/>
      </c>
    </row>
    <row r="395" spans="1:15" x14ac:dyDescent="0.25">
      <c r="A395" t="s">
        <v>2167</v>
      </c>
      <c r="B395" t="s">
        <v>2168</v>
      </c>
      <c r="C395" t="s">
        <v>2169</v>
      </c>
      <c r="D395">
        <v>2026</v>
      </c>
      <c r="E395" t="s">
        <v>56</v>
      </c>
      <c r="F395" t="s">
        <v>57</v>
      </c>
      <c r="G395" t="s">
        <v>2170</v>
      </c>
      <c r="H395" t="s">
        <v>2171</v>
      </c>
      <c r="I395" t="s">
        <v>2172</v>
      </c>
      <c r="J395" t="s">
        <v>71</v>
      </c>
      <c r="K395" t="s">
        <v>18</v>
      </c>
      <c r="L395" t="s">
        <v>72</v>
      </c>
      <c r="M395" t="s">
        <v>72</v>
      </c>
      <c r="N395" s="5"/>
      <c r="O395" t="str">
        <f t="shared" si="6"/>
        <v/>
      </c>
    </row>
    <row r="396" spans="1:15" x14ac:dyDescent="0.25">
      <c r="A396" t="s">
        <v>2173</v>
      </c>
      <c r="B396" t="s">
        <v>2174</v>
      </c>
      <c r="C396" t="s">
        <v>2175</v>
      </c>
      <c r="D396">
        <v>2026</v>
      </c>
      <c r="E396" t="s">
        <v>56</v>
      </c>
      <c r="F396" t="s">
        <v>67</v>
      </c>
      <c r="G396" t="s">
        <v>151</v>
      </c>
      <c r="H396" t="s">
        <v>2176</v>
      </c>
      <c r="I396" t="s">
        <v>2177</v>
      </c>
      <c r="J396" t="s">
        <v>87</v>
      </c>
      <c r="K396" t="s">
        <v>19</v>
      </c>
      <c r="L396" t="s">
        <v>72</v>
      </c>
      <c r="M396" t="s">
        <v>72</v>
      </c>
      <c r="N396" s="5"/>
      <c r="O396" t="str">
        <f t="shared" si="6"/>
        <v/>
      </c>
    </row>
    <row r="397" spans="1:15" x14ac:dyDescent="0.25">
      <c r="A397" t="s">
        <v>2178</v>
      </c>
      <c r="B397" t="s">
        <v>2179</v>
      </c>
      <c r="C397" t="s">
        <v>2180</v>
      </c>
      <c r="D397">
        <v>2026</v>
      </c>
      <c r="E397" t="s">
        <v>56</v>
      </c>
      <c r="F397" t="s">
        <v>67</v>
      </c>
      <c r="G397" t="s">
        <v>679</v>
      </c>
      <c r="H397" t="s">
        <v>2181</v>
      </c>
      <c r="I397" t="s">
        <v>2182</v>
      </c>
      <c r="J397" t="s">
        <v>87</v>
      </c>
      <c r="K397" t="s">
        <v>19</v>
      </c>
      <c r="L397" t="s">
        <v>72</v>
      </c>
      <c r="M397" t="s">
        <v>72</v>
      </c>
      <c r="N397" s="5"/>
      <c r="O397" t="str">
        <f t="shared" si="6"/>
        <v/>
      </c>
    </row>
    <row r="398" spans="1:15" x14ac:dyDescent="0.25">
      <c r="A398" t="s">
        <v>2183</v>
      </c>
      <c r="B398" t="s">
        <v>2184</v>
      </c>
      <c r="C398" t="s">
        <v>2185</v>
      </c>
      <c r="D398">
        <v>2026</v>
      </c>
      <c r="E398" t="s">
        <v>56</v>
      </c>
      <c r="F398" t="s">
        <v>57</v>
      </c>
      <c r="G398" t="s">
        <v>596</v>
      </c>
      <c r="H398" t="s">
        <v>2186</v>
      </c>
      <c r="I398" t="s">
        <v>2187</v>
      </c>
      <c r="J398" t="s">
        <v>87</v>
      </c>
      <c r="K398" t="s">
        <v>19</v>
      </c>
      <c r="L398" t="s">
        <v>72</v>
      </c>
      <c r="M398" t="s">
        <v>72</v>
      </c>
      <c r="N398" s="5"/>
      <c r="O398" t="str">
        <f t="shared" si="6"/>
        <v/>
      </c>
    </row>
    <row r="399" spans="1:15" x14ac:dyDescent="0.25">
      <c r="A399" t="s">
        <v>2188</v>
      </c>
      <c r="B399" t="s">
        <v>2189</v>
      </c>
      <c r="C399" t="s">
        <v>2001</v>
      </c>
      <c r="D399">
        <v>2026</v>
      </c>
      <c r="E399" t="s">
        <v>56</v>
      </c>
      <c r="F399" t="s">
        <v>57</v>
      </c>
      <c r="G399" t="s">
        <v>788</v>
      </c>
      <c r="H399" t="s">
        <v>2190</v>
      </c>
      <c r="I399" t="s">
        <v>2191</v>
      </c>
      <c r="J399" t="s">
        <v>79</v>
      </c>
      <c r="K399" t="s">
        <v>80</v>
      </c>
      <c r="L399" t="s">
        <v>72</v>
      </c>
      <c r="M399" t="s">
        <v>72</v>
      </c>
      <c r="N399" s="5"/>
      <c r="O399" t="str">
        <f t="shared" si="6"/>
        <v/>
      </c>
    </row>
    <row r="400" spans="1:15" x14ac:dyDescent="0.25">
      <c r="A400" t="s">
        <v>2192</v>
      </c>
      <c r="B400" t="s">
        <v>2193</v>
      </c>
      <c r="C400" t="s">
        <v>2194</v>
      </c>
      <c r="D400">
        <v>2026</v>
      </c>
      <c r="E400" t="s">
        <v>56</v>
      </c>
      <c r="F400" t="s">
        <v>57</v>
      </c>
      <c r="G400" t="s">
        <v>1602</v>
      </c>
      <c r="H400" t="s">
        <v>2195</v>
      </c>
      <c r="I400" t="s">
        <v>2196</v>
      </c>
      <c r="J400" t="s">
        <v>98</v>
      </c>
      <c r="K400" t="s">
        <v>99</v>
      </c>
      <c r="L400" t="s">
        <v>63</v>
      </c>
      <c r="M400" t="s">
        <v>72</v>
      </c>
      <c r="N400" s="5"/>
      <c r="O400" t="str">
        <f t="shared" si="6"/>
        <v/>
      </c>
    </row>
    <row r="401" spans="1:15" x14ac:dyDescent="0.25">
      <c r="A401" t="s">
        <v>2197</v>
      </c>
      <c r="B401" t="s">
        <v>2198</v>
      </c>
      <c r="C401" t="s">
        <v>2199</v>
      </c>
      <c r="D401">
        <v>2026</v>
      </c>
      <c r="E401" t="s">
        <v>56</v>
      </c>
      <c r="F401" t="s">
        <v>57</v>
      </c>
      <c r="G401" t="s">
        <v>624</v>
      </c>
      <c r="H401" t="s">
        <v>2200</v>
      </c>
      <c r="I401" t="s">
        <v>2201</v>
      </c>
      <c r="J401" t="s">
        <v>71</v>
      </c>
      <c r="K401" t="s">
        <v>18</v>
      </c>
      <c r="L401" t="s">
        <v>72</v>
      </c>
      <c r="M401" t="s">
        <v>72</v>
      </c>
      <c r="N401" s="5"/>
      <c r="O401" t="str">
        <f t="shared" si="6"/>
        <v/>
      </c>
    </row>
    <row r="402" spans="1:15" x14ac:dyDescent="0.25">
      <c r="A402" t="s">
        <v>2202</v>
      </c>
      <c r="B402" t="s">
        <v>2203</v>
      </c>
      <c r="C402" t="s">
        <v>2204</v>
      </c>
      <c r="D402">
        <v>2026</v>
      </c>
      <c r="E402" t="s">
        <v>56</v>
      </c>
      <c r="F402" t="s">
        <v>67</v>
      </c>
      <c r="G402" t="s">
        <v>679</v>
      </c>
      <c r="H402" t="s">
        <v>2205</v>
      </c>
      <c r="I402" t="s">
        <v>2206</v>
      </c>
      <c r="J402" t="s">
        <v>79</v>
      </c>
      <c r="K402" t="s">
        <v>80</v>
      </c>
      <c r="L402" t="s">
        <v>72</v>
      </c>
      <c r="M402" t="s">
        <v>72</v>
      </c>
      <c r="N402" s="5"/>
      <c r="O402" t="str">
        <f t="shared" si="6"/>
        <v/>
      </c>
    </row>
    <row r="403" spans="1:15" x14ac:dyDescent="0.25">
      <c r="A403" t="s">
        <v>2207</v>
      </c>
      <c r="B403" t="s">
        <v>2208</v>
      </c>
      <c r="C403" t="s">
        <v>2209</v>
      </c>
      <c r="D403">
        <v>2026</v>
      </c>
      <c r="E403" t="s">
        <v>56</v>
      </c>
      <c r="F403" t="s">
        <v>57</v>
      </c>
      <c r="G403" t="s">
        <v>1852</v>
      </c>
      <c r="H403" t="s">
        <v>2210</v>
      </c>
      <c r="I403" t="s">
        <v>2211</v>
      </c>
      <c r="J403" t="s">
        <v>79</v>
      </c>
      <c r="K403" t="s">
        <v>80</v>
      </c>
      <c r="L403" t="s">
        <v>72</v>
      </c>
      <c r="M403" t="s">
        <v>72</v>
      </c>
      <c r="N403" s="5"/>
      <c r="O403" t="str">
        <f t="shared" si="6"/>
        <v/>
      </c>
    </row>
    <row r="404" spans="1:15" x14ac:dyDescent="0.25">
      <c r="A404" t="s">
        <v>2212</v>
      </c>
      <c r="B404" t="s">
        <v>2213</v>
      </c>
      <c r="C404" t="s">
        <v>117</v>
      </c>
      <c r="D404">
        <v>2026</v>
      </c>
      <c r="E404" t="s">
        <v>56</v>
      </c>
      <c r="F404" t="s">
        <v>57</v>
      </c>
      <c r="G404" t="s">
        <v>922</v>
      </c>
      <c r="H404" t="s">
        <v>2214</v>
      </c>
      <c r="I404" t="s">
        <v>2215</v>
      </c>
      <c r="J404" t="s">
        <v>79</v>
      </c>
      <c r="K404" t="s">
        <v>80</v>
      </c>
      <c r="L404" t="s">
        <v>72</v>
      </c>
      <c r="M404" t="s">
        <v>72</v>
      </c>
      <c r="N404" s="5"/>
      <c r="O404" t="str">
        <f t="shared" si="6"/>
        <v/>
      </c>
    </row>
    <row r="405" spans="1:15" x14ac:dyDescent="0.25">
      <c r="A405" t="s">
        <v>2216</v>
      </c>
      <c r="B405" t="s">
        <v>2217</v>
      </c>
      <c r="C405" t="s">
        <v>2218</v>
      </c>
      <c r="D405">
        <v>2026</v>
      </c>
      <c r="E405" t="s">
        <v>56</v>
      </c>
      <c r="F405" t="s">
        <v>57</v>
      </c>
      <c r="G405" t="s">
        <v>2219</v>
      </c>
      <c r="H405" t="s">
        <v>2220</v>
      </c>
      <c r="I405" t="s">
        <v>2221</v>
      </c>
      <c r="J405" t="s">
        <v>71</v>
      </c>
      <c r="K405" t="s">
        <v>18</v>
      </c>
      <c r="L405" t="s">
        <v>72</v>
      </c>
      <c r="M405" t="s">
        <v>72</v>
      </c>
      <c r="N405" s="5"/>
      <c r="O405" t="str">
        <f t="shared" si="6"/>
        <v/>
      </c>
    </row>
    <row r="406" spans="1:15" x14ac:dyDescent="0.25">
      <c r="A406" t="s">
        <v>2222</v>
      </c>
      <c r="B406" t="s">
        <v>2223</v>
      </c>
      <c r="C406" t="s">
        <v>2224</v>
      </c>
      <c r="D406">
        <v>2026</v>
      </c>
      <c r="E406" t="s">
        <v>56</v>
      </c>
      <c r="F406" t="s">
        <v>67</v>
      </c>
      <c r="G406" t="s">
        <v>229</v>
      </c>
      <c r="H406" t="s">
        <v>2225</v>
      </c>
      <c r="I406" t="s">
        <v>2226</v>
      </c>
      <c r="J406" t="s">
        <v>71</v>
      </c>
      <c r="K406" t="s">
        <v>18</v>
      </c>
      <c r="L406" t="s">
        <v>72</v>
      </c>
      <c r="M406" t="s">
        <v>72</v>
      </c>
      <c r="N406" s="5"/>
      <c r="O406" t="str">
        <f t="shared" si="6"/>
        <v/>
      </c>
    </row>
    <row r="407" spans="1:15" x14ac:dyDescent="0.25">
      <c r="A407" t="s">
        <v>2227</v>
      </c>
      <c r="B407" t="s">
        <v>2228</v>
      </c>
      <c r="C407" t="s">
        <v>2229</v>
      </c>
      <c r="D407">
        <v>2026</v>
      </c>
      <c r="E407" t="s">
        <v>56</v>
      </c>
      <c r="F407" t="s">
        <v>57</v>
      </c>
      <c r="G407" t="s">
        <v>344</v>
      </c>
      <c r="H407" t="s">
        <v>2230</v>
      </c>
      <c r="I407" t="s">
        <v>2231</v>
      </c>
      <c r="J407" t="s">
        <v>71</v>
      </c>
      <c r="K407" t="s">
        <v>18</v>
      </c>
      <c r="L407" t="s">
        <v>72</v>
      </c>
      <c r="M407" t="s">
        <v>72</v>
      </c>
      <c r="N407" s="5"/>
      <c r="O407" t="str">
        <f t="shared" si="6"/>
        <v/>
      </c>
    </row>
    <row r="408" spans="1:15" x14ac:dyDescent="0.25">
      <c r="A408" t="s">
        <v>2232</v>
      </c>
      <c r="B408" t="s">
        <v>2233</v>
      </c>
      <c r="C408" t="s">
        <v>815</v>
      </c>
      <c r="D408">
        <v>2026</v>
      </c>
      <c r="E408" t="s">
        <v>56</v>
      </c>
      <c r="F408" t="s">
        <v>67</v>
      </c>
      <c r="G408" t="s">
        <v>679</v>
      </c>
      <c r="H408" t="s">
        <v>2234</v>
      </c>
      <c r="I408" t="s">
        <v>2235</v>
      </c>
      <c r="J408" t="s">
        <v>71</v>
      </c>
      <c r="K408" t="s">
        <v>18</v>
      </c>
      <c r="L408" t="s">
        <v>72</v>
      </c>
      <c r="M408" t="s">
        <v>72</v>
      </c>
      <c r="N408" s="5"/>
      <c r="O408" t="str">
        <f t="shared" si="6"/>
        <v/>
      </c>
    </row>
    <row r="409" spans="1:15" x14ac:dyDescent="0.25">
      <c r="A409" t="s">
        <v>2236</v>
      </c>
      <c r="B409" t="s">
        <v>2237</v>
      </c>
      <c r="C409" t="s">
        <v>2238</v>
      </c>
      <c r="D409">
        <v>2026</v>
      </c>
      <c r="E409" t="s">
        <v>56</v>
      </c>
      <c r="F409" t="s">
        <v>67</v>
      </c>
      <c r="G409" t="s">
        <v>314</v>
      </c>
      <c r="H409" t="s">
        <v>2239</v>
      </c>
      <c r="I409" t="s">
        <v>2240</v>
      </c>
      <c r="J409" t="s">
        <v>71</v>
      </c>
      <c r="K409" t="s">
        <v>18</v>
      </c>
      <c r="L409" t="s">
        <v>72</v>
      </c>
      <c r="M409" t="s">
        <v>72</v>
      </c>
      <c r="N409" s="5"/>
      <c r="O409" t="str">
        <f t="shared" si="6"/>
        <v/>
      </c>
    </row>
    <row r="410" spans="1:15" x14ac:dyDescent="0.25">
      <c r="A410" t="s">
        <v>2241</v>
      </c>
      <c r="B410" t="s">
        <v>2242</v>
      </c>
      <c r="C410" t="s">
        <v>2243</v>
      </c>
      <c r="D410">
        <v>2026</v>
      </c>
      <c r="E410" t="s">
        <v>56</v>
      </c>
      <c r="F410" t="s">
        <v>67</v>
      </c>
      <c r="G410" t="s">
        <v>2244</v>
      </c>
      <c r="H410" t="s">
        <v>2245</v>
      </c>
      <c r="I410" t="s">
        <v>2246</v>
      </c>
      <c r="J410" t="s">
        <v>71</v>
      </c>
      <c r="K410" t="s">
        <v>18</v>
      </c>
      <c r="L410" t="s">
        <v>72</v>
      </c>
      <c r="M410" t="s">
        <v>72</v>
      </c>
      <c r="N410" s="5"/>
      <c r="O410" t="str">
        <f t="shared" si="6"/>
        <v/>
      </c>
    </row>
    <row r="411" spans="1:15" x14ac:dyDescent="0.25">
      <c r="A411" t="s">
        <v>2247</v>
      </c>
      <c r="B411" t="s">
        <v>2248</v>
      </c>
      <c r="C411" t="s">
        <v>1181</v>
      </c>
      <c r="D411">
        <v>2026</v>
      </c>
      <c r="E411" t="s">
        <v>56</v>
      </c>
      <c r="F411" t="s">
        <v>57</v>
      </c>
      <c r="G411" t="s">
        <v>2249</v>
      </c>
      <c r="H411" t="s">
        <v>2250</v>
      </c>
      <c r="I411" t="s">
        <v>2251</v>
      </c>
      <c r="J411" t="s">
        <v>71</v>
      </c>
      <c r="K411" t="s">
        <v>18</v>
      </c>
      <c r="L411" t="s">
        <v>72</v>
      </c>
      <c r="M411" t="s">
        <v>72</v>
      </c>
      <c r="N411" s="5"/>
      <c r="O411" t="str">
        <f t="shared" si="6"/>
        <v/>
      </c>
    </row>
    <row r="412" spans="1:15" x14ac:dyDescent="0.25">
      <c r="A412" t="s">
        <v>2252</v>
      </c>
      <c r="B412" t="s">
        <v>2253</v>
      </c>
      <c r="C412" t="s">
        <v>571</v>
      </c>
      <c r="D412">
        <v>2026</v>
      </c>
      <c r="E412" t="s">
        <v>56</v>
      </c>
      <c r="F412" t="s">
        <v>67</v>
      </c>
      <c r="G412" t="s">
        <v>556</v>
      </c>
      <c r="H412" t="s">
        <v>2254</v>
      </c>
      <c r="I412" t="s">
        <v>2255</v>
      </c>
      <c r="J412" t="s">
        <v>71</v>
      </c>
      <c r="K412" t="s">
        <v>18</v>
      </c>
      <c r="L412" t="s">
        <v>72</v>
      </c>
      <c r="M412" t="s">
        <v>72</v>
      </c>
      <c r="N412" s="5"/>
      <c r="O412" t="str">
        <f t="shared" si="6"/>
        <v/>
      </c>
    </row>
    <row r="413" spans="1:15" x14ac:dyDescent="0.25">
      <c r="A413" t="s">
        <v>2256</v>
      </c>
      <c r="B413" t="s">
        <v>2257</v>
      </c>
      <c r="C413" t="s">
        <v>144</v>
      </c>
      <c r="D413">
        <v>2026</v>
      </c>
      <c r="E413" t="s">
        <v>56</v>
      </c>
      <c r="F413" t="s">
        <v>67</v>
      </c>
      <c r="G413" t="s">
        <v>662</v>
      </c>
      <c r="H413" t="s">
        <v>2258</v>
      </c>
      <c r="I413" t="s">
        <v>2259</v>
      </c>
      <c r="J413" t="s">
        <v>71</v>
      </c>
      <c r="K413" t="s">
        <v>18</v>
      </c>
      <c r="L413" t="s">
        <v>72</v>
      </c>
      <c r="M413" t="s">
        <v>72</v>
      </c>
      <c r="N413" s="5"/>
      <c r="O413" t="str">
        <f t="shared" si="6"/>
        <v/>
      </c>
    </row>
    <row r="414" spans="1:15" x14ac:dyDescent="0.25">
      <c r="A414" t="s">
        <v>2260</v>
      </c>
      <c r="B414" t="s">
        <v>2261</v>
      </c>
      <c r="C414" t="s">
        <v>2262</v>
      </c>
      <c r="D414">
        <v>2026</v>
      </c>
      <c r="E414" t="s">
        <v>56</v>
      </c>
      <c r="F414" t="s">
        <v>67</v>
      </c>
      <c r="G414" t="s">
        <v>151</v>
      </c>
      <c r="H414" t="s">
        <v>2263</v>
      </c>
      <c r="I414" t="s">
        <v>2264</v>
      </c>
      <c r="J414" t="s">
        <v>71</v>
      </c>
      <c r="K414" t="s">
        <v>18</v>
      </c>
      <c r="L414" t="s">
        <v>72</v>
      </c>
      <c r="M414" t="s">
        <v>72</v>
      </c>
      <c r="N414" s="5"/>
      <c r="O414" t="str">
        <f t="shared" si="6"/>
        <v/>
      </c>
    </row>
    <row r="415" spans="1:15" x14ac:dyDescent="0.25">
      <c r="A415" t="s">
        <v>2265</v>
      </c>
      <c r="B415" t="s">
        <v>2266</v>
      </c>
      <c r="C415" t="s">
        <v>1802</v>
      </c>
      <c r="D415">
        <v>2026</v>
      </c>
      <c r="E415" t="s">
        <v>56</v>
      </c>
      <c r="F415" t="s">
        <v>57</v>
      </c>
      <c r="G415" t="s">
        <v>750</v>
      </c>
      <c r="H415" t="s">
        <v>2267</v>
      </c>
      <c r="I415" t="s">
        <v>2268</v>
      </c>
      <c r="J415" t="s">
        <v>98</v>
      </c>
      <c r="K415" t="s">
        <v>99</v>
      </c>
      <c r="L415" t="s">
        <v>63</v>
      </c>
      <c r="M415" t="s">
        <v>72</v>
      </c>
      <c r="N415" s="5"/>
      <c r="O415" t="str">
        <f t="shared" si="6"/>
        <v/>
      </c>
    </row>
    <row r="416" spans="1:15" x14ac:dyDescent="0.25">
      <c r="A416" t="s">
        <v>2269</v>
      </c>
      <c r="B416" t="s">
        <v>2270</v>
      </c>
      <c r="C416" t="s">
        <v>2271</v>
      </c>
      <c r="D416">
        <v>2026</v>
      </c>
      <c r="E416" t="s">
        <v>56</v>
      </c>
      <c r="F416" t="s">
        <v>57</v>
      </c>
      <c r="G416" t="s">
        <v>2272</v>
      </c>
      <c r="H416" t="s">
        <v>2273</v>
      </c>
      <c r="I416" t="s">
        <v>2274</v>
      </c>
      <c r="J416" t="s">
        <v>61</v>
      </c>
      <c r="K416" t="s">
        <v>62</v>
      </c>
      <c r="L416" t="s">
        <v>63</v>
      </c>
      <c r="M416" t="s">
        <v>63</v>
      </c>
      <c r="N416" s="5"/>
      <c r="O416" t="str">
        <f t="shared" si="6"/>
        <v/>
      </c>
    </row>
    <row r="417" spans="1:15" x14ac:dyDescent="0.25">
      <c r="A417" t="s">
        <v>2275</v>
      </c>
      <c r="B417" t="s">
        <v>2276</v>
      </c>
      <c r="C417" t="s">
        <v>2277</v>
      </c>
      <c r="D417">
        <v>2026</v>
      </c>
      <c r="E417" t="s">
        <v>56</v>
      </c>
      <c r="F417" t="s">
        <v>57</v>
      </c>
      <c r="G417" t="s">
        <v>750</v>
      </c>
      <c r="H417" t="s">
        <v>2278</v>
      </c>
      <c r="I417" t="s">
        <v>2279</v>
      </c>
      <c r="J417" t="s">
        <v>98</v>
      </c>
      <c r="K417" t="s">
        <v>99</v>
      </c>
      <c r="L417" t="s">
        <v>63</v>
      </c>
      <c r="M417" t="s">
        <v>72</v>
      </c>
      <c r="N417" s="5"/>
      <c r="O417" t="str">
        <f t="shared" si="6"/>
        <v/>
      </c>
    </row>
    <row r="418" spans="1:15" x14ac:dyDescent="0.25">
      <c r="A418" t="s">
        <v>2280</v>
      </c>
      <c r="B418" t="s">
        <v>2281</v>
      </c>
      <c r="C418" t="s">
        <v>2282</v>
      </c>
      <c r="D418">
        <v>2026</v>
      </c>
      <c r="E418" t="s">
        <v>56</v>
      </c>
      <c r="F418" t="s">
        <v>57</v>
      </c>
      <c r="G418" t="s">
        <v>368</v>
      </c>
      <c r="H418" t="s">
        <v>2283</v>
      </c>
      <c r="I418" t="s">
        <v>2284</v>
      </c>
      <c r="J418" t="s">
        <v>61</v>
      </c>
      <c r="K418" t="s">
        <v>62</v>
      </c>
      <c r="L418" t="s">
        <v>63</v>
      </c>
      <c r="M418" t="s">
        <v>63</v>
      </c>
      <c r="N418" s="5"/>
      <c r="O418" t="str">
        <f t="shared" si="6"/>
        <v/>
      </c>
    </row>
    <row r="419" spans="1:15" x14ac:dyDescent="0.25">
      <c r="A419" t="s">
        <v>2285</v>
      </c>
      <c r="B419" t="s">
        <v>2286</v>
      </c>
      <c r="C419" t="s">
        <v>1733</v>
      </c>
      <c r="D419">
        <v>2026</v>
      </c>
      <c r="E419" t="s">
        <v>56</v>
      </c>
      <c r="F419" t="s">
        <v>67</v>
      </c>
      <c r="G419" t="s">
        <v>84</v>
      </c>
      <c r="H419" t="s">
        <v>2287</v>
      </c>
      <c r="I419" t="s">
        <v>2288</v>
      </c>
      <c r="J419" t="s">
        <v>87</v>
      </c>
      <c r="K419" t="s">
        <v>19</v>
      </c>
      <c r="L419" t="s">
        <v>72</v>
      </c>
      <c r="M419" t="s">
        <v>72</v>
      </c>
      <c r="N419" s="5"/>
      <c r="O419" t="str">
        <f t="shared" si="6"/>
        <v/>
      </c>
    </row>
    <row r="420" spans="1:15" x14ac:dyDescent="0.25">
      <c r="A420" t="s">
        <v>2289</v>
      </c>
      <c r="B420" t="s">
        <v>2290</v>
      </c>
      <c r="C420" t="s">
        <v>2291</v>
      </c>
      <c r="D420">
        <v>2026</v>
      </c>
      <c r="E420" t="s">
        <v>56</v>
      </c>
      <c r="F420" t="s">
        <v>67</v>
      </c>
      <c r="G420" t="s">
        <v>1249</v>
      </c>
      <c r="H420" t="s">
        <v>2292</v>
      </c>
      <c r="I420" t="s">
        <v>2293</v>
      </c>
      <c r="J420" t="s">
        <v>71</v>
      </c>
      <c r="K420" t="s">
        <v>18</v>
      </c>
      <c r="L420" t="s">
        <v>72</v>
      </c>
      <c r="M420" t="s">
        <v>72</v>
      </c>
      <c r="N420" s="5"/>
      <c r="O420" t="str">
        <f t="shared" si="6"/>
        <v/>
      </c>
    </row>
    <row r="421" spans="1:15" x14ac:dyDescent="0.25">
      <c r="A421" t="s">
        <v>2294</v>
      </c>
      <c r="B421" t="s">
        <v>2295</v>
      </c>
      <c r="C421" t="s">
        <v>2296</v>
      </c>
      <c r="D421">
        <v>2026</v>
      </c>
      <c r="E421" t="s">
        <v>56</v>
      </c>
      <c r="F421" t="s">
        <v>67</v>
      </c>
      <c r="G421" t="s">
        <v>2297</v>
      </c>
      <c r="H421" t="s">
        <v>2298</v>
      </c>
      <c r="I421" t="s">
        <v>2299</v>
      </c>
      <c r="J421" t="s">
        <v>71</v>
      </c>
      <c r="K421" t="s">
        <v>18</v>
      </c>
      <c r="L421" t="s">
        <v>72</v>
      </c>
      <c r="M421" t="s">
        <v>72</v>
      </c>
      <c r="N421" s="5"/>
      <c r="O421" t="str">
        <f t="shared" si="6"/>
        <v/>
      </c>
    </row>
    <row r="422" spans="1:15" x14ac:dyDescent="0.25">
      <c r="A422" t="s">
        <v>2300</v>
      </c>
      <c r="B422" t="s">
        <v>2301</v>
      </c>
      <c r="C422" t="s">
        <v>2302</v>
      </c>
      <c r="D422">
        <v>2026</v>
      </c>
      <c r="E422" t="s">
        <v>56</v>
      </c>
      <c r="F422" t="s">
        <v>67</v>
      </c>
      <c r="G422" t="s">
        <v>556</v>
      </c>
      <c r="H422" t="s">
        <v>2303</v>
      </c>
      <c r="I422" t="s">
        <v>2304</v>
      </c>
      <c r="J422" t="s">
        <v>71</v>
      </c>
      <c r="K422" t="s">
        <v>18</v>
      </c>
      <c r="L422" t="s">
        <v>72</v>
      </c>
      <c r="M422" t="s">
        <v>72</v>
      </c>
      <c r="N422" s="5"/>
      <c r="O422" t="str">
        <f t="shared" si="6"/>
        <v/>
      </c>
    </row>
    <row r="423" spans="1:15" x14ac:dyDescent="0.25">
      <c r="A423" t="s">
        <v>2305</v>
      </c>
      <c r="B423" t="s">
        <v>2306</v>
      </c>
      <c r="C423" t="s">
        <v>2307</v>
      </c>
      <c r="D423">
        <v>2026</v>
      </c>
      <c r="E423" t="s">
        <v>56</v>
      </c>
      <c r="F423" t="s">
        <v>67</v>
      </c>
      <c r="G423" t="s">
        <v>326</v>
      </c>
      <c r="H423" t="s">
        <v>2308</v>
      </c>
      <c r="I423" t="s">
        <v>2309</v>
      </c>
      <c r="J423" t="s">
        <v>71</v>
      </c>
      <c r="K423" t="s">
        <v>18</v>
      </c>
      <c r="L423" t="s">
        <v>72</v>
      </c>
      <c r="M423" t="s">
        <v>72</v>
      </c>
      <c r="N423" s="5"/>
      <c r="O423" t="str">
        <f t="shared" si="6"/>
        <v/>
      </c>
    </row>
    <row r="424" spans="1:15" x14ac:dyDescent="0.25">
      <c r="A424" t="s">
        <v>2310</v>
      </c>
      <c r="B424" t="s">
        <v>2311</v>
      </c>
      <c r="C424" t="s">
        <v>2108</v>
      </c>
      <c r="D424">
        <v>2026</v>
      </c>
      <c r="E424" t="s">
        <v>56</v>
      </c>
      <c r="F424" t="s">
        <v>67</v>
      </c>
      <c r="G424" t="s">
        <v>2312</v>
      </c>
      <c r="H424" t="s">
        <v>2313</v>
      </c>
      <c r="I424" t="s">
        <v>2314</v>
      </c>
      <c r="J424" t="s">
        <v>71</v>
      </c>
      <c r="K424" t="s">
        <v>18</v>
      </c>
      <c r="L424" t="s">
        <v>72</v>
      </c>
      <c r="M424" t="s">
        <v>72</v>
      </c>
      <c r="N424" s="5"/>
      <c r="O424" t="str">
        <f t="shared" si="6"/>
        <v/>
      </c>
    </row>
    <row r="425" spans="1:15" x14ac:dyDescent="0.25">
      <c r="A425" t="s">
        <v>2315</v>
      </c>
      <c r="B425" t="s">
        <v>2316</v>
      </c>
      <c r="C425" t="s">
        <v>2317</v>
      </c>
      <c r="D425">
        <v>2026</v>
      </c>
      <c r="E425" t="s">
        <v>56</v>
      </c>
      <c r="F425" t="s">
        <v>57</v>
      </c>
      <c r="G425" t="s">
        <v>2318</v>
      </c>
      <c r="H425" t="s">
        <v>2319</v>
      </c>
      <c r="I425" t="s">
        <v>2320</v>
      </c>
      <c r="J425" t="s">
        <v>79</v>
      </c>
      <c r="K425" t="s">
        <v>80</v>
      </c>
      <c r="L425" t="s">
        <v>72</v>
      </c>
      <c r="M425" t="s">
        <v>72</v>
      </c>
      <c r="N425" s="5"/>
      <c r="O425" t="str">
        <f t="shared" si="6"/>
        <v/>
      </c>
    </row>
    <row r="426" spans="1:15" x14ac:dyDescent="0.25">
      <c r="A426" t="s">
        <v>2321</v>
      </c>
      <c r="B426" t="s">
        <v>2322</v>
      </c>
      <c r="C426" t="s">
        <v>571</v>
      </c>
      <c r="D426">
        <v>2026</v>
      </c>
      <c r="E426" t="s">
        <v>56</v>
      </c>
      <c r="F426" t="s">
        <v>57</v>
      </c>
      <c r="G426" t="s">
        <v>1917</v>
      </c>
      <c r="H426" t="s">
        <v>2323</v>
      </c>
      <c r="I426" t="s">
        <v>2324</v>
      </c>
      <c r="J426" t="s">
        <v>71</v>
      </c>
      <c r="K426" t="s">
        <v>18</v>
      </c>
      <c r="L426" t="s">
        <v>72</v>
      </c>
      <c r="M426" t="s">
        <v>72</v>
      </c>
      <c r="N426" s="5"/>
      <c r="O426" t="str">
        <f t="shared" si="6"/>
        <v/>
      </c>
    </row>
    <row r="427" spans="1:15" x14ac:dyDescent="0.25">
      <c r="A427" t="s">
        <v>2325</v>
      </c>
      <c r="B427" t="s">
        <v>2326</v>
      </c>
      <c r="C427" t="s">
        <v>2327</v>
      </c>
      <c r="D427">
        <v>2026</v>
      </c>
      <c r="E427" t="s">
        <v>56</v>
      </c>
      <c r="F427" t="s">
        <v>67</v>
      </c>
      <c r="G427" t="s">
        <v>986</v>
      </c>
      <c r="H427" t="s">
        <v>2328</v>
      </c>
      <c r="I427" t="s">
        <v>2329</v>
      </c>
      <c r="J427" t="s">
        <v>87</v>
      </c>
      <c r="K427" t="s">
        <v>19</v>
      </c>
      <c r="L427" t="s">
        <v>72</v>
      </c>
      <c r="M427" t="s">
        <v>72</v>
      </c>
      <c r="N427" s="5"/>
      <c r="O427" t="str">
        <f t="shared" si="6"/>
        <v/>
      </c>
    </row>
    <row r="428" spans="1:15" x14ac:dyDescent="0.25">
      <c r="A428" t="s">
        <v>2330</v>
      </c>
      <c r="B428" t="s">
        <v>2331</v>
      </c>
      <c r="C428" t="s">
        <v>2332</v>
      </c>
      <c r="D428">
        <v>2026</v>
      </c>
      <c r="E428" t="s">
        <v>56</v>
      </c>
      <c r="F428" t="s">
        <v>57</v>
      </c>
      <c r="G428" t="s">
        <v>291</v>
      </c>
      <c r="H428" t="s">
        <v>2333</v>
      </c>
      <c r="I428" t="s">
        <v>2334</v>
      </c>
      <c r="J428" t="s">
        <v>165</v>
      </c>
      <c r="K428" t="s">
        <v>166</v>
      </c>
      <c r="L428" t="s">
        <v>63</v>
      </c>
      <c r="M428" t="s">
        <v>72</v>
      </c>
      <c r="N428" s="5"/>
      <c r="O428" t="str">
        <f t="shared" si="6"/>
        <v/>
      </c>
    </row>
    <row r="429" spans="1:15" x14ac:dyDescent="0.25">
      <c r="A429" t="s">
        <v>2335</v>
      </c>
      <c r="B429" t="s">
        <v>2336</v>
      </c>
      <c r="C429" t="s">
        <v>571</v>
      </c>
      <c r="D429">
        <v>2026</v>
      </c>
      <c r="E429" t="s">
        <v>56</v>
      </c>
      <c r="F429" t="s">
        <v>67</v>
      </c>
      <c r="G429" t="s">
        <v>679</v>
      </c>
      <c r="H429" t="s">
        <v>2337</v>
      </c>
      <c r="I429" t="s">
        <v>2338</v>
      </c>
      <c r="J429" t="s">
        <v>71</v>
      </c>
      <c r="K429" t="s">
        <v>18</v>
      </c>
      <c r="L429" t="s">
        <v>72</v>
      </c>
      <c r="M429" t="s">
        <v>72</v>
      </c>
      <c r="N429" s="5"/>
      <c r="O429" t="str">
        <f t="shared" si="6"/>
        <v/>
      </c>
    </row>
    <row r="430" spans="1:15" x14ac:dyDescent="0.25">
      <c r="A430" t="s">
        <v>2339</v>
      </c>
      <c r="B430" t="s">
        <v>2340</v>
      </c>
      <c r="C430" t="s">
        <v>2341</v>
      </c>
      <c r="D430">
        <v>2026</v>
      </c>
      <c r="E430" t="s">
        <v>56</v>
      </c>
      <c r="F430" t="s">
        <v>57</v>
      </c>
      <c r="G430" t="s">
        <v>368</v>
      </c>
      <c r="H430" t="s">
        <v>2342</v>
      </c>
      <c r="I430" t="s">
        <v>2343</v>
      </c>
      <c r="J430" t="s">
        <v>165</v>
      </c>
      <c r="K430" t="s">
        <v>166</v>
      </c>
      <c r="L430" t="s">
        <v>63</v>
      </c>
      <c r="M430" t="s">
        <v>72</v>
      </c>
      <c r="N430" s="5"/>
      <c r="O430" t="str">
        <f t="shared" si="6"/>
        <v/>
      </c>
    </row>
    <row r="431" spans="1:15" x14ac:dyDescent="0.25">
      <c r="A431" t="s">
        <v>2344</v>
      </c>
      <c r="B431" t="s">
        <v>2345</v>
      </c>
      <c r="C431" t="s">
        <v>2346</v>
      </c>
      <c r="D431">
        <v>2026</v>
      </c>
      <c r="E431" t="s">
        <v>56</v>
      </c>
      <c r="F431" t="s">
        <v>67</v>
      </c>
      <c r="G431" t="s">
        <v>2347</v>
      </c>
      <c r="H431" t="s">
        <v>2348</v>
      </c>
      <c r="I431" t="s">
        <v>2349</v>
      </c>
      <c r="J431" t="s">
        <v>71</v>
      </c>
      <c r="K431" t="s">
        <v>18</v>
      </c>
      <c r="L431" t="s">
        <v>72</v>
      </c>
      <c r="M431" t="s">
        <v>72</v>
      </c>
      <c r="N431" s="5"/>
      <c r="O431" t="str">
        <f t="shared" si="6"/>
        <v/>
      </c>
    </row>
    <row r="432" spans="1:15" x14ac:dyDescent="0.25">
      <c r="A432" t="s">
        <v>2350</v>
      </c>
      <c r="B432" t="s">
        <v>2351</v>
      </c>
      <c r="C432" t="s">
        <v>777</v>
      </c>
      <c r="D432">
        <v>2026</v>
      </c>
      <c r="E432" t="s">
        <v>56</v>
      </c>
      <c r="F432" t="s">
        <v>57</v>
      </c>
      <c r="G432" t="s">
        <v>1449</v>
      </c>
      <c r="H432" t="s">
        <v>2352</v>
      </c>
      <c r="I432" t="s">
        <v>2353</v>
      </c>
      <c r="J432" t="s">
        <v>71</v>
      </c>
      <c r="K432" t="s">
        <v>18</v>
      </c>
      <c r="L432" t="s">
        <v>72</v>
      </c>
      <c r="M432" t="s">
        <v>72</v>
      </c>
      <c r="N432" s="5"/>
      <c r="O432" t="str">
        <f t="shared" si="6"/>
        <v/>
      </c>
    </row>
    <row r="433" spans="1:15" x14ac:dyDescent="0.25">
      <c r="A433" t="s">
        <v>2354</v>
      </c>
      <c r="B433" t="s">
        <v>2355</v>
      </c>
      <c r="C433" t="s">
        <v>2194</v>
      </c>
      <c r="D433">
        <v>2026</v>
      </c>
      <c r="E433" t="s">
        <v>56</v>
      </c>
      <c r="F433" t="s">
        <v>67</v>
      </c>
      <c r="G433" t="s">
        <v>2356</v>
      </c>
      <c r="H433" t="s">
        <v>2357</v>
      </c>
      <c r="I433" t="s">
        <v>2358</v>
      </c>
      <c r="J433" t="s">
        <v>87</v>
      </c>
      <c r="K433" t="s">
        <v>19</v>
      </c>
      <c r="L433" t="s">
        <v>72</v>
      </c>
      <c r="M433" t="s">
        <v>72</v>
      </c>
      <c r="N433" s="5"/>
      <c r="O433" t="str">
        <f t="shared" si="6"/>
        <v/>
      </c>
    </row>
    <row r="434" spans="1:15" x14ac:dyDescent="0.25">
      <c r="A434" t="s">
        <v>2359</v>
      </c>
      <c r="B434" t="s">
        <v>2360</v>
      </c>
      <c r="C434" t="s">
        <v>2361</v>
      </c>
      <c r="D434">
        <v>2026</v>
      </c>
      <c r="E434" t="s">
        <v>56</v>
      </c>
      <c r="F434" t="s">
        <v>57</v>
      </c>
      <c r="G434" t="s">
        <v>2362</v>
      </c>
      <c r="H434" t="s">
        <v>2363</v>
      </c>
      <c r="I434" t="s">
        <v>2364</v>
      </c>
      <c r="J434" t="s">
        <v>71</v>
      </c>
      <c r="K434" t="s">
        <v>18</v>
      </c>
      <c r="L434" t="s">
        <v>72</v>
      </c>
      <c r="M434" t="s">
        <v>72</v>
      </c>
      <c r="N434" s="5"/>
      <c r="O434" t="str">
        <f t="shared" si="6"/>
        <v/>
      </c>
    </row>
    <row r="435" spans="1:15" x14ac:dyDescent="0.25">
      <c r="A435" t="s">
        <v>2365</v>
      </c>
      <c r="B435" t="s">
        <v>2366</v>
      </c>
      <c r="C435" t="s">
        <v>2367</v>
      </c>
      <c r="D435">
        <v>2026</v>
      </c>
      <c r="E435" t="s">
        <v>56</v>
      </c>
      <c r="F435" t="s">
        <v>67</v>
      </c>
      <c r="G435" t="s">
        <v>713</v>
      </c>
      <c r="H435" t="s">
        <v>2368</v>
      </c>
      <c r="I435" t="s">
        <v>2369</v>
      </c>
      <c r="J435" t="s">
        <v>79</v>
      </c>
      <c r="K435" t="s">
        <v>80</v>
      </c>
      <c r="L435" t="s">
        <v>72</v>
      </c>
      <c r="M435" t="s">
        <v>72</v>
      </c>
      <c r="N435" s="5"/>
      <c r="O435" t="str">
        <f t="shared" si="6"/>
        <v/>
      </c>
    </row>
    <row r="436" spans="1:15" x14ac:dyDescent="0.25">
      <c r="A436" t="s">
        <v>2370</v>
      </c>
      <c r="B436" t="s">
        <v>2371</v>
      </c>
      <c r="C436" t="s">
        <v>2372</v>
      </c>
      <c r="D436">
        <v>2026</v>
      </c>
      <c r="E436" t="s">
        <v>56</v>
      </c>
      <c r="F436" t="s">
        <v>57</v>
      </c>
      <c r="G436" t="s">
        <v>2373</v>
      </c>
      <c r="H436" t="s">
        <v>2374</v>
      </c>
      <c r="I436" t="s">
        <v>2375</v>
      </c>
      <c r="J436" t="s">
        <v>71</v>
      </c>
      <c r="K436" t="s">
        <v>18</v>
      </c>
      <c r="L436" t="s">
        <v>72</v>
      </c>
      <c r="M436" t="s">
        <v>72</v>
      </c>
      <c r="N436" s="5"/>
      <c r="O436" t="str">
        <f t="shared" si="6"/>
        <v/>
      </c>
    </row>
    <row r="437" spans="1:15" x14ac:dyDescent="0.25">
      <c r="A437" t="s">
        <v>2376</v>
      </c>
      <c r="B437" t="s">
        <v>2377</v>
      </c>
      <c r="C437" t="s">
        <v>2378</v>
      </c>
      <c r="D437">
        <v>2026</v>
      </c>
      <c r="E437" t="s">
        <v>56</v>
      </c>
      <c r="F437" t="s">
        <v>57</v>
      </c>
      <c r="G437" t="s">
        <v>2379</v>
      </c>
      <c r="H437" t="s">
        <v>2380</v>
      </c>
      <c r="I437" t="s">
        <v>2381</v>
      </c>
      <c r="J437" t="s">
        <v>71</v>
      </c>
      <c r="K437" t="s">
        <v>18</v>
      </c>
      <c r="L437" t="s">
        <v>72</v>
      </c>
      <c r="M437" t="s">
        <v>72</v>
      </c>
      <c r="N437" s="5"/>
      <c r="O437" t="str">
        <f t="shared" si="6"/>
        <v/>
      </c>
    </row>
    <row r="438" spans="1:15" x14ac:dyDescent="0.25">
      <c r="A438" t="s">
        <v>2382</v>
      </c>
      <c r="B438" t="s">
        <v>2383</v>
      </c>
      <c r="C438" t="s">
        <v>2384</v>
      </c>
      <c r="D438">
        <v>2026</v>
      </c>
      <c r="E438" t="s">
        <v>56</v>
      </c>
      <c r="F438" t="s">
        <v>57</v>
      </c>
      <c r="G438" t="s">
        <v>2385</v>
      </c>
      <c r="H438" t="s">
        <v>2386</v>
      </c>
      <c r="I438" t="s">
        <v>2387</v>
      </c>
      <c r="J438" t="s">
        <v>79</v>
      </c>
      <c r="K438" t="s">
        <v>80</v>
      </c>
      <c r="L438" t="s">
        <v>72</v>
      </c>
      <c r="M438" t="s">
        <v>72</v>
      </c>
      <c r="N438" s="5"/>
      <c r="O438" t="str">
        <f t="shared" si="6"/>
        <v/>
      </c>
    </row>
    <row r="439" spans="1:15" x14ac:dyDescent="0.25">
      <c r="A439" t="s">
        <v>2388</v>
      </c>
      <c r="B439" t="s">
        <v>2389</v>
      </c>
      <c r="C439" t="s">
        <v>2390</v>
      </c>
      <c r="D439">
        <v>2026</v>
      </c>
      <c r="E439" t="s">
        <v>56</v>
      </c>
      <c r="F439" t="s">
        <v>67</v>
      </c>
      <c r="G439" t="s">
        <v>1265</v>
      </c>
      <c r="H439" t="s">
        <v>2391</v>
      </c>
      <c r="I439" t="s">
        <v>2392</v>
      </c>
      <c r="J439" t="s">
        <v>87</v>
      </c>
      <c r="K439" t="s">
        <v>19</v>
      </c>
      <c r="L439" t="s">
        <v>72</v>
      </c>
      <c r="M439" t="s">
        <v>72</v>
      </c>
      <c r="N439" s="5"/>
      <c r="O439" t="str">
        <f t="shared" si="6"/>
        <v/>
      </c>
    </row>
    <row r="440" spans="1:15" x14ac:dyDescent="0.25">
      <c r="A440" t="s">
        <v>2393</v>
      </c>
      <c r="B440" t="s">
        <v>2389</v>
      </c>
      <c r="C440" t="s">
        <v>2394</v>
      </c>
      <c r="D440">
        <v>2026</v>
      </c>
      <c r="E440" t="s">
        <v>56</v>
      </c>
      <c r="F440" t="s">
        <v>67</v>
      </c>
      <c r="G440" t="s">
        <v>1270</v>
      </c>
      <c r="H440" t="s">
        <v>2391</v>
      </c>
      <c r="I440" t="s">
        <v>2395</v>
      </c>
      <c r="J440" t="s">
        <v>87</v>
      </c>
      <c r="K440" t="s">
        <v>19</v>
      </c>
      <c r="L440" t="s">
        <v>72</v>
      </c>
      <c r="M440" t="s">
        <v>72</v>
      </c>
      <c r="N440" s="5"/>
      <c r="O440" t="str">
        <f t="shared" si="6"/>
        <v/>
      </c>
    </row>
    <row r="441" spans="1:15" x14ac:dyDescent="0.25">
      <c r="A441" t="s">
        <v>2396</v>
      </c>
      <c r="B441" t="s">
        <v>2397</v>
      </c>
      <c r="C441" t="s">
        <v>2398</v>
      </c>
      <c r="D441">
        <v>2026</v>
      </c>
      <c r="E441" t="s">
        <v>56</v>
      </c>
      <c r="F441" t="s">
        <v>67</v>
      </c>
      <c r="G441" t="s">
        <v>2399</v>
      </c>
      <c r="H441" t="s">
        <v>2400</v>
      </c>
      <c r="I441" t="s">
        <v>2401</v>
      </c>
      <c r="J441" t="s">
        <v>71</v>
      </c>
      <c r="K441" t="s">
        <v>18</v>
      </c>
      <c r="L441" t="s">
        <v>72</v>
      </c>
      <c r="M441" t="s">
        <v>72</v>
      </c>
      <c r="N441" s="5"/>
      <c r="O441" t="str">
        <f t="shared" si="6"/>
        <v/>
      </c>
    </row>
    <row r="442" spans="1:15" x14ac:dyDescent="0.25">
      <c r="A442" t="s">
        <v>2402</v>
      </c>
      <c r="B442" t="s">
        <v>2397</v>
      </c>
      <c r="C442" t="s">
        <v>2403</v>
      </c>
      <c r="D442">
        <v>2026</v>
      </c>
      <c r="E442" t="s">
        <v>56</v>
      </c>
      <c r="F442" t="s">
        <v>67</v>
      </c>
      <c r="G442" t="s">
        <v>2404</v>
      </c>
      <c r="H442" t="s">
        <v>2400</v>
      </c>
      <c r="I442" t="s">
        <v>2405</v>
      </c>
      <c r="J442" t="s">
        <v>71</v>
      </c>
      <c r="K442" t="s">
        <v>18</v>
      </c>
      <c r="L442" t="s">
        <v>72</v>
      </c>
      <c r="M442" t="s">
        <v>72</v>
      </c>
      <c r="N442" s="5"/>
      <c r="O442" t="str">
        <f t="shared" si="6"/>
        <v/>
      </c>
    </row>
    <row r="443" spans="1:15" x14ac:dyDescent="0.25">
      <c r="A443" t="s">
        <v>2406</v>
      </c>
      <c r="B443" t="s">
        <v>2407</v>
      </c>
      <c r="C443" t="s">
        <v>2408</v>
      </c>
      <c r="D443">
        <v>2026</v>
      </c>
      <c r="E443" t="s">
        <v>56</v>
      </c>
      <c r="F443" t="s">
        <v>57</v>
      </c>
      <c r="G443" t="s">
        <v>750</v>
      </c>
      <c r="H443" t="s">
        <v>2409</v>
      </c>
      <c r="I443" t="s">
        <v>2410</v>
      </c>
      <c r="J443" t="s">
        <v>98</v>
      </c>
      <c r="K443" t="s">
        <v>99</v>
      </c>
      <c r="L443" t="s">
        <v>63</v>
      </c>
      <c r="M443" t="s">
        <v>72</v>
      </c>
      <c r="N443" s="5"/>
      <c r="O443" t="str">
        <f t="shared" si="6"/>
        <v/>
      </c>
    </row>
    <row r="444" spans="1:15" x14ac:dyDescent="0.25">
      <c r="A444" t="s">
        <v>2411</v>
      </c>
      <c r="B444" t="s">
        <v>2412</v>
      </c>
      <c r="C444" t="s">
        <v>1692</v>
      </c>
      <c r="D444">
        <v>2026</v>
      </c>
      <c r="E444" t="s">
        <v>56</v>
      </c>
      <c r="F444" t="s">
        <v>67</v>
      </c>
      <c r="G444" t="s">
        <v>285</v>
      </c>
      <c r="H444" t="s">
        <v>2413</v>
      </c>
      <c r="I444" t="s">
        <v>2414</v>
      </c>
      <c r="J444" t="s">
        <v>71</v>
      </c>
      <c r="K444" t="s">
        <v>18</v>
      </c>
      <c r="L444" t="s">
        <v>72</v>
      </c>
      <c r="M444" t="s">
        <v>72</v>
      </c>
      <c r="N444" s="5"/>
      <c r="O444" t="str">
        <f t="shared" si="6"/>
        <v/>
      </c>
    </row>
    <row r="445" spans="1:15" x14ac:dyDescent="0.25">
      <c r="A445" t="s">
        <v>2415</v>
      </c>
      <c r="B445" t="s">
        <v>2416</v>
      </c>
      <c r="C445" t="s">
        <v>2417</v>
      </c>
      <c r="D445">
        <v>2026</v>
      </c>
      <c r="E445" t="s">
        <v>56</v>
      </c>
      <c r="F445" t="s">
        <v>67</v>
      </c>
      <c r="G445" t="s">
        <v>2418</v>
      </c>
      <c r="H445" t="s">
        <v>2419</v>
      </c>
      <c r="I445" t="s">
        <v>2420</v>
      </c>
      <c r="J445" t="s">
        <v>71</v>
      </c>
      <c r="K445" t="s">
        <v>18</v>
      </c>
      <c r="L445" t="s">
        <v>72</v>
      </c>
      <c r="M445" t="s">
        <v>72</v>
      </c>
      <c r="N445" s="5"/>
      <c r="O445" t="str">
        <f t="shared" si="6"/>
        <v/>
      </c>
    </row>
    <row r="446" spans="1:15" x14ac:dyDescent="0.25">
      <c r="A446" t="s">
        <v>2421</v>
      </c>
      <c r="B446" t="s">
        <v>2416</v>
      </c>
      <c r="C446" t="s">
        <v>2422</v>
      </c>
      <c r="D446">
        <v>2026</v>
      </c>
      <c r="E446" t="s">
        <v>56</v>
      </c>
      <c r="F446" t="s">
        <v>67</v>
      </c>
      <c r="G446" t="s">
        <v>2423</v>
      </c>
      <c r="H446" t="s">
        <v>2419</v>
      </c>
      <c r="I446" t="s">
        <v>2424</v>
      </c>
      <c r="J446" t="s">
        <v>71</v>
      </c>
      <c r="K446" t="s">
        <v>18</v>
      </c>
      <c r="L446" t="s">
        <v>72</v>
      </c>
      <c r="M446" t="s">
        <v>72</v>
      </c>
      <c r="N446" s="5"/>
      <c r="O446" t="str">
        <f t="shared" si="6"/>
        <v/>
      </c>
    </row>
    <row r="447" spans="1:15" x14ac:dyDescent="0.25">
      <c r="A447" t="s">
        <v>2425</v>
      </c>
      <c r="B447" t="s">
        <v>2426</v>
      </c>
      <c r="C447" t="s">
        <v>2427</v>
      </c>
      <c r="D447">
        <v>2026</v>
      </c>
      <c r="E447" t="s">
        <v>56</v>
      </c>
      <c r="F447" t="s">
        <v>67</v>
      </c>
      <c r="G447" t="s">
        <v>986</v>
      </c>
      <c r="H447" t="s">
        <v>2428</v>
      </c>
      <c r="I447" t="s">
        <v>2429</v>
      </c>
      <c r="J447" t="s">
        <v>71</v>
      </c>
      <c r="K447" t="s">
        <v>18</v>
      </c>
      <c r="L447" t="s">
        <v>72</v>
      </c>
      <c r="M447" t="s">
        <v>72</v>
      </c>
      <c r="N447" s="5"/>
      <c r="O447" t="str">
        <f t="shared" si="6"/>
        <v/>
      </c>
    </row>
    <row r="448" spans="1:15" x14ac:dyDescent="0.25">
      <c r="A448" t="s">
        <v>2430</v>
      </c>
      <c r="B448" t="s">
        <v>2431</v>
      </c>
      <c r="C448" t="s">
        <v>2432</v>
      </c>
      <c r="D448">
        <v>2026</v>
      </c>
      <c r="E448" t="s">
        <v>56</v>
      </c>
      <c r="F448" t="s">
        <v>67</v>
      </c>
      <c r="G448" t="s">
        <v>2433</v>
      </c>
      <c r="H448" t="s">
        <v>2434</v>
      </c>
      <c r="I448" t="s">
        <v>2435</v>
      </c>
      <c r="J448" t="s">
        <v>71</v>
      </c>
      <c r="K448" t="s">
        <v>18</v>
      </c>
      <c r="L448" t="s">
        <v>72</v>
      </c>
      <c r="M448" t="s">
        <v>72</v>
      </c>
      <c r="N448" s="5"/>
      <c r="O448" t="str">
        <f t="shared" si="6"/>
        <v/>
      </c>
    </row>
    <row r="449" spans="1:15" x14ac:dyDescent="0.25">
      <c r="A449" t="s">
        <v>2436</v>
      </c>
      <c r="B449" t="s">
        <v>2437</v>
      </c>
      <c r="C449" t="s">
        <v>2438</v>
      </c>
      <c r="D449">
        <v>2026</v>
      </c>
      <c r="E449" t="s">
        <v>56</v>
      </c>
      <c r="F449" t="s">
        <v>67</v>
      </c>
      <c r="G449" t="s">
        <v>679</v>
      </c>
      <c r="H449" t="s">
        <v>2439</v>
      </c>
      <c r="I449" t="s">
        <v>2440</v>
      </c>
      <c r="J449" t="s">
        <v>98</v>
      </c>
      <c r="K449" t="s">
        <v>99</v>
      </c>
      <c r="L449" t="s">
        <v>63</v>
      </c>
      <c r="M449" t="s">
        <v>72</v>
      </c>
      <c r="N449" s="5"/>
      <c r="O449" t="str">
        <f t="shared" si="6"/>
        <v/>
      </c>
    </row>
    <row r="450" spans="1:15" x14ac:dyDescent="0.25">
      <c r="A450" t="s">
        <v>2441</v>
      </c>
      <c r="B450" t="s">
        <v>2442</v>
      </c>
      <c r="C450" t="s">
        <v>2443</v>
      </c>
      <c r="D450">
        <v>2026</v>
      </c>
      <c r="E450" t="s">
        <v>56</v>
      </c>
      <c r="F450" t="s">
        <v>67</v>
      </c>
      <c r="G450" t="s">
        <v>273</v>
      </c>
      <c r="H450" t="s">
        <v>2444</v>
      </c>
      <c r="I450" t="s">
        <v>2445</v>
      </c>
      <c r="J450" t="s">
        <v>61</v>
      </c>
      <c r="K450" t="s">
        <v>62</v>
      </c>
      <c r="L450" t="s">
        <v>63</v>
      </c>
      <c r="M450" t="s">
        <v>63</v>
      </c>
      <c r="N450" s="5"/>
      <c r="O450" t="str">
        <f t="shared" ref="O450:O513" si="7">IF(N450="","",IF(N450=J450,1,0))</f>
        <v/>
      </c>
    </row>
    <row r="451" spans="1:15" x14ac:dyDescent="0.25">
      <c r="A451" t="s">
        <v>2446</v>
      </c>
      <c r="B451" t="s">
        <v>2447</v>
      </c>
      <c r="C451" t="s">
        <v>2448</v>
      </c>
      <c r="D451">
        <v>2026</v>
      </c>
      <c r="E451" t="s">
        <v>56</v>
      </c>
      <c r="F451" t="s">
        <v>67</v>
      </c>
      <c r="G451" t="s">
        <v>151</v>
      </c>
      <c r="H451" t="s">
        <v>2449</v>
      </c>
      <c r="I451" t="s">
        <v>2450</v>
      </c>
      <c r="J451" t="s">
        <v>71</v>
      </c>
      <c r="K451" t="s">
        <v>18</v>
      </c>
      <c r="L451" t="s">
        <v>72</v>
      </c>
      <c r="M451" t="s">
        <v>72</v>
      </c>
      <c r="N451" s="5"/>
      <c r="O451" t="str">
        <f t="shared" si="7"/>
        <v/>
      </c>
    </row>
    <row r="452" spans="1:15" x14ac:dyDescent="0.25">
      <c r="A452" t="s">
        <v>2451</v>
      </c>
      <c r="B452" t="s">
        <v>2452</v>
      </c>
      <c r="C452" t="s">
        <v>2453</v>
      </c>
      <c r="D452">
        <v>2026</v>
      </c>
      <c r="E452" t="s">
        <v>56</v>
      </c>
      <c r="F452" t="s">
        <v>67</v>
      </c>
      <c r="G452" t="s">
        <v>1260</v>
      </c>
      <c r="H452" t="s">
        <v>2454</v>
      </c>
      <c r="I452" t="s">
        <v>2455</v>
      </c>
      <c r="J452" t="s">
        <v>71</v>
      </c>
      <c r="K452" t="s">
        <v>18</v>
      </c>
      <c r="L452" t="s">
        <v>72</v>
      </c>
      <c r="M452" t="s">
        <v>72</v>
      </c>
      <c r="N452" s="5"/>
      <c r="O452" t="str">
        <f t="shared" si="7"/>
        <v/>
      </c>
    </row>
    <row r="453" spans="1:15" x14ac:dyDescent="0.25">
      <c r="A453" t="s">
        <v>2456</v>
      </c>
      <c r="B453" t="s">
        <v>2457</v>
      </c>
      <c r="C453" t="s">
        <v>2458</v>
      </c>
      <c r="D453">
        <v>2026</v>
      </c>
      <c r="E453" t="s">
        <v>56</v>
      </c>
      <c r="F453" t="s">
        <v>67</v>
      </c>
      <c r="G453" t="s">
        <v>2459</v>
      </c>
      <c r="H453" t="s">
        <v>2460</v>
      </c>
      <c r="I453" t="s">
        <v>2461</v>
      </c>
      <c r="J453" t="s">
        <v>71</v>
      </c>
      <c r="K453" t="s">
        <v>18</v>
      </c>
      <c r="L453" t="s">
        <v>72</v>
      </c>
      <c r="M453" t="s">
        <v>72</v>
      </c>
      <c r="N453" s="5"/>
      <c r="O453" t="str">
        <f t="shared" si="7"/>
        <v/>
      </c>
    </row>
    <row r="454" spans="1:15" x14ac:dyDescent="0.25">
      <c r="A454" t="s">
        <v>2462</v>
      </c>
      <c r="B454" t="s">
        <v>2463</v>
      </c>
      <c r="C454" t="s">
        <v>2464</v>
      </c>
      <c r="D454">
        <v>2026</v>
      </c>
      <c r="E454" t="s">
        <v>56</v>
      </c>
      <c r="F454" t="s">
        <v>67</v>
      </c>
      <c r="G454" t="s">
        <v>1533</v>
      </c>
      <c r="H454" t="s">
        <v>2465</v>
      </c>
      <c r="I454" t="s">
        <v>2466</v>
      </c>
      <c r="J454" t="s">
        <v>87</v>
      </c>
      <c r="K454" t="s">
        <v>19</v>
      </c>
      <c r="L454" t="s">
        <v>72</v>
      </c>
      <c r="M454" t="s">
        <v>72</v>
      </c>
      <c r="N454" s="5"/>
      <c r="O454" t="str">
        <f t="shared" si="7"/>
        <v/>
      </c>
    </row>
    <row r="455" spans="1:15" x14ac:dyDescent="0.25">
      <c r="A455" t="s">
        <v>2467</v>
      </c>
      <c r="B455" t="s">
        <v>2468</v>
      </c>
      <c r="C455" t="s">
        <v>2469</v>
      </c>
      <c r="D455">
        <v>2026</v>
      </c>
      <c r="E455" t="s">
        <v>56</v>
      </c>
      <c r="F455" t="s">
        <v>67</v>
      </c>
      <c r="G455" t="s">
        <v>679</v>
      </c>
      <c r="H455" t="s">
        <v>2470</v>
      </c>
      <c r="I455" t="s">
        <v>2471</v>
      </c>
      <c r="J455" t="s">
        <v>79</v>
      </c>
      <c r="K455" t="s">
        <v>80</v>
      </c>
      <c r="L455" t="s">
        <v>72</v>
      </c>
      <c r="M455" t="s">
        <v>72</v>
      </c>
      <c r="N455" s="5"/>
      <c r="O455" t="str">
        <f t="shared" si="7"/>
        <v/>
      </c>
    </row>
    <row r="456" spans="1:15" x14ac:dyDescent="0.25">
      <c r="A456" t="s">
        <v>2472</v>
      </c>
      <c r="B456" t="s">
        <v>2473</v>
      </c>
      <c r="C456" t="s">
        <v>2474</v>
      </c>
      <c r="D456">
        <v>2026</v>
      </c>
      <c r="E456" t="s">
        <v>56</v>
      </c>
      <c r="F456" t="s">
        <v>57</v>
      </c>
      <c r="G456" t="s">
        <v>2475</v>
      </c>
      <c r="H456" t="s">
        <v>2476</v>
      </c>
      <c r="I456" t="s">
        <v>2477</v>
      </c>
      <c r="J456" t="s">
        <v>71</v>
      </c>
      <c r="K456" t="s">
        <v>18</v>
      </c>
      <c r="L456" t="s">
        <v>72</v>
      </c>
      <c r="M456" t="s">
        <v>72</v>
      </c>
      <c r="N456" s="5"/>
      <c r="O456" t="str">
        <f t="shared" si="7"/>
        <v/>
      </c>
    </row>
    <row r="457" spans="1:15" x14ac:dyDescent="0.25">
      <c r="A457" t="s">
        <v>2478</v>
      </c>
      <c r="B457" t="s">
        <v>2479</v>
      </c>
      <c r="C457" t="s">
        <v>2480</v>
      </c>
      <c r="D457">
        <v>2026</v>
      </c>
      <c r="E457" t="s">
        <v>56</v>
      </c>
      <c r="F457" t="s">
        <v>67</v>
      </c>
      <c r="G457" t="s">
        <v>2481</v>
      </c>
      <c r="H457" t="s">
        <v>2482</v>
      </c>
      <c r="I457" t="s">
        <v>2483</v>
      </c>
      <c r="J457" t="s">
        <v>71</v>
      </c>
      <c r="K457" t="s">
        <v>18</v>
      </c>
      <c r="L457" t="s">
        <v>72</v>
      </c>
      <c r="M457" t="s">
        <v>72</v>
      </c>
      <c r="N457" s="5"/>
      <c r="O457" t="str">
        <f t="shared" si="7"/>
        <v/>
      </c>
    </row>
    <row r="458" spans="1:15" x14ac:dyDescent="0.25">
      <c r="A458" t="s">
        <v>2484</v>
      </c>
      <c r="B458" t="s">
        <v>2485</v>
      </c>
      <c r="C458" t="s">
        <v>2486</v>
      </c>
      <c r="D458">
        <v>2026</v>
      </c>
      <c r="E458" t="s">
        <v>56</v>
      </c>
      <c r="F458" t="s">
        <v>67</v>
      </c>
      <c r="G458" t="s">
        <v>679</v>
      </c>
      <c r="H458" t="s">
        <v>2487</v>
      </c>
      <c r="I458" t="s">
        <v>2488</v>
      </c>
      <c r="J458" t="s">
        <v>87</v>
      </c>
      <c r="K458" t="s">
        <v>19</v>
      </c>
      <c r="L458" t="s">
        <v>72</v>
      </c>
      <c r="M458" t="s">
        <v>72</v>
      </c>
      <c r="N458" s="5"/>
      <c r="O458" t="str">
        <f t="shared" si="7"/>
        <v/>
      </c>
    </row>
    <row r="459" spans="1:15" x14ac:dyDescent="0.25">
      <c r="A459" t="s">
        <v>2489</v>
      </c>
      <c r="B459" t="s">
        <v>2490</v>
      </c>
      <c r="C459" t="s">
        <v>2491</v>
      </c>
      <c r="D459">
        <v>2026</v>
      </c>
      <c r="E459" t="s">
        <v>56</v>
      </c>
      <c r="F459" t="s">
        <v>67</v>
      </c>
      <c r="G459" t="s">
        <v>890</v>
      </c>
      <c r="H459" t="s">
        <v>2492</v>
      </c>
      <c r="I459" t="s">
        <v>2493</v>
      </c>
      <c r="J459" t="s">
        <v>71</v>
      </c>
      <c r="K459" t="s">
        <v>18</v>
      </c>
      <c r="L459" t="s">
        <v>72</v>
      </c>
      <c r="M459" t="s">
        <v>72</v>
      </c>
      <c r="N459" s="5"/>
      <c r="O459" t="str">
        <f t="shared" si="7"/>
        <v/>
      </c>
    </row>
    <row r="460" spans="1:15" x14ac:dyDescent="0.25">
      <c r="A460" t="s">
        <v>2494</v>
      </c>
      <c r="B460" t="s">
        <v>2495</v>
      </c>
      <c r="C460" t="s">
        <v>2496</v>
      </c>
      <c r="D460">
        <v>2026</v>
      </c>
      <c r="E460" t="s">
        <v>56</v>
      </c>
      <c r="F460" t="s">
        <v>67</v>
      </c>
      <c r="G460" t="s">
        <v>981</v>
      </c>
      <c r="H460" t="s">
        <v>2497</v>
      </c>
      <c r="I460" t="s">
        <v>2498</v>
      </c>
      <c r="J460" t="s">
        <v>98</v>
      </c>
      <c r="K460" t="s">
        <v>99</v>
      </c>
      <c r="L460" t="s">
        <v>63</v>
      </c>
      <c r="M460" t="s">
        <v>72</v>
      </c>
      <c r="N460" s="5"/>
      <c r="O460" t="str">
        <f t="shared" si="7"/>
        <v/>
      </c>
    </row>
    <row r="461" spans="1:15" x14ac:dyDescent="0.25">
      <c r="A461" t="s">
        <v>2499</v>
      </c>
      <c r="B461" t="s">
        <v>2500</v>
      </c>
      <c r="C461" t="s">
        <v>2501</v>
      </c>
      <c r="D461">
        <v>2026</v>
      </c>
      <c r="E461" t="s">
        <v>56</v>
      </c>
      <c r="F461" t="s">
        <v>57</v>
      </c>
      <c r="G461" t="s">
        <v>750</v>
      </c>
      <c r="H461" t="s">
        <v>2502</v>
      </c>
      <c r="I461" t="s">
        <v>2503</v>
      </c>
      <c r="J461" t="s">
        <v>98</v>
      </c>
      <c r="K461" t="s">
        <v>99</v>
      </c>
      <c r="L461" t="s">
        <v>63</v>
      </c>
      <c r="M461" t="s">
        <v>72</v>
      </c>
      <c r="N461" s="5"/>
      <c r="O461" t="str">
        <f t="shared" si="7"/>
        <v/>
      </c>
    </row>
    <row r="462" spans="1:15" x14ac:dyDescent="0.25">
      <c r="A462" t="s">
        <v>2504</v>
      </c>
      <c r="B462" t="s">
        <v>2505</v>
      </c>
      <c r="C462" t="s">
        <v>2506</v>
      </c>
      <c r="D462">
        <v>2026</v>
      </c>
      <c r="E462" t="s">
        <v>56</v>
      </c>
      <c r="F462" t="s">
        <v>57</v>
      </c>
      <c r="G462" t="s">
        <v>2507</v>
      </c>
      <c r="H462" t="s">
        <v>2508</v>
      </c>
      <c r="I462" t="s">
        <v>2509</v>
      </c>
      <c r="J462" t="s">
        <v>79</v>
      </c>
      <c r="K462" t="s">
        <v>80</v>
      </c>
      <c r="L462" t="s">
        <v>72</v>
      </c>
      <c r="M462" t="s">
        <v>72</v>
      </c>
      <c r="N462" s="5"/>
      <c r="O462" t="str">
        <f t="shared" si="7"/>
        <v/>
      </c>
    </row>
    <row r="463" spans="1:15" x14ac:dyDescent="0.25">
      <c r="A463" t="s">
        <v>2510</v>
      </c>
      <c r="B463" t="s">
        <v>2511</v>
      </c>
      <c r="C463" t="s">
        <v>2512</v>
      </c>
      <c r="D463">
        <v>2026</v>
      </c>
      <c r="E463" t="s">
        <v>56</v>
      </c>
      <c r="F463" t="s">
        <v>57</v>
      </c>
      <c r="G463" t="s">
        <v>2513</v>
      </c>
      <c r="H463" t="s">
        <v>2514</v>
      </c>
      <c r="I463" t="s">
        <v>2515</v>
      </c>
      <c r="J463" t="s">
        <v>79</v>
      </c>
      <c r="K463" t="s">
        <v>80</v>
      </c>
      <c r="L463" t="s">
        <v>72</v>
      </c>
      <c r="M463" t="s">
        <v>72</v>
      </c>
      <c r="N463" s="5"/>
      <c r="O463" t="str">
        <f t="shared" si="7"/>
        <v/>
      </c>
    </row>
    <row r="464" spans="1:15" x14ac:dyDescent="0.25">
      <c r="A464" t="s">
        <v>2516</v>
      </c>
      <c r="B464" t="s">
        <v>2517</v>
      </c>
      <c r="C464" t="s">
        <v>2518</v>
      </c>
      <c r="D464">
        <v>2026</v>
      </c>
      <c r="E464" t="s">
        <v>56</v>
      </c>
      <c r="F464" t="s">
        <v>57</v>
      </c>
      <c r="G464" t="s">
        <v>750</v>
      </c>
      <c r="H464" t="s">
        <v>2519</v>
      </c>
      <c r="I464" t="s">
        <v>2520</v>
      </c>
      <c r="J464" t="s">
        <v>165</v>
      </c>
      <c r="K464" t="s">
        <v>166</v>
      </c>
      <c r="L464" t="s">
        <v>63</v>
      </c>
      <c r="M464" t="s">
        <v>72</v>
      </c>
      <c r="N464" s="5"/>
      <c r="O464" t="str">
        <f t="shared" si="7"/>
        <v/>
      </c>
    </row>
    <row r="465" spans="1:15" x14ac:dyDescent="0.25">
      <c r="A465" t="s">
        <v>2521</v>
      </c>
      <c r="B465" t="s">
        <v>2522</v>
      </c>
      <c r="C465" t="s">
        <v>2523</v>
      </c>
      <c r="D465">
        <v>2026</v>
      </c>
      <c r="E465" t="s">
        <v>56</v>
      </c>
      <c r="F465" t="s">
        <v>67</v>
      </c>
      <c r="G465" t="s">
        <v>2524</v>
      </c>
      <c r="H465" t="s">
        <v>2525</v>
      </c>
      <c r="I465" t="s">
        <v>2526</v>
      </c>
      <c r="J465" t="s">
        <v>79</v>
      </c>
      <c r="K465" t="s">
        <v>80</v>
      </c>
      <c r="L465" t="s">
        <v>72</v>
      </c>
      <c r="M465" t="s">
        <v>72</v>
      </c>
      <c r="N465" s="5"/>
      <c r="O465" t="str">
        <f t="shared" si="7"/>
        <v/>
      </c>
    </row>
    <row r="466" spans="1:15" x14ac:dyDescent="0.25">
      <c r="A466" t="s">
        <v>2527</v>
      </c>
      <c r="B466" t="s">
        <v>2528</v>
      </c>
      <c r="C466" t="s">
        <v>2529</v>
      </c>
      <c r="D466">
        <v>2026</v>
      </c>
      <c r="E466" t="s">
        <v>56</v>
      </c>
      <c r="F466" t="s">
        <v>57</v>
      </c>
      <c r="G466" t="s">
        <v>251</v>
      </c>
      <c r="H466" t="s">
        <v>2530</v>
      </c>
      <c r="I466" t="s">
        <v>2531</v>
      </c>
      <c r="J466" t="s">
        <v>71</v>
      </c>
      <c r="K466" t="s">
        <v>18</v>
      </c>
      <c r="L466" t="s">
        <v>72</v>
      </c>
      <c r="M466" t="s">
        <v>72</v>
      </c>
      <c r="N466" s="5"/>
      <c r="O466" t="str">
        <f t="shared" si="7"/>
        <v/>
      </c>
    </row>
    <row r="467" spans="1:15" x14ac:dyDescent="0.25">
      <c r="A467" t="s">
        <v>2532</v>
      </c>
      <c r="B467" t="s">
        <v>2533</v>
      </c>
      <c r="C467" t="s">
        <v>1181</v>
      </c>
      <c r="D467">
        <v>2026</v>
      </c>
      <c r="E467" t="s">
        <v>56</v>
      </c>
      <c r="F467" t="s">
        <v>67</v>
      </c>
      <c r="G467" t="s">
        <v>2534</v>
      </c>
      <c r="H467" t="s">
        <v>2535</v>
      </c>
      <c r="I467" t="s">
        <v>2536</v>
      </c>
      <c r="J467" t="s">
        <v>71</v>
      </c>
      <c r="K467" t="s">
        <v>18</v>
      </c>
      <c r="L467" t="s">
        <v>72</v>
      </c>
      <c r="M467" t="s">
        <v>72</v>
      </c>
      <c r="N467" s="5"/>
      <c r="O467" t="str">
        <f t="shared" si="7"/>
        <v/>
      </c>
    </row>
    <row r="468" spans="1:15" x14ac:dyDescent="0.25">
      <c r="A468" t="s">
        <v>2537</v>
      </c>
      <c r="B468" t="s">
        <v>2538</v>
      </c>
      <c r="C468" t="s">
        <v>2539</v>
      </c>
      <c r="D468">
        <v>2026</v>
      </c>
      <c r="E468" t="s">
        <v>56</v>
      </c>
      <c r="F468" t="s">
        <v>57</v>
      </c>
      <c r="G468" t="s">
        <v>2540</v>
      </c>
      <c r="H468" t="s">
        <v>2541</v>
      </c>
      <c r="I468" t="s">
        <v>2542</v>
      </c>
      <c r="J468" t="s">
        <v>98</v>
      </c>
      <c r="K468" t="s">
        <v>99</v>
      </c>
      <c r="L468" t="s">
        <v>63</v>
      </c>
      <c r="M468" t="s">
        <v>72</v>
      </c>
      <c r="N468" s="5"/>
      <c r="O468" t="str">
        <f t="shared" si="7"/>
        <v/>
      </c>
    </row>
    <row r="469" spans="1:15" x14ac:dyDescent="0.25">
      <c r="A469" t="s">
        <v>2543</v>
      </c>
      <c r="B469" t="s">
        <v>2544</v>
      </c>
      <c r="C469" t="s">
        <v>2545</v>
      </c>
      <c r="D469">
        <v>2026</v>
      </c>
      <c r="E469" t="s">
        <v>56</v>
      </c>
      <c r="F469" t="s">
        <v>57</v>
      </c>
      <c r="G469" t="s">
        <v>2546</v>
      </c>
      <c r="H469" t="s">
        <v>2547</v>
      </c>
      <c r="I469" t="s">
        <v>2548</v>
      </c>
      <c r="J469" t="s">
        <v>71</v>
      </c>
      <c r="K469" t="s">
        <v>18</v>
      </c>
      <c r="L469" t="s">
        <v>72</v>
      </c>
      <c r="M469" t="s">
        <v>72</v>
      </c>
      <c r="N469" s="5"/>
      <c r="O469" t="str">
        <f t="shared" si="7"/>
        <v/>
      </c>
    </row>
    <row r="470" spans="1:15" x14ac:dyDescent="0.25">
      <c r="A470" t="s">
        <v>2549</v>
      </c>
      <c r="B470" t="s">
        <v>2550</v>
      </c>
      <c r="C470" t="s">
        <v>991</v>
      </c>
      <c r="D470">
        <v>2026</v>
      </c>
      <c r="E470" t="s">
        <v>56</v>
      </c>
      <c r="F470" t="s">
        <v>57</v>
      </c>
      <c r="G470" t="s">
        <v>368</v>
      </c>
      <c r="H470" t="s">
        <v>2551</v>
      </c>
      <c r="I470" t="s">
        <v>2552</v>
      </c>
      <c r="J470" t="s">
        <v>79</v>
      </c>
      <c r="K470" t="s">
        <v>80</v>
      </c>
      <c r="L470" t="s">
        <v>72</v>
      </c>
      <c r="M470" t="s">
        <v>72</v>
      </c>
      <c r="N470" s="5"/>
      <c r="O470" t="str">
        <f t="shared" si="7"/>
        <v/>
      </c>
    </row>
    <row r="471" spans="1:15" x14ac:dyDescent="0.25">
      <c r="A471" t="s">
        <v>2553</v>
      </c>
      <c r="B471" t="s">
        <v>2554</v>
      </c>
      <c r="C471" t="s">
        <v>2555</v>
      </c>
      <c r="D471">
        <v>2026</v>
      </c>
      <c r="E471" t="s">
        <v>56</v>
      </c>
      <c r="F471" t="s">
        <v>67</v>
      </c>
      <c r="G471" t="s">
        <v>679</v>
      </c>
      <c r="H471" t="s">
        <v>2556</v>
      </c>
      <c r="I471" t="s">
        <v>2557</v>
      </c>
      <c r="J471" t="s">
        <v>61</v>
      </c>
      <c r="K471" t="s">
        <v>62</v>
      </c>
      <c r="L471" t="s">
        <v>63</v>
      </c>
      <c r="M471" t="s">
        <v>63</v>
      </c>
      <c r="N471" s="5"/>
      <c r="O471" t="str">
        <f t="shared" si="7"/>
        <v/>
      </c>
    </row>
    <row r="472" spans="1:15" x14ac:dyDescent="0.25">
      <c r="A472" t="s">
        <v>2558</v>
      </c>
      <c r="B472" t="s">
        <v>2559</v>
      </c>
      <c r="C472" t="s">
        <v>2560</v>
      </c>
      <c r="D472">
        <v>2026</v>
      </c>
      <c r="E472" t="s">
        <v>56</v>
      </c>
      <c r="F472" t="s">
        <v>67</v>
      </c>
      <c r="G472" t="s">
        <v>2561</v>
      </c>
      <c r="H472" t="s">
        <v>2562</v>
      </c>
      <c r="I472" t="s">
        <v>2563</v>
      </c>
      <c r="J472" t="s">
        <v>71</v>
      </c>
      <c r="K472" t="s">
        <v>18</v>
      </c>
      <c r="L472" t="s">
        <v>72</v>
      </c>
      <c r="M472" t="s">
        <v>72</v>
      </c>
      <c r="N472" s="5"/>
      <c r="O472" t="str">
        <f t="shared" si="7"/>
        <v/>
      </c>
    </row>
    <row r="473" spans="1:15" x14ac:dyDescent="0.25">
      <c r="A473" t="s">
        <v>2564</v>
      </c>
      <c r="B473" t="s">
        <v>2565</v>
      </c>
      <c r="C473" t="s">
        <v>2566</v>
      </c>
      <c r="D473">
        <v>2026</v>
      </c>
      <c r="E473" t="s">
        <v>56</v>
      </c>
      <c r="F473" t="s">
        <v>67</v>
      </c>
      <c r="G473" t="s">
        <v>2567</v>
      </c>
      <c r="H473" t="s">
        <v>2568</v>
      </c>
      <c r="I473" t="s">
        <v>2569</v>
      </c>
      <c r="J473" t="s">
        <v>79</v>
      </c>
      <c r="K473" t="s">
        <v>80</v>
      </c>
      <c r="L473" t="s">
        <v>72</v>
      </c>
      <c r="M473" t="s">
        <v>72</v>
      </c>
      <c r="N473" s="5"/>
      <c r="O473" t="str">
        <f t="shared" si="7"/>
        <v/>
      </c>
    </row>
    <row r="474" spans="1:15" x14ac:dyDescent="0.25">
      <c r="A474" t="s">
        <v>2570</v>
      </c>
      <c r="B474" t="s">
        <v>2571</v>
      </c>
      <c r="C474" t="s">
        <v>2572</v>
      </c>
      <c r="D474">
        <v>2026</v>
      </c>
      <c r="E474" t="s">
        <v>56</v>
      </c>
      <c r="F474" t="s">
        <v>67</v>
      </c>
      <c r="G474" t="s">
        <v>151</v>
      </c>
      <c r="H474" t="s">
        <v>2573</v>
      </c>
      <c r="I474" t="s">
        <v>2574</v>
      </c>
      <c r="J474" t="s">
        <v>87</v>
      </c>
      <c r="K474" t="s">
        <v>19</v>
      </c>
      <c r="L474" t="s">
        <v>72</v>
      </c>
      <c r="M474" t="s">
        <v>72</v>
      </c>
      <c r="N474" s="5"/>
      <c r="O474" t="str">
        <f t="shared" si="7"/>
        <v/>
      </c>
    </row>
    <row r="475" spans="1:15" x14ac:dyDescent="0.25">
      <c r="A475" t="s">
        <v>2575</v>
      </c>
      <c r="B475" t="s">
        <v>2576</v>
      </c>
      <c r="C475" t="s">
        <v>2577</v>
      </c>
      <c r="D475">
        <v>2026</v>
      </c>
      <c r="E475" t="s">
        <v>56</v>
      </c>
      <c r="F475" t="s">
        <v>67</v>
      </c>
      <c r="G475" t="s">
        <v>2578</v>
      </c>
      <c r="H475" t="s">
        <v>2579</v>
      </c>
      <c r="I475" t="s">
        <v>2580</v>
      </c>
      <c r="J475" t="s">
        <v>87</v>
      </c>
      <c r="K475" t="s">
        <v>19</v>
      </c>
      <c r="L475" t="s">
        <v>72</v>
      </c>
      <c r="M475" t="s">
        <v>72</v>
      </c>
      <c r="N475" s="5"/>
      <c r="O475" t="str">
        <f t="shared" si="7"/>
        <v/>
      </c>
    </row>
    <row r="476" spans="1:15" x14ac:dyDescent="0.25">
      <c r="A476" t="s">
        <v>2581</v>
      </c>
      <c r="B476" t="s">
        <v>2582</v>
      </c>
      <c r="C476" t="s">
        <v>2583</v>
      </c>
      <c r="D476">
        <v>2026</v>
      </c>
      <c r="E476" t="s">
        <v>56</v>
      </c>
      <c r="F476" t="s">
        <v>67</v>
      </c>
      <c r="G476" t="s">
        <v>2584</v>
      </c>
      <c r="H476" t="s">
        <v>2585</v>
      </c>
      <c r="I476" t="s">
        <v>2586</v>
      </c>
      <c r="J476" t="s">
        <v>165</v>
      </c>
      <c r="K476" t="s">
        <v>166</v>
      </c>
      <c r="L476" t="s">
        <v>63</v>
      </c>
      <c r="M476" t="s">
        <v>72</v>
      </c>
      <c r="N476" s="5"/>
      <c r="O476" t="str">
        <f t="shared" si="7"/>
        <v/>
      </c>
    </row>
    <row r="477" spans="1:15" x14ac:dyDescent="0.25">
      <c r="A477" t="s">
        <v>2587</v>
      </c>
      <c r="B477" t="s">
        <v>2588</v>
      </c>
      <c r="C477" t="s">
        <v>1359</v>
      </c>
      <c r="D477">
        <v>2026</v>
      </c>
      <c r="E477" t="s">
        <v>56</v>
      </c>
      <c r="F477" t="s">
        <v>57</v>
      </c>
      <c r="G477" t="s">
        <v>1091</v>
      </c>
      <c r="H477" t="s">
        <v>2589</v>
      </c>
      <c r="I477" t="s">
        <v>2590</v>
      </c>
      <c r="J477" t="s">
        <v>79</v>
      </c>
      <c r="K477" t="s">
        <v>80</v>
      </c>
      <c r="L477" t="s">
        <v>72</v>
      </c>
      <c r="M477" t="s">
        <v>72</v>
      </c>
      <c r="N477" s="5"/>
      <c r="O477" t="str">
        <f t="shared" si="7"/>
        <v/>
      </c>
    </row>
    <row r="478" spans="1:15" x14ac:dyDescent="0.25">
      <c r="A478" t="s">
        <v>2591</v>
      </c>
      <c r="B478" t="s">
        <v>2592</v>
      </c>
      <c r="C478" t="s">
        <v>2593</v>
      </c>
      <c r="D478">
        <v>2026</v>
      </c>
      <c r="E478" t="s">
        <v>56</v>
      </c>
      <c r="F478" t="s">
        <v>67</v>
      </c>
      <c r="G478" t="s">
        <v>1533</v>
      </c>
      <c r="H478" t="s">
        <v>2594</v>
      </c>
      <c r="I478" t="s">
        <v>2595</v>
      </c>
      <c r="J478" t="s">
        <v>71</v>
      </c>
      <c r="K478" t="s">
        <v>18</v>
      </c>
      <c r="L478" t="s">
        <v>72</v>
      </c>
      <c r="M478" t="s">
        <v>72</v>
      </c>
      <c r="N478" s="5"/>
      <c r="O478" t="str">
        <f t="shared" si="7"/>
        <v/>
      </c>
    </row>
    <row r="479" spans="1:15" x14ac:dyDescent="0.25">
      <c r="A479" t="s">
        <v>2596</v>
      </c>
      <c r="B479" t="s">
        <v>2597</v>
      </c>
      <c r="C479" t="s">
        <v>2598</v>
      </c>
      <c r="D479">
        <v>2026</v>
      </c>
      <c r="E479" t="s">
        <v>56</v>
      </c>
      <c r="F479" t="s">
        <v>67</v>
      </c>
      <c r="G479" t="s">
        <v>273</v>
      </c>
      <c r="H479" t="s">
        <v>2599</v>
      </c>
      <c r="I479" t="s">
        <v>2600</v>
      </c>
      <c r="J479" t="s">
        <v>71</v>
      </c>
      <c r="K479" t="s">
        <v>18</v>
      </c>
      <c r="L479" t="s">
        <v>72</v>
      </c>
      <c r="M479" t="s">
        <v>72</v>
      </c>
      <c r="N479" s="5"/>
      <c r="O479" t="str">
        <f t="shared" si="7"/>
        <v/>
      </c>
    </row>
    <row r="480" spans="1:15" x14ac:dyDescent="0.25">
      <c r="A480" t="s">
        <v>2601</v>
      </c>
      <c r="B480" t="s">
        <v>2602</v>
      </c>
      <c r="C480" t="s">
        <v>2603</v>
      </c>
      <c r="D480">
        <v>2026</v>
      </c>
      <c r="E480" t="s">
        <v>56</v>
      </c>
      <c r="F480" t="s">
        <v>67</v>
      </c>
      <c r="G480" t="s">
        <v>679</v>
      </c>
      <c r="H480" t="s">
        <v>2604</v>
      </c>
      <c r="I480" t="s">
        <v>2605</v>
      </c>
      <c r="J480" t="s">
        <v>87</v>
      </c>
      <c r="K480" t="s">
        <v>19</v>
      </c>
      <c r="L480" t="s">
        <v>72</v>
      </c>
      <c r="M480" t="s">
        <v>72</v>
      </c>
      <c r="N480" s="5"/>
      <c r="O480" t="str">
        <f t="shared" si="7"/>
        <v/>
      </c>
    </row>
    <row r="481" spans="1:15" x14ac:dyDescent="0.25">
      <c r="A481" t="s">
        <v>2606</v>
      </c>
      <c r="B481" t="s">
        <v>2607</v>
      </c>
      <c r="C481" t="s">
        <v>815</v>
      </c>
      <c r="D481">
        <v>2026</v>
      </c>
      <c r="E481" t="s">
        <v>56</v>
      </c>
      <c r="F481" t="s">
        <v>67</v>
      </c>
      <c r="G481" t="s">
        <v>1124</v>
      </c>
      <c r="H481" t="s">
        <v>2608</v>
      </c>
      <c r="I481" t="s">
        <v>2609</v>
      </c>
      <c r="J481" t="s">
        <v>71</v>
      </c>
      <c r="K481" t="s">
        <v>18</v>
      </c>
      <c r="L481" t="s">
        <v>72</v>
      </c>
      <c r="M481" t="s">
        <v>72</v>
      </c>
      <c r="N481" s="5"/>
      <c r="O481" t="str">
        <f t="shared" si="7"/>
        <v/>
      </c>
    </row>
    <row r="482" spans="1:15" x14ac:dyDescent="0.25">
      <c r="A482" t="s">
        <v>2610</v>
      </c>
      <c r="B482" t="s">
        <v>2611</v>
      </c>
      <c r="C482" t="s">
        <v>2612</v>
      </c>
      <c r="D482">
        <v>2026</v>
      </c>
      <c r="E482" t="s">
        <v>56</v>
      </c>
      <c r="F482" t="s">
        <v>67</v>
      </c>
      <c r="G482" t="s">
        <v>76</v>
      </c>
      <c r="H482" t="s">
        <v>2613</v>
      </c>
      <c r="I482" t="s">
        <v>2614</v>
      </c>
      <c r="J482" t="s">
        <v>71</v>
      </c>
      <c r="K482" t="s">
        <v>18</v>
      </c>
      <c r="L482" t="s">
        <v>72</v>
      </c>
      <c r="M482" t="s">
        <v>72</v>
      </c>
      <c r="N482" s="5"/>
      <c r="O482" t="str">
        <f t="shared" si="7"/>
        <v/>
      </c>
    </row>
    <row r="483" spans="1:15" x14ac:dyDescent="0.25">
      <c r="A483" t="s">
        <v>2615</v>
      </c>
      <c r="B483" t="s">
        <v>2616</v>
      </c>
      <c r="C483" t="s">
        <v>2617</v>
      </c>
      <c r="D483">
        <v>2026</v>
      </c>
      <c r="E483" t="s">
        <v>56</v>
      </c>
      <c r="F483" t="s">
        <v>67</v>
      </c>
      <c r="G483" t="s">
        <v>84</v>
      </c>
      <c r="H483" t="s">
        <v>2618</v>
      </c>
      <c r="I483" t="s">
        <v>2619</v>
      </c>
      <c r="J483" t="s">
        <v>71</v>
      </c>
      <c r="K483" t="s">
        <v>18</v>
      </c>
      <c r="L483" t="s">
        <v>72</v>
      </c>
      <c r="M483" t="s">
        <v>72</v>
      </c>
      <c r="N483" s="5"/>
      <c r="O483" t="str">
        <f t="shared" si="7"/>
        <v/>
      </c>
    </row>
    <row r="484" spans="1:15" x14ac:dyDescent="0.25">
      <c r="A484" t="s">
        <v>2620</v>
      </c>
      <c r="B484" t="s">
        <v>2621</v>
      </c>
      <c r="C484" t="s">
        <v>2622</v>
      </c>
      <c r="D484">
        <v>2026</v>
      </c>
      <c r="E484" t="s">
        <v>56</v>
      </c>
      <c r="F484" t="s">
        <v>67</v>
      </c>
      <c r="G484" t="s">
        <v>188</v>
      </c>
      <c r="H484" t="s">
        <v>2623</v>
      </c>
      <c r="I484" t="s">
        <v>2624</v>
      </c>
      <c r="J484" t="s">
        <v>79</v>
      </c>
      <c r="K484" t="s">
        <v>80</v>
      </c>
      <c r="L484" t="s">
        <v>72</v>
      </c>
      <c r="M484" t="s">
        <v>72</v>
      </c>
      <c r="N484" s="5"/>
      <c r="O484" t="str">
        <f t="shared" si="7"/>
        <v/>
      </c>
    </row>
    <row r="485" spans="1:15" x14ac:dyDescent="0.25">
      <c r="A485" t="s">
        <v>2625</v>
      </c>
      <c r="B485" t="s">
        <v>2626</v>
      </c>
      <c r="C485" t="s">
        <v>2627</v>
      </c>
      <c r="D485">
        <v>2026</v>
      </c>
      <c r="E485" t="s">
        <v>56</v>
      </c>
      <c r="F485" t="s">
        <v>67</v>
      </c>
      <c r="G485" t="s">
        <v>2628</v>
      </c>
      <c r="H485" t="s">
        <v>2629</v>
      </c>
      <c r="I485" t="s">
        <v>2630</v>
      </c>
      <c r="J485" t="s">
        <v>79</v>
      </c>
      <c r="K485" t="s">
        <v>80</v>
      </c>
      <c r="L485" t="s">
        <v>72</v>
      </c>
      <c r="M485" t="s">
        <v>72</v>
      </c>
      <c r="N485" s="5"/>
      <c r="O485" t="str">
        <f t="shared" si="7"/>
        <v/>
      </c>
    </row>
    <row r="486" spans="1:15" x14ac:dyDescent="0.25">
      <c r="A486" t="s">
        <v>2631</v>
      </c>
      <c r="B486" t="s">
        <v>2632</v>
      </c>
      <c r="C486" t="s">
        <v>2633</v>
      </c>
      <c r="D486">
        <v>2026</v>
      </c>
      <c r="E486" t="s">
        <v>56</v>
      </c>
      <c r="F486" t="s">
        <v>67</v>
      </c>
      <c r="G486" t="s">
        <v>2634</v>
      </c>
      <c r="H486" t="s">
        <v>2635</v>
      </c>
      <c r="I486" t="s">
        <v>2636</v>
      </c>
      <c r="J486" t="s">
        <v>87</v>
      </c>
      <c r="K486" t="s">
        <v>19</v>
      </c>
      <c r="L486" t="s">
        <v>72</v>
      </c>
      <c r="M486" t="s">
        <v>72</v>
      </c>
      <c r="N486" s="5"/>
      <c r="O486" t="str">
        <f t="shared" si="7"/>
        <v/>
      </c>
    </row>
    <row r="487" spans="1:15" x14ac:dyDescent="0.25">
      <c r="A487" t="s">
        <v>2637</v>
      </c>
      <c r="B487" t="s">
        <v>2638</v>
      </c>
      <c r="C487" t="s">
        <v>2639</v>
      </c>
      <c r="D487">
        <v>2026</v>
      </c>
      <c r="E487" t="s">
        <v>56</v>
      </c>
      <c r="F487" t="s">
        <v>67</v>
      </c>
      <c r="G487" t="s">
        <v>2640</v>
      </c>
      <c r="H487" t="s">
        <v>2641</v>
      </c>
      <c r="I487" t="s">
        <v>2642</v>
      </c>
      <c r="J487" t="s">
        <v>71</v>
      </c>
      <c r="K487" t="s">
        <v>18</v>
      </c>
      <c r="L487" t="s">
        <v>72</v>
      </c>
      <c r="M487" t="s">
        <v>72</v>
      </c>
      <c r="N487" s="5"/>
      <c r="O487" t="str">
        <f t="shared" si="7"/>
        <v/>
      </c>
    </row>
    <row r="488" spans="1:15" x14ac:dyDescent="0.25">
      <c r="A488" t="s">
        <v>2643</v>
      </c>
      <c r="B488" t="s">
        <v>2644</v>
      </c>
      <c r="C488" t="s">
        <v>2645</v>
      </c>
      <c r="D488">
        <v>2026</v>
      </c>
      <c r="E488" t="s">
        <v>56</v>
      </c>
      <c r="F488" t="s">
        <v>57</v>
      </c>
      <c r="G488" t="s">
        <v>2646</v>
      </c>
      <c r="H488" t="s">
        <v>2647</v>
      </c>
      <c r="I488" t="s">
        <v>2648</v>
      </c>
      <c r="J488" t="s">
        <v>79</v>
      </c>
      <c r="K488" t="s">
        <v>80</v>
      </c>
      <c r="L488" t="s">
        <v>72</v>
      </c>
      <c r="M488" t="s">
        <v>72</v>
      </c>
      <c r="N488" s="5"/>
      <c r="O488" t="str">
        <f t="shared" si="7"/>
        <v/>
      </c>
    </row>
    <row r="489" spans="1:15" x14ac:dyDescent="0.25">
      <c r="A489" t="s">
        <v>2649</v>
      </c>
      <c r="B489" t="s">
        <v>2650</v>
      </c>
      <c r="C489" t="s">
        <v>2651</v>
      </c>
      <c r="D489">
        <v>2026</v>
      </c>
      <c r="E489" t="s">
        <v>56</v>
      </c>
      <c r="F489" t="s">
        <v>67</v>
      </c>
      <c r="G489" t="s">
        <v>2119</v>
      </c>
      <c r="H489" t="s">
        <v>2652</v>
      </c>
      <c r="I489" t="s">
        <v>2653</v>
      </c>
      <c r="J489" t="s">
        <v>71</v>
      </c>
      <c r="K489" t="s">
        <v>18</v>
      </c>
      <c r="L489" t="s">
        <v>72</v>
      </c>
      <c r="M489" t="s">
        <v>72</v>
      </c>
      <c r="N489" s="5"/>
      <c r="O489" t="str">
        <f t="shared" si="7"/>
        <v/>
      </c>
    </row>
    <row r="490" spans="1:15" x14ac:dyDescent="0.25">
      <c r="A490" t="s">
        <v>2654</v>
      </c>
      <c r="B490" t="s">
        <v>2655</v>
      </c>
      <c r="C490" t="s">
        <v>2656</v>
      </c>
      <c r="D490">
        <v>2026</v>
      </c>
      <c r="E490" t="s">
        <v>56</v>
      </c>
      <c r="F490" t="s">
        <v>57</v>
      </c>
      <c r="G490" t="s">
        <v>1927</v>
      </c>
      <c r="H490" t="s">
        <v>2657</v>
      </c>
      <c r="I490" t="s">
        <v>2658</v>
      </c>
      <c r="J490" t="s">
        <v>71</v>
      </c>
      <c r="K490" t="s">
        <v>18</v>
      </c>
      <c r="L490" t="s">
        <v>72</v>
      </c>
      <c r="M490" t="s">
        <v>72</v>
      </c>
      <c r="N490" s="5"/>
      <c r="O490" t="str">
        <f t="shared" si="7"/>
        <v/>
      </c>
    </row>
    <row r="491" spans="1:15" x14ac:dyDescent="0.25">
      <c r="A491" t="s">
        <v>2659</v>
      </c>
      <c r="B491" t="s">
        <v>2660</v>
      </c>
      <c r="C491" t="s">
        <v>1965</v>
      </c>
      <c r="D491">
        <v>2026</v>
      </c>
      <c r="E491" t="s">
        <v>56</v>
      </c>
      <c r="F491" t="s">
        <v>57</v>
      </c>
      <c r="G491" t="s">
        <v>279</v>
      </c>
      <c r="H491" t="s">
        <v>2661</v>
      </c>
      <c r="I491" t="s">
        <v>2662</v>
      </c>
      <c r="J491" t="s">
        <v>79</v>
      </c>
      <c r="K491" t="s">
        <v>80</v>
      </c>
      <c r="L491" t="s">
        <v>72</v>
      </c>
      <c r="M491" t="s">
        <v>72</v>
      </c>
      <c r="N491" s="5"/>
      <c r="O491" t="str">
        <f t="shared" si="7"/>
        <v/>
      </c>
    </row>
    <row r="492" spans="1:15" x14ac:dyDescent="0.25">
      <c r="A492" t="s">
        <v>2663</v>
      </c>
      <c r="B492" t="s">
        <v>2664</v>
      </c>
      <c r="C492" t="s">
        <v>2665</v>
      </c>
      <c r="D492">
        <v>2026</v>
      </c>
      <c r="E492" t="s">
        <v>56</v>
      </c>
      <c r="F492" t="s">
        <v>67</v>
      </c>
      <c r="G492" t="s">
        <v>2666</v>
      </c>
      <c r="H492" t="s">
        <v>2667</v>
      </c>
      <c r="I492" t="s">
        <v>2668</v>
      </c>
      <c r="J492" t="s">
        <v>87</v>
      </c>
      <c r="K492" t="s">
        <v>19</v>
      </c>
      <c r="L492" t="s">
        <v>72</v>
      </c>
      <c r="M492" t="s">
        <v>72</v>
      </c>
      <c r="N492" s="5"/>
      <c r="O492" t="str">
        <f t="shared" si="7"/>
        <v/>
      </c>
    </row>
    <row r="493" spans="1:15" x14ac:dyDescent="0.25">
      <c r="A493" t="s">
        <v>2669</v>
      </c>
      <c r="B493" t="s">
        <v>2670</v>
      </c>
      <c r="C493" t="s">
        <v>2671</v>
      </c>
      <c r="D493">
        <v>2026</v>
      </c>
      <c r="E493" t="s">
        <v>56</v>
      </c>
      <c r="F493" t="s">
        <v>57</v>
      </c>
      <c r="G493" t="s">
        <v>2046</v>
      </c>
      <c r="H493" t="s">
        <v>2672</v>
      </c>
      <c r="I493" t="s">
        <v>2673</v>
      </c>
      <c r="J493" t="s">
        <v>71</v>
      </c>
      <c r="K493" t="s">
        <v>18</v>
      </c>
      <c r="L493" t="s">
        <v>72</v>
      </c>
      <c r="M493" t="s">
        <v>72</v>
      </c>
      <c r="N493" s="5"/>
      <c r="O493" t="str">
        <f t="shared" si="7"/>
        <v/>
      </c>
    </row>
    <row r="494" spans="1:15" x14ac:dyDescent="0.25">
      <c r="A494" t="s">
        <v>2674</v>
      </c>
      <c r="B494" t="s">
        <v>2675</v>
      </c>
      <c r="C494" t="s">
        <v>2676</v>
      </c>
      <c r="D494">
        <v>2026</v>
      </c>
      <c r="E494" t="s">
        <v>56</v>
      </c>
      <c r="F494" t="s">
        <v>67</v>
      </c>
      <c r="G494" t="s">
        <v>2677</v>
      </c>
      <c r="H494" t="s">
        <v>2678</v>
      </c>
      <c r="I494" t="s">
        <v>2679</v>
      </c>
      <c r="J494" t="s">
        <v>79</v>
      </c>
      <c r="K494" t="s">
        <v>80</v>
      </c>
      <c r="L494" t="s">
        <v>72</v>
      </c>
      <c r="M494" t="s">
        <v>72</v>
      </c>
      <c r="N494" s="5"/>
      <c r="O494" t="str">
        <f t="shared" si="7"/>
        <v/>
      </c>
    </row>
    <row r="495" spans="1:15" x14ac:dyDescent="0.25">
      <c r="A495" t="s">
        <v>2680</v>
      </c>
      <c r="B495" t="s">
        <v>2681</v>
      </c>
      <c r="C495" t="s">
        <v>571</v>
      </c>
      <c r="D495">
        <v>2026</v>
      </c>
      <c r="E495" t="s">
        <v>56</v>
      </c>
      <c r="F495" t="s">
        <v>57</v>
      </c>
      <c r="G495" t="s">
        <v>291</v>
      </c>
      <c r="H495" t="s">
        <v>2682</v>
      </c>
      <c r="I495" t="s">
        <v>2683</v>
      </c>
      <c r="J495" t="s">
        <v>71</v>
      </c>
      <c r="K495" t="s">
        <v>18</v>
      </c>
      <c r="L495" t="s">
        <v>72</v>
      </c>
      <c r="M495" t="s">
        <v>72</v>
      </c>
      <c r="N495" s="5"/>
      <c r="O495" t="str">
        <f t="shared" si="7"/>
        <v/>
      </c>
    </row>
    <row r="496" spans="1:15" x14ac:dyDescent="0.25">
      <c r="A496" t="s">
        <v>2684</v>
      </c>
      <c r="B496" t="s">
        <v>2685</v>
      </c>
      <c r="C496" t="s">
        <v>428</v>
      </c>
      <c r="D496">
        <v>2026</v>
      </c>
      <c r="E496" t="s">
        <v>56</v>
      </c>
      <c r="F496" t="s">
        <v>57</v>
      </c>
      <c r="G496" t="s">
        <v>859</v>
      </c>
      <c r="H496" t="s">
        <v>2686</v>
      </c>
      <c r="I496" t="s">
        <v>2687</v>
      </c>
      <c r="J496" t="s">
        <v>87</v>
      </c>
      <c r="K496" t="s">
        <v>19</v>
      </c>
      <c r="L496" t="s">
        <v>72</v>
      </c>
      <c r="M496" t="s">
        <v>72</v>
      </c>
      <c r="N496" s="5"/>
      <c r="O496" t="str">
        <f t="shared" si="7"/>
        <v/>
      </c>
    </row>
    <row r="497" spans="1:15" x14ac:dyDescent="0.25">
      <c r="A497" t="s">
        <v>2688</v>
      </c>
      <c r="B497" t="s">
        <v>2689</v>
      </c>
      <c r="C497" t="s">
        <v>2690</v>
      </c>
      <c r="D497">
        <v>2026</v>
      </c>
      <c r="E497" t="s">
        <v>56</v>
      </c>
      <c r="F497" t="s">
        <v>57</v>
      </c>
      <c r="G497" t="s">
        <v>418</v>
      </c>
      <c r="H497" t="s">
        <v>2691</v>
      </c>
      <c r="I497" t="s">
        <v>2692</v>
      </c>
      <c r="J497" t="s">
        <v>79</v>
      </c>
      <c r="K497" t="s">
        <v>80</v>
      </c>
      <c r="L497" t="s">
        <v>72</v>
      </c>
      <c r="M497" t="s">
        <v>72</v>
      </c>
      <c r="N497" s="5"/>
      <c r="O497" t="str">
        <f t="shared" si="7"/>
        <v/>
      </c>
    </row>
    <row r="498" spans="1:15" x14ac:dyDescent="0.25">
      <c r="A498" t="s">
        <v>2693</v>
      </c>
      <c r="B498" t="s">
        <v>2694</v>
      </c>
      <c r="C498" t="s">
        <v>2695</v>
      </c>
      <c r="D498">
        <v>2026</v>
      </c>
      <c r="E498" t="s">
        <v>56</v>
      </c>
      <c r="F498" t="s">
        <v>57</v>
      </c>
      <c r="G498" t="s">
        <v>750</v>
      </c>
      <c r="H498" t="s">
        <v>2696</v>
      </c>
      <c r="I498" t="s">
        <v>2697</v>
      </c>
      <c r="J498" t="s">
        <v>87</v>
      </c>
      <c r="K498" t="s">
        <v>19</v>
      </c>
      <c r="L498" t="s">
        <v>72</v>
      </c>
      <c r="M498" t="s">
        <v>72</v>
      </c>
      <c r="N498" s="5"/>
      <c r="O498" t="str">
        <f t="shared" si="7"/>
        <v/>
      </c>
    </row>
    <row r="499" spans="1:15" x14ac:dyDescent="0.25">
      <c r="A499" t="s">
        <v>2698</v>
      </c>
      <c r="B499" t="s">
        <v>2699</v>
      </c>
      <c r="C499" t="s">
        <v>2700</v>
      </c>
      <c r="D499">
        <v>2026</v>
      </c>
      <c r="E499" t="s">
        <v>56</v>
      </c>
      <c r="F499" t="s">
        <v>57</v>
      </c>
      <c r="G499" t="s">
        <v>2701</v>
      </c>
      <c r="H499" t="s">
        <v>2702</v>
      </c>
      <c r="I499" t="s">
        <v>2703</v>
      </c>
      <c r="J499" t="s">
        <v>98</v>
      </c>
      <c r="K499" t="s">
        <v>99</v>
      </c>
      <c r="L499" t="s">
        <v>63</v>
      </c>
      <c r="M499" t="s">
        <v>72</v>
      </c>
      <c r="N499" s="5"/>
      <c r="O499" t="str">
        <f t="shared" si="7"/>
        <v/>
      </c>
    </row>
    <row r="500" spans="1:15" x14ac:dyDescent="0.25">
      <c r="A500" t="s">
        <v>2704</v>
      </c>
      <c r="B500" t="s">
        <v>2705</v>
      </c>
      <c r="C500" t="s">
        <v>2706</v>
      </c>
      <c r="D500">
        <v>2026</v>
      </c>
      <c r="E500" t="s">
        <v>56</v>
      </c>
      <c r="F500" t="s">
        <v>57</v>
      </c>
      <c r="G500" t="s">
        <v>739</v>
      </c>
      <c r="H500" t="s">
        <v>2707</v>
      </c>
      <c r="I500" t="s">
        <v>2708</v>
      </c>
      <c r="J500" t="s">
        <v>79</v>
      </c>
      <c r="K500" t="s">
        <v>80</v>
      </c>
      <c r="L500" t="s">
        <v>72</v>
      </c>
      <c r="M500" t="s">
        <v>72</v>
      </c>
      <c r="N500" s="5"/>
      <c r="O500" t="str">
        <f t="shared" si="7"/>
        <v/>
      </c>
    </row>
    <row r="501" spans="1:15" x14ac:dyDescent="0.25">
      <c r="A501" t="s">
        <v>2709</v>
      </c>
      <c r="B501" t="s">
        <v>2710</v>
      </c>
      <c r="C501" t="s">
        <v>2711</v>
      </c>
      <c r="D501">
        <v>2026</v>
      </c>
      <c r="E501" t="s">
        <v>56</v>
      </c>
      <c r="F501" t="s">
        <v>57</v>
      </c>
      <c r="G501" t="s">
        <v>1682</v>
      </c>
      <c r="H501" t="s">
        <v>2712</v>
      </c>
      <c r="I501" t="s">
        <v>2713</v>
      </c>
      <c r="J501" t="s">
        <v>98</v>
      </c>
      <c r="K501" t="s">
        <v>99</v>
      </c>
      <c r="L501" t="s">
        <v>63</v>
      </c>
      <c r="M501" t="s">
        <v>72</v>
      </c>
      <c r="N501" s="5"/>
      <c r="O501" t="str">
        <f t="shared" si="7"/>
        <v/>
      </c>
    </row>
    <row r="502" spans="1:15" x14ac:dyDescent="0.25">
      <c r="A502" t="s">
        <v>2714</v>
      </c>
      <c r="B502" t="s">
        <v>2715</v>
      </c>
      <c r="C502" t="s">
        <v>2716</v>
      </c>
      <c r="D502">
        <v>2026</v>
      </c>
      <c r="E502" t="s">
        <v>56</v>
      </c>
      <c r="F502" t="s">
        <v>57</v>
      </c>
      <c r="G502" t="s">
        <v>2717</v>
      </c>
      <c r="H502" t="s">
        <v>2718</v>
      </c>
      <c r="I502" t="s">
        <v>2719</v>
      </c>
      <c r="J502" t="s">
        <v>87</v>
      </c>
      <c r="K502" t="s">
        <v>19</v>
      </c>
      <c r="L502" t="s">
        <v>72</v>
      </c>
      <c r="M502" t="s">
        <v>72</v>
      </c>
      <c r="N502" s="5"/>
      <c r="O502" t="str">
        <f t="shared" si="7"/>
        <v/>
      </c>
    </row>
    <row r="503" spans="1:15" x14ac:dyDescent="0.25">
      <c r="A503" t="s">
        <v>2720</v>
      </c>
      <c r="B503" t="s">
        <v>2721</v>
      </c>
      <c r="C503" t="s">
        <v>2722</v>
      </c>
      <c r="D503">
        <v>2026</v>
      </c>
      <c r="E503" t="s">
        <v>56</v>
      </c>
      <c r="F503" t="s">
        <v>57</v>
      </c>
      <c r="G503" t="s">
        <v>2723</v>
      </c>
      <c r="H503" t="s">
        <v>2724</v>
      </c>
      <c r="I503" t="s">
        <v>2725</v>
      </c>
      <c r="J503" t="s">
        <v>79</v>
      </c>
      <c r="K503" t="s">
        <v>80</v>
      </c>
      <c r="L503" t="s">
        <v>72</v>
      </c>
      <c r="M503" t="s">
        <v>72</v>
      </c>
      <c r="N503" s="5"/>
      <c r="O503" t="str">
        <f t="shared" si="7"/>
        <v/>
      </c>
    </row>
    <row r="504" spans="1:15" x14ac:dyDescent="0.25">
      <c r="A504" t="s">
        <v>2726</v>
      </c>
      <c r="B504" t="s">
        <v>2727</v>
      </c>
      <c r="C504" t="s">
        <v>2572</v>
      </c>
      <c r="D504">
        <v>2026</v>
      </c>
      <c r="E504" t="s">
        <v>56</v>
      </c>
      <c r="F504" t="s">
        <v>67</v>
      </c>
      <c r="G504" t="s">
        <v>2728</v>
      </c>
      <c r="H504" t="s">
        <v>2729</v>
      </c>
      <c r="I504" t="s">
        <v>2730</v>
      </c>
      <c r="J504" t="s">
        <v>87</v>
      </c>
      <c r="K504" t="s">
        <v>19</v>
      </c>
      <c r="L504" t="s">
        <v>72</v>
      </c>
      <c r="M504" t="s">
        <v>72</v>
      </c>
      <c r="N504" s="5"/>
      <c r="O504" t="str">
        <f t="shared" si="7"/>
        <v/>
      </c>
    </row>
    <row r="505" spans="1:15" x14ac:dyDescent="0.25">
      <c r="A505" t="s">
        <v>2731</v>
      </c>
      <c r="B505" t="s">
        <v>2732</v>
      </c>
      <c r="C505" t="s">
        <v>2733</v>
      </c>
      <c r="D505">
        <v>2026</v>
      </c>
      <c r="E505" t="s">
        <v>56</v>
      </c>
      <c r="F505" t="s">
        <v>57</v>
      </c>
      <c r="G505" t="s">
        <v>2734</v>
      </c>
      <c r="H505" t="s">
        <v>2735</v>
      </c>
      <c r="I505" t="s">
        <v>2736</v>
      </c>
      <c r="J505" t="s">
        <v>71</v>
      </c>
      <c r="K505" t="s">
        <v>18</v>
      </c>
      <c r="L505" t="s">
        <v>72</v>
      </c>
      <c r="M505" t="s">
        <v>72</v>
      </c>
      <c r="N505" s="5"/>
      <c r="O505" t="str">
        <f t="shared" si="7"/>
        <v/>
      </c>
    </row>
    <row r="506" spans="1:15" x14ac:dyDescent="0.25">
      <c r="A506" t="s">
        <v>2737</v>
      </c>
      <c r="B506" t="s">
        <v>2738</v>
      </c>
      <c r="C506" t="s">
        <v>2739</v>
      </c>
      <c r="D506">
        <v>2026</v>
      </c>
      <c r="E506" t="s">
        <v>56</v>
      </c>
      <c r="F506" t="s">
        <v>67</v>
      </c>
      <c r="G506" t="s">
        <v>2740</v>
      </c>
      <c r="H506" t="s">
        <v>2741</v>
      </c>
      <c r="I506" t="s">
        <v>2742</v>
      </c>
      <c r="J506" t="s">
        <v>71</v>
      </c>
      <c r="K506" t="s">
        <v>18</v>
      </c>
      <c r="L506" t="s">
        <v>72</v>
      </c>
      <c r="M506" t="s">
        <v>72</v>
      </c>
      <c r="N506" s="5"/>
      <c r="O506" t="str">
        <f t="shared" si="7"/>
        <v/>
      </c>
    </row>
    <row r="507" spans="1:15" x14ac:dyDescent="0.25">
      <c r="A507" t="s">
        <v>2743</v>
      </c>
      <c r="B507" t="s">
        <v>2744</v>
      </c>
      <c r="C507" t="s">
        <v>2745</v>
      </c>
      <c r="D507">
        <v>2026</v>
      </c>
      <c r="E507" t="s">
        <v>56</v>
      </c>
      <c r="F507" t="s">
        <v>67</v>
      </c>
      <c r="G507" t="s">
        <v>2746</v>
      </c>
      <c r="H507" t="s">
        <v>2747</v>
      </c>
      <c r="I507" t="s">
        <v>2748</v>
      </c>
      <c r="J507" t="s">
        <v>87</v>
      </c>
      <c r="K507" t="s">
        <v>19</v>
      </c>
      <c r="L507" t="s">
        <v>72</v>
      </c>
      <c r="M507" t="s">
        <v>72</v>
      </c>
      <c r="N507" s="5"/>
      <c r="O507" t="str">
        <f t="shared" si="7"/>
        <v/>
      </c>
    </row>
    <row r="508" spans="1:15" x14ac:dyDescent="0.25">
      <c r="A508" t="s">
        <v>2749</v>
      </c>
      <c r="B508" t="s">
        <v>2744</v>
      </c>
      <c r="C508" t="s">
        <v>2750</v>
      </c>
      <c r="D508">
        <v>2026</v>
      </c>
      <c r="E508" t="s">
        <v>56</v>
      </c>
      <c r="F508" t="s">
        <v>67</v>
      </c>
      <c r="G508" t="s">
        <v>2751</v>
      </c>
      <c r="H508" t="s">
        <v>2747</v>
      </c>
      <c r="I508" t="s">
        <v>2752</v>
      </c>
      <c r="J508" t="s">
        <v>87</v>
      </c>
      <c r="K508" t="s">
        <v>19</v>
      </c>
      <c r="L508" t="s">
        <v>72</v>
      </c>
      <c r="M508" t="s">
        <v>72</v>
      </c>
      <c r="N508" s="5"/>
      <c r="O508" t="str">
        <f t="shared" si="7"/>
        <v/>
      </c>
    </row>
    <row r="509" spans="1:15" x14ac:dyDescent="0.25">
      <c r="A509" t="s">
        <v>2753</v>
      </c>
      <c r="B509" t="s">
        <v>2754</v>
      </c>
      <c r="C509" t="s">
        <v>661</v>
      </c>
      <c r="D509">
        <v>2026</v>
      </c>
      <c r="E509" t="s">
        <v>56</v>
      </c>
      <c r="F509" t="s">
        <v>57</v>
      </c>
      <c r="G509" t="s">
        <v>2755</v>
      </c>
      <c r="H509" t="s">
        <v>2756</v>
      </c>
      <c r="I509" t="s">
        <v>2757</v>
      </c>
      <c r="J509" t="s">
        <v>87</v>
      </c>
      <c r="K509" t="s">
        <v>19</v>
      </c>
      <c r="L509" t="s">
        <v>72</v>
      </c>
      <c r="M509" t="s">
        <v>72</v>
      </c>
      <c r="N509" s="5"/>
      <c r="O509" t="str">
        <f t="shared" si="7"/>
        <v/>
      </c>
    </row>
    <row r="510" spans="1:15" x14ac:dyDescent="0.25">
      <c r="A510" t="s">
        <v>2758</v>
      </c>
      <c r="B510" t="s">
        <v>2759</v>
      </c>
      <c r="C510" t="s">
        <v>1181</v>
      </c>
      <c r="D510">
        <v>2026</v>
      </c>
      <c r="E510" t="s">
        <v>56</v>
      </c>
      <c r="F510" t="s">
        <v>57</v>
      </c>
      <c r="G510" t="s">
        <v>853</v>
      </c>
      <c r="H510" t="s">
        <v>2760</v>
      </c>
      <c r="I510" t="s">
        <v>2761</v>
      </c>
      <c r="J510" t="s">
        <v>79</v>
      </c>
      <c r="K510" t="s">
        <v>80</v>
      </c>
      <c r="L510" t="s">
        <v>72</v>
      </c>
      <c r="M510" t="s">
        <v>72</v>
      </c>
      <c r="N510" s="5"/>
      <c r="O510" t="str">
        <f t="shared" si="7"/>
        <v/>
      </c>
    </row>
    <row r="511" spans="1:15" x14ac:dyDescent="0.25">
      <c r="A511" t="s">
        <v>2762</v>
      </c>
      <c r="B511" t="s">
        <v>2763</v>
      </c>
      <c r="C511" t="s">
        <v>2764</v>
      </c>
      <c r="D511">
        <v>2026</v>
      </c>
      <c r="E511" t="s">
        <v>56</v>
      </c>
      <c r="F511" t="s">
        <v>67</v>
      </c>
      <c r="G511" t="s">
        <v>2534</v>
      </c>
      <c r="H511" t="s">
        <v>2765</v>
      </c>
      <c r="I511" t="s">
        <v>2766</v>
      </c>
      <c r="J511" t="s">
        <v>71</v>
      </c>
      <c r="K511" t="s">
        <v>18</v>
      </c>
      <c r="L511" t="s">
        <v>72</v>
      </c>
      <c r="M511" t="s">
        <v>72</v>
      </c>
      <c r="N511" s="5"/>
      <c r="O511" t="str">
        <f t="shared" si="7"/>
        <v/>
      </c>
    </row>
    <row r="512" spans="1:15" x14ac:dyDescent="0.25">
      <c r="A512" t="s">
        <v>2767</v>
      </c>
      <c r="B512" t="s">
        <v>2768</v>
      </c>
      <c r="C512" t="s">
        <v>555</v>
      </c>
      <c r="D512">
        <v>2026</v>
      </c>
      <c r="E512" t="s">
        <v>56</v>
      </c>
      <c r="F512" t="s">
        <v>57</v>
      </c>
      <c r="G512" t="s">
        <v>922</v>
      </c>
      <c r="H512" t="s">
        <v>2769</v>
      </c>
      <c r="I512" t="s">
        <v>2770</v>
      </c>
      <c r="J512" t="s">
        <v>87</v>
      </c>
      <c r="K512" t="s">
        <v>19</v>
      </c>
      <c r="L512" t="s">
        <v>72</v>
      </c>
      <c r="M512" t="s">
        <v>72</v>
      </c>
      <c r="N512" s="5"/>
      <c r="O512" t="str">
        <f t="shared" si="7"/>
        <v/>
      </c>
    </row>
    <row r="513" spans="1:15" x14ac:dyDescent="0.25">
      <c r="A513" t="s">
        <v>2771</v>
      </c>
      <c r="B513" t="s">
        <v>2772</v>
      </c>
      <c r="C513" t="s">
        <v>1054</v>
      </c>
      <c r="D513">
        <v>2026</v>
      </c>
      <c r="E513" t="s">
        <v>56</v>
      </c>
      <c r="F513" t="s">
        <v>67</v>
      </c>
      <c r="G513" t="s">
        <v>84</v>
      </c>
      <c r="H513" t="s">
        <v>2773</v>
      </c>
      <c r="I513" t="s">
        <v>2774</v>
      </c>
      <c r="J513" t="s">
        <v>79</v>
      </c>
      <c r="K513" t="s">
        <v>80</v>
      </c>
      <c r="L513" t="s">
        <v>72</v>
      </c>
      <c r="M513" t="s">
        <v>72</v>
      </c>
      <c r="N513" s="5"/>
      <c r="O513" t="str">
        <f t="shared" si="7"/>
        <v/>
      </c>
    </row>
    <row r="514" spans="1:15" x14ac:dyDescent="0.25">
      <c r="A514" t="s">
        <v>2775</v>
      </c>
      <c r="B514" t="s">
        <v>2776</v>
      </c>
      <c r="C514" t="s">
        <v>2777</v>
      </c>
      <c r="D514">
        <v>2026</v>
      </c>
      <c r="E514" t="s">
        <v>56</v>
      </c>
      <c r="F514" t="s">
        <v>67</v>
      </c>
      <c r="G514" t="s">
        <v>2778</v>
      </c>
      <c r="H514" t="s">
        <v>2779</v>
      </c>
      <c r="I514" t="s">
        <v>2780</v>
      </c>
      <c r="J514" t="s">
        <v>87</v>
      </c>
      <c r="K514" t="s">
        <v>19</v>
      </c>
      <c r="L514" t="s">
        <v>72</v>
      </c>
      <c r="M514" t="s">
        <v>72</v>
      </c>
      <c r="N514" s="5"/>
      <c r="O514" t="str">
        <f t="shared" ref="O514:O577" si="8">IF(N514="","",IF(N514=J514,1,0))</f>
        <v/>
      </c>
    </row>
    <row r="515" spans="1:15" x14ac:dyDescent="0.25">
      <c r="A515" t="s">
        <v>2781</v>
      </c>
      <c r="B515" t="s">
        <v>2782</v>
      </c>
      <c r="C515" t="s">
        <v>144</v>
      </c>
      <c r="D515">
        <v>2026</v>
      </c>
      <c r="E515" t="s">
        <v>56</v>
      </c>
      <c r="F515" t="s">
        <v>67</v>
      </c>
      <c r="G515" t="s">
        <v>84</v>
      </c>
      <c r="H515" t="s">
        <v>2783</v>
      </c>
      <c r="I515" t="s">
        <v>2784</v>
      </c>
      <c r="J515" t="s">
        <v>98</v>
      </c>
      <c r="K515" t="s">
        <v>99</v>
      </c>
      <c r="L515" t="s">
        <v>63</v>
      </c>
      <c r="M515" t="s">
        <v>72</v>
      </c>
      <c r="N515" s="5"/>
      <c r="O515" t="str">
        <f t="shared" si="8"/>
        <v/>
      </c>
    </row>
    <row r="516" spans="1:15" x14ac:dyDescent="0.25">
      <c r="A516" t="s">
        <v>2785</v>
      </c>
      <c r="B516" t="s">
        <v>2786</v>
      </c>
      <c r="C516" t="s">
        <v>117</v>
      </c>
      <c r="D516">
        <v>2026</v>
      </c>
      <c r="E516" t="s">
        <v>56</v>
      </c>
      <c r="F516" t="s">
        <v>67</v>
      </c>
      <c r="G516" t="s">
        <v>84</v>
      </c>
      <c r="H516" t="s">
        <v>2787</v>
      </c>
      <c r="I516" t="s">
        <v>2788</v>
      </c>
      <c r="J516" t="s">
        <v>61</v>
      </c>
      <c r="K516" t="s">
        <v>62</v>
      </c>
      <c r="L516" t="s">
        <v>63</v>
      </c>
      <c r="M516" t="s">
        <v>63</v>
      </c>
      <c r="N516" s="5"/>
      <c r="O516" t="str">
        <f t="shared" si="8"/>
        <v/>
      </c>
    </row>
    <row r="517" spans="1:15" x14ac:dyDescent="0.25">
      <c r="A517" t="s">
        <v>2789</v>
      </c>
      <c r="B517" t="s">
        <v>2790</v>
      </c>
      <c r="C517" t="s">
        <v>2791</v>
      </c>
      <c r="D517">
        <v>2026</v>
      </c>
      <c r="E517" t="s">
        <v>56</v>
      </c>
      <c r="F517" t="s">
        <v>67</v>
      </c>
      <c r="G517" t="s">
        <v>713</v>
      </c>
      <c r="H517" t="s">
        <v>2792</v>
      </c>
      <c r="I517" t="s">
        <v>2793</v>
      </c>
      <c r="J517" t="s">
        <v>79</v>
      </c>
      <c r="K517" t="s">
        <v>80</v>
      </c>
      <c r="L517" t="s">
        <v>72</v>
      </c>
      <c r="M517" t="s">
        <v>72</v>
      </c>
      <c r="N517" s="5"/>
      <c r="O517" t="str">
        <f t="shared" si="8"/>
        <v/>
      </c>
    </row>
    <row r="518" spans="1:15" x14ac:dyDescent="0.25">
      <c r="A518" t="s">
        <v>2794</v>
      </c>
      <c r="B518" t="s">
        <v>2795</v>
      </c>
      <c r="C518" t="s">
        <v>2796</v>
      </c>
      <c r="D518">
        <v>2026</v>
      </c>
      <c r="E518" t="s">
        <v>56</v>
      </c>
      <c r="F518" t="s">
        <v>57</v>
      </c>
      <c r="G518" t="s">
        <v>2797</v>
      </c>
      <c r="H518" t="s">
        <v>2798</v>
      </c>
      <c r="I518" t="s">
        <v>2799</v>
      </c>
      <c r="J518" t="s">
        <v>61</v>
      </c>
      <c r="K518" t="s">
        <v>62</v>
      </c>
      <c r="L518" t="s">
        <v>63</v>
      </c>
      <c r="M518" t="s">
        <v>63</v>
      </c>
      <c r="N518" s="5"/>
      <c r="O518" t="str">
        <f t="shared" si="8"/>
        <v/>
      </c>
    </row>
    <row r="519" spans="1:15" x14ac:dyDescent="0.25">
      <c r="A519" t="s">
        <v>2800</v>
      </c>
      <c r="B519" t="s">
        <v>2801</v>
      </c>
      <c r="C519" t="s">
        <v>571</v>
      </c>
      <c r="D519">
        <v>2026</v>
      </c>
      <c r="E519" t="s">
        <v>56</v>
      </c>
      <c r="F519" t="s">
        <v>67</v>
      </c>
      <c r="G519" t="s">
        <v>1124</v>
      </c>
      <c r="H519" t="s">
        <v>2802</v>
      </c>
      <c r="I519" t="s">
        <v>2803</v>
      </c>
      <c r="J519" t="s">
        <v>71</v>
      </c>
      <c r="K519" t="s">
        <v>18</v>
      </c>
      <c r="L519" t="s">
        <v>72</v>
      </c>
      <c r="M519" t="s">
        <v>72</v>
      </c>
      <c r="N519" s="5"/>
      <c r="O519" t="str">
        <f t="shared" si="8"/>
        <v/>
      </c>
    </row>
    <row r="520" spans="1:15" x14ac:dyDescent="0.25">
      <c r="A520" t="s">
        <v>2804</v>
      </c>
      <c r="B520" t="s">
        <v>2805</v>
      </c>
      <c r="C520" t="s">
        <v>2806</v>
      </c>
      <c r="D520">
        <v>2026</v>
      </c>
      <c r="E520" t="s">
        <v>56</v>
      </c>
      <c r="F520" t="s">
        <v>57</v>
      </c>
      <c r="G520" t="s">
        <v>200</v>
      </c>
      <c r="H520" t="s">
        <v>2807</v>
      </c>
      <c r="I520" t="s">
        <v>2808</v>
      </c>
      <c r="J520" t="s">
        <v>71</v>
      </c>
      <c r="K520" t="s">
        <v>18</v>
      </c>
      <c r="L520" t="s">
        <v>72</v>
      </c>
      <c r="M520" t="s">
        <v>72</v>
      </c>
      <c r="N520" s="5"/>
      <c r="O520" t="str">
        <f t="shared" si="8"/>
        <v/>
      </c>
    </row>
    <row r="521" spans="1:15" x14ac:dyDescent="0.25">
      <c r="A521" t="s">
        <v>2809</v>
      </c>
      <c r="B521" t="s">
        <v>2810</v>
      </c>
      <c r="C521" t="s">
        <v>2811</v>
      </c>
      <c r="D521">
        <v>2026</v>
      </c>
      <c r="E521" t="s">
        <v>56</v>
      </c>
      <c r="F521" t="s">
        <v>67</v>
      </c>
      <c r="G521" t="s">
        <v>2812</v>
      </c>
      <c r="H521" t="s">
        <v>2813</v>
      </c>
      <c r="I521" t="s">
        <v>2814</v>
      </c>
      <c r="J521" t="s">
        <v>71</v>
      </c>
      <c r="K521" t="s">
        <v>18</v>
      </c>
      <c r="L521" t="s">
        <v>72</v>
      </c>
      <c r="M521" t="s">
        <v>72</v>
      </c>
      <c r="N521" s="5"/>
      <c r="O521" t="str">
        <f t="shared" si="8"/>
        <v/>
      </c>
    </row>
    <row r="522" spans="1:15" x14ac:dyDescent="0.25">
      <c r="A522" t="s">
        <v>2815</v>
      </c>
      <c r="B522" t="s">
        <v>2816</v>
      </c>
      <c r="C522" t="s">
        <v>2817</v>
      </c>
      <c r="D522">
        <v>2026</v>
      </c>
      <c r="E522" t="s">
        <v>56</v>
      </c>
      <c r="F522" t="s">
        <v>67</v>
      </c>
      <c r="G522" t="s">
        <v>151</v>
      </c>
      <c r="H522" t="s">
        <v>2818</v>
      </c>
      <c r="I522" t="s">
        <v>2819</v>
      </c>
      <c r="J522" t="s">
        <v>87</v>
      </c>
      <c r="K522" t="s">
        <v>19</v>
      </c>
      <c r="L522" t="s">
        <v>72</v>
      </c>
      <c r="M522" t="s">
        <v>72</v>
      </c>
      <c r="N522" s="5"/>
      <c r="O522" t="str">
        <f t="shared" si="8"/>
        <v/>
      </c>
    </row>
    <row r="523" spans="1:15" x14ac:dyDescent="0.25">
      <c r="A523" t="s">
        <v>2820</v>
      </c>
      <c r="B523" t="s">
        <v>2821</v>
      </c>
      <c r="C523" t="s">
        <v>2671</v>
      </c>
      <c r="D523">
        <v>2026</v>
      </c>
      <c r="E523" t="s">
        <v>56</v>
      </c>
      <c r="F523" t="s">
        <v>67</v>
      </c>
      <c r="G523" t="s">
        <v>556</v>
      </c>
      <c r="H523" t="s">
        <v>2822</v>
      </c>
      <c r="I523" t="s">
        <v>2823</v>
      </c>
      <c r="J523" t="s">
        <v>71</v>
      </c>
      <c r="K523" t="s">
        <v>18</v>
      </c>
      <c r="L523" t="s">
        <v>72</v>
      </c>
      <c r="M523" t="s">
        <v>72</v>
      </c>
      <c r="N523" s="5"/>
      <c r="O523" t="str">
        <f t="shared" si="8"/>
        <v/>
      </c>
    </row>
    <row r="524" spans="1:15" x14ac:dyDescent="0.25">
      <c r="A524" t="s">
        <v>2824</v>
      </c>
      <c r="B524" t="s">
        <v>2825</v>
      </c>
      <c r="C524" t="s">
        <v>2826</v>
      </c>
      <c r="D524">
        <v>2026</v>
      </c>
      <c r="E524" t="s">
        <v>56</v>
      </c>
      <c r="F524" t="s">
        <v>57</v>
      </c>
      <c r="G524" t="s">
        <v>2827</v>
      </c>
      <c r="H524" t="s">
        <v>2828</v>
      </c>
      <c r="I524" t="s">
        <v>2829</v>
      </c>
      <c r="J524" t="s">
        <v>87</v>
      </c>
      <c r="K524" t="s">
        <v>19</v>
      </c>
      <c r="L524" t="s">
        <v>72</v>
      </c>
      <c r="M524" t="s">
        <v>72</v>
      </c>
      <c r="N524" s="5"/>
      <c r="O524" t="str">
        <f t="shared" si="8"/>
        <v/>
      </c>
    </row>
    <row r="525" spans="1:15" x14ac:dyDescent="0.25">
      <c r="A525" t="s">
        <v>2830</v>
      </c>
      <c r="B525" t="s">
        <v>2831</v>
      </c>
      <c r="C525" t="s">
        <v>2832</v>
      </c>
      <c r="D525">
        <v>2026</v>
      </c>
      <c r="E525" t="s">
        <v>56</v>
      </c>
      <c r="F525" t="s">
        <v>57</v>
      </c>
      <c r="G525" t="s">
        <v>2833</v>
      </c>
      <c r="H525" t="s">
        <v>2834</v>
      </c>
      <c r="I525" t="s">
        <v>2835</v>
      </c>
      <c r="J525" t="s">
        <v>79</v>
      </c>
      <c r="K525" t="s">
        <v>80</v>
      </c>
      <c r="L525" t="s">
        <v>72</v>
      </c>
      <c r="M525" t="s">
        <v>72</v>
      </c>
      <c r="N525" s="5"/>
      <c r="O525" t="str">
        <f t="shared" si="8"/>
        <v/>
      </c>
    </row>
    <row r="526" spans="1:15" x14ac:dyDescent="0.25">
      <c r="A526" t="s">
        <v>2836</v>
      </c>
      <c r="B526" t="s">
        <v>2837</v>
      </c>
      <c r="C526" t="s">
        <v>2838</v>
      </c>
      <c r="D526">
        <v>2026</v>
      </c>
      <c r="E526" t="s">
        <v>56</v>
      </c>
      <c r="F526" t="s">
        <v>67</v>
      </c>
      <c r="G526" t="s">
        <v>679</v>
      </c>
      <c r="H526" t="s">
        <v>2839</v>
      </c>
      <c r="I526" t="s">
        <v>2840</v>
      </c>
      <c r="J526" t="s">
        <v>87</v>
      </c>
      <c r="K526" t="s">
        <v>19</v>
      </c>
      <c r="L526" t="s">
        <v>72</v>
      </c>
      <c r="M526" t="s">
        <v>72</v>
      </c>
      <c r="N526" s="5"/>
      <c r="O526" t="str">
        <f t="shared" si="8"/>
        <v/>
      </c>
    </row>
    <row r="527" spans="1:15" x14ac:dyDescent="0.25">
      <c r="A527" t="s">
        <v>2841</v>
      </c>
      <c r="B527" t="s">
        <v>2842</v>
      </c>
      <c r="C527" t="s">
        <v>2843</v>
      </c>
      <c r="D527">
        <v>2026</v>
      </c>
      <c r="E527" t="s">
        <v>56</v>
      </c>
      <c r="F527" t="s">
        <v>57</v>
      </c>
      <c r="G527" t="s">
        <v>853</v>
      </c>
      <c r="H527" t="s">
        <v>2844</v>
      </c>
      <c r="I527" t="s">
        <v>2845</v>
      </c>
      <c r="J527" t="s">
        <v>79</v>
      </c>
      <c r="K527" t="s">
        <v>80</v>
      </c>
      <c r="L527" t="s">
        <v>72</v>
      </c>
      <c r="M527" t="s">
        <v>72</v>
      </c>
      <c r="N527" s="5"/>
      <c r="O527" t="str">
        <f t="shared" si="8"/>
        <v/>
      </c>
    </row>
    <row r="528" spans="1:15" x14ac:dyDescent="0.25">
      <c r="A528" t="s">
        <v>2846</v>
      </c>
      <c r="B528" t="s">
        <v>2847</v>
      </c>
      <c r="C528" t="s">
        <v>2848</v>
      </c>
      <c r="D528">
        <v>2026</v>
      </c>
      <c r="E528" t="s">
        <v>56</v>
      </c>
      <c r="F528" t="s">
        <v>67</v>
      </c>
      <c r="G528" t="s">
        <v>84</v>
      </c>
      <c r="H528" t="s">
        <v>2849</v>
      </c>
      <c r="I528" t="s">
        <v>2850</v>
      </c>
      <c r="J528" t="s">
        <v>87</v>
      </c>
      <c r="K528" t="s">
        <v>19</v>
      </c>
      <c r="L528" t="s">
        <v>72</v>
      </c>
      <c r="M528" t="s">
        <v>72</v>
      </c>
      <c r="N528" s="5"/>
      <c r="O528" t="str">
        <f t="shared" si="8"/>
        <v/>
      </c>
    </row>
    <row r="529" spans="1:15" x14ac:dyDescent="0.25">
      <c r="A529" t="s">
        <v>2851</v>
      </c>
      <c r="B529" t="s">
        <v>2852</v>
      </c>
      <c r="C529" t="s">
        <v>2853</v>
      </c>
      <c r="D529">
        <v>2025</v>
      </c>
      <c r="E529" t="s">
        <v>56</v>
      </c>
      <c r="F529" t="s">
        <v>67</v>
      </c>
      <c r="G529" t="s">
        <v>2854</v>
      </c>
      <c r="H529" t="s">
        <v>2855</v>
      </c>
      <c r="I529" t="s">
        <v>2856</v>
      </c>
      <c r="J529" t="s">
        <v>79</v>
      </c>
      <c r="K529" t="s">
        <v>80</v>
      </c>
      <c r="L529" t="s">
        <v>72</v>
      </c>
      <c r="M529" t="s">
        <v>72</v>
      </c>
      <c r="N529" s="5"/>
      <c r="O529" t="str">
        <f t="shared" si="8"/>
        <v/>
      </c>
    </row>
    <row r="530" spans="1:15" x14ac:dyDescent="0.25">
      <c r="A530" t="s">
        <v>2857</v>
      </c>
      <c r="B530" t="s">
        <v>2858</v>
      </c>
      <c r="C530" t="s">
        <v>2859</v>
      </c>
      <c r="D530">
        <v>2025</v>
      </c>
      <c r="E530" t="s">
        <v>56</v>
      </c>
      <c r="F530" t="s">
        <v>67</v>
      </c>
      <c r="G530" t="s">
        <v>2860</v>
      </c>
      <c r="H530" t="s">
        <v>2855</v>
      </c>
      <c r="I530" t="s">
        <v>2861</v>
      </c>
      <c r="J530" t="s">
        <v>79</v>
      </c>
      <c r="K530" t="s">
        <v>80</v>
      </c>
      <c r="L530" t="s">
        <v>72</v>
      </c>
      <c r="M530" t="s">
        <v>72</v>
      </c>
      <c r="N530" s="5"/>
      <c r="O530" t="str">
        <f t="shared" si="8"/>
        <v/>
      </c>
    </row>
    <row r="531" spans="1:15" x14ac:dyDescent="0.25">
      <c r="A531" t="s">
        <v>2862</v>
      </c>
      <c r="B531" t="s">
        <v>2863</v>
      </c>
      <c r="C531" t="s">
        <v>2864</v>
      </c>
      <c r="D531">
        <v>2025</v>
      </c>
      <c r="E531" t="s">
        <v>56</v>
      </c>
      <c r="F531" t="s">
        <v>67</v>
      </c>
      <c r="G531" t="s">
        <v>76</v>
      </c>
      <c r="H531" t="s">
        <v>2865</v>
      </c>
      <c r="I531" t="s">
        <v>2866</v>
      </c>
      <c r="J531" t="s">
        <v>79</v>
      </c>
      <c r="K531" t="s">
        <v>80</v>
      </c>
      <c r="L531" t="s">
        <v>72</v>
      </c>
      <c r="M531" t="s">
        <v>72</v>
      </c>
      <c r="N531" s="5"/>
      <c r="O531" t="str">
        <f t="shared" si="8"/>
        <v/>
      </c>
    </row>
    <row r="532" spans="1:15" x14ac:dyDescent="0.25">
      <c r="A532" t="s">
        <v>2867</v>
      </c>
      <c r="B532" t="s">
        <v>2868</v>
      </c>
      <c r="C532" t="s">
        <v>2869</v>
      </c>
      <c r="D532">
        <v>2025</v>
      </c>
      <c r="E532" t="s">
        <v>56</v>
      </c>
      <c r="F532" t="s">
        <v>67</v>
      </c>
      <c r="G532" t="s">
        <v>2870</v>
      </c>
      <c r="H532" t="s">
        <v>2871</v>
      </c>
      <c r="I532" t="s">
        <v>2872</v>
      </c>
      <c r="J532" t="s">
        <v>87</v>
      </c>
      <c r="K532" t="s">
        <v>19</v>
      </c>
      <c r="L532" t="s">
        <v>72</v>
      </c>
      <c r="M532" t="s">
        <v>72</v>
      </c>
      <c r="N532" s="5"/>
      <c r="O532" t="str">
        <f t="shared" si="8"/>
        <v/>
      </c>
    </row>
    <row r="533" spans="1:15" x14ac:dyDescent="0.25">
      <c r="A533" t="s">
        <v>2873</v>
      </c>
      <c r="B533" t="s">
        <v>2874</v>
      </c>
      <c r="C533" t="s">
        <v>2875</v>
      </c>
      <c r="D533">
        <v>2025</v>
      </c>
      <c r="E533" t="s">
        <v>56</v>
      </c>
      <c r="F533" t="s">
        <v>67</v>
      </c>
      <c r="G533" t="s">
        <v>2876</v>
      </c>
      <c r="H533" t="s">
        <v>2877</v>
      </c>
      <c r="I533" t="s">
        <v>2878</v>
      </c>
      <c r="J533" t="s">
        <v>98</v>
      </c>
      <c r="K533" t="s">
        <v>99</v>
      </c>
      <c r="L533" t="s">
        <v>63</v>
      </c>
      <c r="M533" t="s">
        <v>72</v>
      </c>
      <c r="N533" s="5"/>
      <c r="O533" t="str">
        <f t="shared" si="8"/>
        <v/>
      </c>
    </row>
    <row r="534" spans="1:15" x14ac:dyDescent="0.25">
      <c r="A534" t="s">
        <v>2879</v>
      </c>
      <c r="B534" t="s">
        <v>2880</v>
      </c>
      <c r="C534" t="s">
        <v>2881</v>
      </c>
      <c r="D534">
        <v>2025</v>
      </c>
      <c r="E534" t="s">
        <v>56</v>
      </c>
      <c r="F534" t="s">
        <v>67</v>
      </c>
      <c r="G534" t="s">
        <v>2882</v>
      </c>
      <c r="H534" t="s">
        <v>2883</v>
      </c>
      <c r="I534" t="s">
        <v>2884</v>
      </c>
      <c r="J534" t="s">
        <v>98</v>
      </c>
      <c r="K534" t="s">
        <v>99</v>
      </c>
      <c r="L534" t="s">
        <v>63</v>
      </c>
      <c r="M534" t="s">
        <v>72</v>
      </c>
      <c r="N534" s="5"/>
      <c r="O534" t="str">
        <f t="shared" si="8"/>
        <v/>
      </c>
    </row>
    <row r="535" spans="1:15" x14ac:dyDescent="0.25">
      <c r="A535" t="s">
        <v>2885</v>
      </c>
      <c r="B535" t="s">
        <v>2886</v>
      </c>
      <c r="C535" t="s">
        <v>2887</v>
      </c>
      <c r="D535">
        <v>2025</v>
      </c>
      <c r="E535" t="s">
        <v>56</v>
      </c>
      <c r="F535" t="s">
        <v>57</v>
      </c>
      <c r="G535" t="s">
        <v>418</v>
      </c>
      <c r="H535" t="s">
        <v>2888</v>
      </c>
      <c r="I535" t="s">
        <v>2889</v>
      </c>
      <c r="J535" t="s">
        <v>79</v>
      </c>
      <c r="K535" t="s">
        <v>80</v>
      </c>
      <c r="L535" t="s">
        <v>72</v>
      </c>
      <c r="M535" t="s">
        <v>72</v>
      </c>
      <c r="N535" s="5"/>
      <c r="O535" t="str">
        <f t="shared" si="8"/>
        <v/>
      </c>
    </row>
    <row r="536" spans="1:15" x14ac:dyDescent="0.25">
      <c r="A536" t="s">
        <v>2890</v>
      </c>
      <c r="B536" t="s">
        <v>2891</v>
      </c>
      <c r="C536" t="s">
        <v>2892</v>
      </c>
      <c r="D536">
        <v>2025</v>
      </c>
      <c r="E536" t="s">
        <v>56</v>
      </c>
      <c r="F536" t="s">
        <v>67</v>
      </c>
      <c r="G536" t="s">
        <v>2893</v>
      </c>
      <c r="H536" t="s">
        <v>2894</v>
      </c>
      <c r="I536" t="s">
        <v>2895</v>
      </c>
      <c r="J536" t="s">
        <v>71</v>
      </c>
      <c r="K536" t="s">
        <v>18</v>
      </c>
      <c r="L536" t="s">
        <v>72</v>
      </c>
      <c r="M536" t="s">
        <v>72</v>
      </c>
      <c r="N536" s="5"/>
      <c r="O536" t="str">
        <f t="shared" si="8"/>
        <v/>
      </c>
    </row>
    <row r="537" spans="1:15" x14ac:dyDescent="0.25">
      <c r="A537" t="s">
        <v>2896</v>
      </c>
      <c r="B537" t="s">
        <v>2897</v>
      </c>
      <c r="C537" t="s">
        <v>2898</v>
      </c>
      <c r="D537">
        <v>2025</v>
      </c>
      <c r="E537" t="s">
        <v>56</v>
      </c>
      <c r="F537" t="s">
        <v>67</v>
      </c>
      <c r="G537" t="s">
        <v>679</v>
      </c>
      <c r="H537" t="s">
        <v>2899</v>
      </c>
      <c r="I537" t="s">
        <v>2900</v>
      </c>
      <c r="J537" t="s">
        <v>71</v>
      </c>
      <c r="K537" t="s">
        <v>18</v>
      </c>
      <c r="L537" t="s">
        <v>72</v>
      </c>
      <c r="M537" t="s">
        <v>72</v>
      </c>
      <c r="N537" s="5"/>
      <c r="O537" t="str">
        <f t="shared" si="8"/>
        <v/>
      </c>
    </row>
    <row r="538" spans="1:15" x14ac:dyDescent="0.25">
      <c r="A538" t="s">
        <v>2901</v>
      </c>
      <c r="B538" t="s">
        <v>2902</v>
      </c>
      <c r="C538" t="s">
        <v>2903</v>
      </c>
      <c r="D538">
        <v>2025</v>
      </c>
      <c r="E538" t="s">
        <v>56</v>
      </c>
      <c r="F538" t="s">
        <v>57</v>
      </c>
      <c r="G538" t="s">
        <v>750</v>
      </c>
      <c r="H538" t="s">
        <v>2904</v>
      </c>
      <c r="I538" t="s">
        <v>2905</v>
      </c>
      <c r="J538" t="s">
        <v>165</v>
      </c>
      <c r="K538" t="s">
        <v>166</v>
      </c>
      <c r="L538" t="s">
        <v>63</v>
      </c>
      <c r="M538" t="s">
        <v>72</v>
      </c>
      <c r="N538" s="5"/>
      <c r="O538" t="str">
        <f t="shared" si="8"/>
        <v/>
      </c>
    </row>
    <row r="539" spans="1:15" x14ac:dyDescent="0.25">
      <c r="A539" t="s">
        <v>2906</v>
      </c>
      <c r="B539" t="s">
        <v>2907</v>
      </c>
      <c r="C539" t="s">
        <v>2908</v>
      </c>
      <c r="D539">
        <v>2025</v>
      </c>
      <c r="E539" t="s">
        <v>56</v>
      </c>
      <c r="F539" t="s">
        <v>57</v>
      </c>
      <c r="G539" t="s">
        <v>302</v>
      </c>
      <c r="H539" t="s">
        <v>2909</v>
      </c>
      <c r="I539" t="s">
        <v>2910</v>
      </c>
      <c r="J539" t="s">
        <v>87</v>
      </c>
      <c r="K539" t="s">
        <v>19</v>
      </c>
      <c r="L539" t="s">
        <v>72</v>
      </c>
      <c r="M539" t="s">
        <v>72</v>
      </c>
      <c r="N539" s="5"/>
      <c r="O539" t="str">
        <f t="shared" si="8"/>
        <v/>
      </c>
    </row>
    <row r="540" spans="1:15" x14ac:dyDescent="0.25">
      <c r="A540" t="s">
        <v>2911</v>
      </c>
      <c r="B540" t="s">
        <v>2912</v>
      </c>
      <c r="C540" t="s">
        <v>2913</v>
      </c>
      <c r="D540">
        <v>2025</v>
      </c>
      <c r="E540" t="s">
        <v>56</v>
      </c>
      <c r="F540" t="s">
        <v>67</v>
      </c>
      <c r="G540" t="s">
        <v>2914</v>
      </c>
      <c r="H540" t="s">
        <v>2915</v>
      </c>
      <c r="I540" t="s">
        <v>2916</v>
      </c>
      <c r="J540" t="s">
        <v>87</v>
      </c>
      <c r="K540" t="s">
        <v>19</v>
      </c>
      <c r="L540" t="s">
        <v>72</v>
      </c>
      <c r="M540" t="s">
        <v>72</v>
      </c>
      <c r="N540" s="5"/>
      <c r="O540" t="str">
        <f t="shared" si="8"/>
        <v/>
      </c>
    </row>
    <row r="541" spans="1:15" x14ac:dyDescent="0.25">
      <c r="A541" t="s">
        <v>2917</v>
      </c>
      <c r="B541" t="s">
        <v>2918</v>
      </c>
      <c r="C541" t="s">
        <v>2919</v>
      </c>
      <c r="D541">
        <v>2025</v>
      </c>
      <c r="E541" t="s">
        <v>56</v>
      </c>
      <c r="F541" t="s">
        <v>67</v>
      </c>
      <c r="G541" t="s">
        <v>2524</v>
      </c>
      <c r="H541" t="s">
        <v>2920</v>
      </c>
      <c r="I541" t="s">
        <v>2921</v>
      </c>
      <c r="J541" t="s">
        <v>71</v>
      </c>
      <c r="K541" t="s">
        <v>18</v>
      </c>
      <c r="L541" t="s">
        <v>72</v>
      </c>
      <c r="M541" t="s">
        <v>72</v>
      </c>
      <c r="N541" s="5"/>
      <c r="O541" t="str">
        <f t="shared" si="8"/>
        <v/>
      </c>
    </row>
    <row r="542" spans="1:15" x14ac:dyDescent="0.25">
      <c r="A542" t="s">
        <v>2922</v>
      </c>
      <c r="B542" t="s">
        <v>2923</v>
      </c>
      <c r="C542" t="s">
        <v>2924</v>
      </c>
      <c r="D542">
        <v>2025</v>
      </c>
      <c r="E542" t="s">
        <v>56</v>
      </c>
      <c r="F542" t="s">
        <v>67</v>
      </c>
      <c r="G542" t="s">
        <v>1130</v>
      </c>
      <c r="H542" t="s">
        <v>2925</v>
      </c>
      <c r="I542" t="s">
        <v>2926</v>
      </c>
      <c r="J542" t="s">
        <v>165</v>
      </c>
      <c r="K542" t="s">
        <v>166</v>
      </c>
      <c r="L542" t="s">
        <v>63</v>
      </c>
      <c r="M542" t="s">
        <v>72</v>
      </c>
      <c r="N542" s="5"/>
      <c r="O542" t="str">
        <f t="shared" si="8"/>
        <v/>
      </c>
    </row>
    <row r="543" spans="1:15" x14ac:dyDescent="0.25">
      <c r="A543" t="s">
        <v>2927</v>
      </c>
      <c r="B543" t="s">
        <v>2928</v>
      </c>
      <c r="C543" t="s">
        <v>2929</v>
      </c>
      <c r="D543">
        <v>2025</v>
      </c>
      <c r="E543" t="s">
        <v>56</v>
      </c>
      <c r="F543" t="s">
        <v>67</v>
      </c>
      <c r="G543" t="s">
        <v>151</v>
      </c>
      <c r="H543" t="s">
        <v>2930</v>
      </c>
      <c r="I543" t="s">
        <v>2931</v>
      </c>
      <c r="J543" t="s">
        <v>71</v>
      </c>
      <c r="K543" t="s">
        <v>18</v>
      </c>
      <c r="L543" t="s">
        <v>72</v>
      </c>
      <c r="M543" t="s">
        <v>72</v>
      </c>
      <c r="N543" s="5"/>
      <c r="O543" t="str">
        <f t="shared" si="8"/>
        <v/>
      </c>
    </row>
    <row r="544" spans="1:15" x14ac:dyDescent="0.25">
      <c r="A544" t="s">
        <v>2932</v>
      </c>
      <c r="B544" t="s">
        <v>2933</v>
      </c>
      <c r="C544" t="s">
        <v>2934</v>
      </c>
      <c r="D544">
        <v>2025</v>
      </c>
      <c r="E544" t="s">
        <v>56</v>
      </c>
      <c r="F544" t="s">
        <v>57</v>
      </c>
      <c r="G544" t="s">
        <v>2935</v>
      </c>
      <c r="H544" t="s">
        <v>2936</v>
      </c>
      <c r="I544" t="s">
        <v>2937</v>
      </c>
      <c r="J544" t="s">
        <v>87</v>
      </c>
      <c r="K544" t="s">
        <v>19</v>
      </c>
      <c r="L544" t="s">
        <v>72</v>
      </c>
      <c r="M544" t="s">
        <v>72</v>
      </c>
      <c r="N544" s="5"/>
      <c r="O544" t="str">
        <f t="shared" si="8"/>
        <v/>
      </c>
    </row>
    <row r="545" spans="1:15" x14ac:dyDescent="0.25">
      <c r="A545" t="s">
        <v>2938</v>
      </c>
      <c r="B545" t="s">
        <v>2939</v>
      </c>
      <c r="C545" t="s">
        <v>1543</v>
      </c>
      <c r="D545">
        <v>2025</v>
      </c>
      <c r="E545" t="s">
        <v>56</v>
      </c>
      <c r="F545" t="s">
        <v>67</v>
      </c>
      <c r="G545" t="s">
        <v>1409</v>
      </c>
      <c r="H545" t="s">
        <v>2940</v>
      </c>
      <c r="I545" t="s">
        <v>2941</v>
      </c>
      <c r="J545" t="s">
        <v>98</v>
      </c>
      <c r="K545" t="s">
        <v>99</v>
      </c>
      <c r="L545" t="s">
        <v>63</v>
      </c>
      <c r="M545" t="s">
        <v>72</v>
      </c>
      <c r="N545" s="5"/>
      <c r="O545" t="str">
        <f t="shared" si="8"/>
        <v/>
      </c>
    </row>
    <row r="546" spans="1:15" x14ac:dyDescent="0.25">
      <c r="A546" t="s">
        <v>2942</v>
      </c>
      <c r="B546" t="s">
        <v>2943</v>
      </c>
      <c r="C546" t="s">
        <v>2944</v>
      </c>
      <c r="D546">
        <v>2025</v>
      </c>
      <c r="E546" t="s">
        <v>56</v>
      </c>
      <c r="F546" t="s">
        <v>67</v>
      </c>
      <c r="G546" t="s">
        <v>2945</v>
      </c>
      <c r="H546" t="s">
        <v>2946</v>
      </c>
      <c r="I546" t="s">
        <v>2947</v>
      </c>
      <c r="J546" t="s">
        <v>71</v>
      </c>
      <c r="K546" t="s">
        <v>18</v>
      </c>
      <c r="L546" t="s">
        <v>72</v>
      </c>
      <c r="M546" t="s">
        <v>72</v>
      </c>
      <c r="N546" s="5"/>
      <c r="O546" t="str">
        <f t="shared" si="8"/>
        <v/>
      </c>
    </row>
    <row r="547" spans="1:15" x14ac:dyDescent="0.25">
      <c r="A547" t="s">
        <v>2948</v>
      </c>
      <c r="B547" t="s">
        <v>2949</v>
      </c>
      <c r="C547" t="s">
        <v>2950</v>
      </c>
      <c r="D547">
        <v>2025</v>
      </c>
      <c r="E547" t="s">
        <v>56</v>
      </c>
      <c r="F547" t="s">
        <v>67</v>
      </c>
      <c r="G547" t="s">
        <v>2951</v>
      </c>
      <c r="H547" t="s">
        <v>2952</v>
      </c>
      <c r="I547" t="s">
        <v>2953</v>
      </c>
      <c r="J547" t="s">
        <v>71</v>
      </c>
      <c r="K547" t="s">
        <v>18</v>
      </c>
      <c r="L547" t="s">
        <v>72</v>
      </c>
      <c r="M547" t="s">
        <v>72</v>
      </c>
      <c r="N547" s="5"/>
      <c r="O547" t="str">
        <f t="shared" si="8"/>
        <v/>
      </c>
    </row>
    <row r="548" spans="1:15" x14ac:dyDescent="0.25">
      <c r="A548" t="s">
        <v>2954</v>
      </c>
      <c r="B548" t="s">
        <v>2949</v>
      </c>
      <c r="C548" t="s">
        <v>2955</v>
      </c>
      <c r="D548">
        <v>2025</v>
      </c>
      <c r="E548" t="s">
        <v>56</v>
      </c>
      <c r="F548" t="s">
        <v>67</v>
      </c>
      <c r="G548" t="s">
        <v>2956</v>
      </c>
      <c r="H548" t="s">
        <v>2952</v>
      </c>
      <c r="I548" t="s">
        <v>2957</v>
      </c>
      <c r="J548" t="s">
        <v>71</v>
      </c>
      <c r="K548" t="s">
        <v>18</v>
      </c>
      <c r="L548" t="s">
        <v>72</v>
      </c>
      <c r="M548" t="s">
        <v>72</v>
      </c>
      <c r="N548" s="5"/>
      <c r="O548" t="str">
        <f t="shared" si="8"/>
        <v/>
      </c>
    </row>
    <row r="549" spans="1:15" x14ac:dyDescent="0.25">
      <c r="A549" t="s">
        <v>2958</v>
      </c>
      <c r="B549" t="s">
        <v>2959</v>
      </c>
      <c r="C549" t="s">
        <v>2960</v>
      </c>
      <c r="D549">
        <v>2025</v>
      </c>
      <c r="E549" t="s">
        <v>56</v>
      </c>
      <c r="F549" t="s">
        <v>67</v>
      </c>
      <c r="G549" t="s">
        <v>2961</v>
      </c>
      <c r="H549" t="s">
        <v>2962</v>
      </c>
      <c r="I549" t="s">
        <v>2963</v>
      </c>
      <c r="J549" t="s">
        <v>87</v>
      </c>
      <c r="K549" t="s">
        <v>19</v>
      </c>
      <c r="L549" t="s">
        <v>72</v>
      </c>
      <c r="M549" t="s">
        <v>72</v>
      </c>
      <c r="N549" s="5"/>
      <c r="O549" t="str">
        <f t="shared" si="8"/>
        <v/>
      </c>
    </row>
    <row r="550" spans="1:15" x14ac:dyDescent="0.25">
      <c r="A550" t="s">
        <v>2964</v>
      </c>
      <c r="B550" t="s">
        <v>2965</v>
      </c>
      <c r="C550" t="s">
        <v>2966</v>
      </c>
      <c r="D550">
        <v>2025</v>
      </c>
      <c r="E550" t="s">
        <v>56</v>
      </c>
      <c r="F550" t="s">
        <v>67</v>
      </c>
      <c r="G550" t="s">
        <v>285</v>
      </c>
      <c r="H550" t="s">
        <v>2967</v>
      </c>
      <c r="I550" t="s">
        <v>2968</v>
      </c>
      <c r="J550" t="s">
        <v>71</v>
      </c>
      <c r="K550" t="s">
        <v>18</v>
      </c>
      <c r="L550" t="s">
        <v>72</v>
      </c>
      <c r="M550" t="s">
        <v>72</v>
      </c>
      <c r="N550" s="5"/>
      <c r="O550" t="str">
        <f t="shared" si="8"/>
        <v/>
      </c>
    </row>
    <row r="551" spans="1:15" x14ac:dyDescent="0.25">
      <c r="A551" t="s">
        <v>2969</v>
      </c>
      <c r="B551" t="s">
        <v>2970</v>
      </c>
      <c r="C551" t="s">
        <v>2971</v>
      </c>
      <c r="D551">
        <v>2025</v>
      </c>
      <c r="E551" t="s">
        <v>56</v>
      </c>
      <c r="F551" t="s">
        <v>57</v>
      </c>
      <c r="G551" t="s">
        <v>2972</v>
      </c>
      <c r="H551" t="s">
        <v>2973</v>
      </c>
      <c r="I551" t="s">
        <v>2974</v>
      </c>
      <c r="J551" t="s">
        <v>87</v>
      </c>
      <c r="K551" t="s">
        <v>19</v>
      </c>
      <c r="L551" t="s">
        <v>72</v>
      </c>
      <c r="M551" t="s">
        <v>72</v>
      </c>
      <c r="N551" s="5"/>
      <c r="O551" t="str">
        <f t="shared" si="8"/>
        <v/>
      </c>
    </row>
    <row r="552" spans="1:15" x14ac:dyDescent="0.25">
      <c r="A552" t="s">
        <v>2975</v>
      </c>
      <c r="B552" t="s">
        <v>2976</v>
      </c>
      <c r="C552" t="s">
        <v>2977</v>
      </c>
      <c r="D552">
        <v>2025</v>
      </c>
      <c r="E552" t="s">
        <v>56</v>
      </c>
      <c r="F552" t="s">
        <v>57</v>
      </c>
      <c r="G552" t="s">
        <v>2978</v>
      </c>
      <c r="H552" t="s">
        <v>2979</v>
      </c>
      <c r="I552" t="s">
        <v>2980</v>
      </c>
      <c r="J552" t="s">
        <v>61</v>
      </c>
      <c r="K552" t="s">
        <v>62</v>
      </c>
      <c r="L552" t="s">
        <v>63</v>
      </c>
      <c r="M552" t="s">
        <v>63</v>
      </c>
      <c r="N552" s="5"/>
      <c r="O552" t="str">
        <f t="shared" si="8"/>
        <v/>
      </c>
    </row>
    <row r="553" spans="1:15" x14ac:dyDescent="0.25">
      <c r="A553" t="s">
        <v>2981</v>
      </c>
      <c r="B553" t="s">
        <v>2982</v>
      </c>
      <c r="C553" t="s">
        <v>2983</v>
      </c>
      <c r="D553">
        <v>2025</v>
      </c>
      <c r="E553" t="s">
        <v>56</v>
      </c>
      <c r="F553" t="s">
        <v>67</v>
      </c>
      <c r="G553" t="s">
        <v>2984</v>
      </c>
      <c r="H553" t="s">
        <v>2985</v>
      </c>
      <c r="I553" t="s">
        <v>2986</v>
      </c>
      <c r="J553" t="s">
        <v>71</v>
      </c>
      <c r="K553" t="s">
        <v>18</v>
      </c>
      <c r="L553" t="s">
        <v>72</v>
      </c>
      <c r="M553" t="s">
        <v>72</v>
      </c>
      <c r="N553" s="5"/>
      <c r="O553" t="str">
        <f t="shared" si="8"/>
        <v/>
      </c>
    </row>
    <row r="554" spans="1:15" x14ac:dyDescent="0.25">
      <c r="A554" t="s">
        <v>2987</v>
      </c>
      <c r="B554" t="s">
        <v>2988</v>
      </c>
      <c r="C554" t="s">
        <v>2989</v>
      </c>
      <c r="D554">
        <v>2025</v>
      </c>
      <c r="E554" t="s">
        <v>56</v>
      </c>
      <c r="F554" t="s">
        <v>67</v>
      </c>
      <c r="G554" t="s">
        <v>2990</v>
      </c>
      <c r="H554" t="s">
        <v>2991</v>
      </c>
      <c r="I554" t="s">
        <v>2992</v>
      </c>
      <c r="J554" t="s">
        <v>98</v>
      </c>
      <c r="K554" t="s">
        <v>99</v>
      </c>
      <c r="L554" t="s">
        <v>63</v>
      </c>
      <c r="M554" t="s">
        <v>72</v>
      </c>
      <c r="N554" s="5"/>
      <c r="O554" t="str">
        <f t="shared" si="8"/>
        <v/>
      </c>
    </row>
    <row r="555" spans="1:15" x14ac:dyDescent="0.25">
      <c r="A555" t="s">
        <v>2993</v>
      </c>
      <c r="B555" t="s">
        <v>2994</v>
      </c>
      <c r="C555" t="s">
        <v>2995</v>
      </c>
      <c r="D555">
        <v>2025</v>
      </c>
      <c r="E555" t="s">
        <v>56</v>
      </c>
      <c r="F555" t="s">
        <v>57</v>
      </c>
      <c r="G555" t="s">
        <v>750</v>
      </c>
      <c r="H555" t="s">
        <v>2996</v>
      </c>
      <c r="I555" t="s">
        <v>2997</v>
      </c>
      <c r="J555" t="s">
        <v>165</v>
      </c>
      <c r="K555" t="s">
        <v>166</v>
      </c>
      <c r="L555" t="s">
        <v>63</v>
      </c>
      <c r="M555" t="s">
        <v>72</v>
      </c>
      <c r="N555" s="5"/>
      <c r="O555" t="str">
        <f t="shared" si="8"/>
        <v/>
      </c>
    </row>
    <row r="556" spans="1:15" x14ac:dyDescent="0.25">
      <c r="A556" t="s">
        <v>2998</v>
      </c>
      <c r="B556" t="s">
        <v>2999</v>
      </c>
      <c r="C556" t="s">
        <v>1364</v>
      </c>
      <c r="D556">
        <v>2025</v>
      </c>
      <c r="E556" t="s">
        <v>56</v>
      </c>
      <c r="F556" t="s">
        <v>67</v>
      </c>
      <c r="G556" t="s">
        <v>84</v>
      </c>
      <c r="H556" t="s">
        <v>3000</v>
      </c>
      <c r="I556" t="s">
        <v>3001</v>
      </c>
      <c r="J556" t="s">
        <v>98</v>
      </c>
      <c r="K556" t="s">
        <v>99</v>
      </c>
      <c r="L556" t="s">
        <v>63</v>
      </c>
      <c r="M556" t="s">
        <v>72</v>
      </c>
      <c r="N556" s="5"/>
      <c r="O556" t="str">
        <f t="shared" si="8"/>
        <v/>
      </c>
    </row>
    <row r="557" spans="1:15" x14ac:dyDescent="0.25">
      <c r="A557" t="s">
        <v>3002</v>
      </c>
      <c r="B557" t="s">
        <v>3003</v>
      </c>
      <c r="C557" t="s">
        <v>3004</v>
      </c>
      <c r="D557">
        <v>2025</v>
      </c>
      <c r="E557" t="s">
        <v>56</v>
      </c>
      <c r="F557" t="s">
        <v>67</v>
      </c>
      <c r="G557" t="s">
        <v>3005</v>
      </c>
      <c r="H557" t="s">
        <v>3006</v>
      </c>
      <c r="I557" t="s">
        <v>3007</v>
      </c>
      <c r="J557" t="s">
        <v>71</v>
      </c>
      <c r="K557" t="s">
        <v>18</v>
      </c>
      <c r="L557" t="s">
        <v>72</v>
      </c>
      <c r="M557" t="s">
        <v>72</v>
      </c>
      <c r="N557" s="5"/>
      <c r="O557" t="str">
        <f t="shared" si="8"/>
        <v/>
      </c>
    </row>
    <row r="558" spans="1:15" x14ac:dyDescent="0.25">
      <c r="A558" t="s">
        <v>3008</v>
      </c>
      <c r="B558" t="s">
        <v>3009</v>
      </c>
      <c r="C558" t="s">
        <v>3010</v>
      </c>
      <c r="D558">
        <v>2025</v>
      </c>
      <c r="E558" t="s">
        <v>56</v>
      </c>
      <c r="F558" t="s">
        <v>67</v>
      </c>
      <c r="G558" t="s">
        <v>3011</v>
      </c>
      <c r="H558" t="s">
        <v>3012</v>
      </c>
      <c r="I558" t="s">
        <v>3013</v>
      </c>
      <c r="J558" t="s">
        <v>71</v>
      </c>
      <c r="K558" t="s">
        <v>18</v>
      </c>
      <c r="L558" t="s">
        <v>72</v>
      </c>
      <c r="M558" t="s">
        <v>72</v>
      </c>
      <c r="N558" s="5"/>
      <c r="O558" t="str">
        <f t="shared" si="8"/>
        <v/>
      </c>
    </row>
    <row r="559" spans="1:15" x14ac:dyDescent="0.25">
      <c r="A559" t="s">
        <v>3014</v>
      </c>
      <c r="B559" t="s">
        <v>3015</v>
      </c>
      <c r="C559" t="s">
        <v>3016</v>
      </c>
      <c r="D559">
        <v>2025</v>
      </c>
      <c r="E559" t="s">
        <v>56</v>
      </c>
      <c r="F559" t="s">
        <v>57</v>
      </c>
      <c r="G559" t="s">
        <v>739</v>
      </c>
      <c r="H559" t="s">
        <v>3017</v>
      </c>
      <c r="I559" t="s">
        <v>3018</v>
      </c>
      <c r="J559" t="s">
        <v>98</v>
      </c>
      <c r="K559" t="s">
        <v>99</v>
      </c>
      <c r="L559" t="s">
        <v>63</v>
      </c>
      <c r="M559" t="s">
        <v>72</v>
      </c>
      <c r="N559" s="5"/>
      <c r="O559" t="str">
        <f t="shared" si="8"/>
        <v/>
      </c>
    </row>
    <row r="560" spans="1:15" x14ac:dyDescent="0.25">
      <c r="A560" t="s">
        <v>3019</v>
      </c>
      <c r="B560" t="s">
        <v>3020</v>
      </c>
      <c r="C560" t="s">
        <v>3021</v>
      </c>
      <c r="D560">
        <v>2025</v>
      </c>
      <c r="E560" t="s">
        <v>56</v>
      </c>
      <c r="F560" t="s">
        <v>67</v>
      </c>
      <c r="G560" t="s">
        <v>3022</v>
      </c>
      <c r="H560" t="s">
        <v>3023</v>
      </c>
      <c r="I560" t="s">
        <v>3024</v>
      </c>
      <c r="J560" t="s">
        <v>71</v>
      </c>
      <c r="K560" t="s">
        <v>18</v>
      </c>
      <c r="L560" t="s">
        <v>72</v>
      </c>
      <c r="M560" t="s">
        <v>72</v>
      </c>
      <c r="N560" s="5"/>
      <c r="O560" t="str">
        <f t="shared" si="8"/>
        <v/>
      </c>
    </row>
    <row r="561" spans="1:15" x14ac:dyDescent="0.25">
      <c r="A561" t="s">
        <v>3025</v>
      </c>
      <c r="B561" t="s">
        <v>3026</v>
      </c>
      <c r="C561" t="s">
        <v>3021</v>
      </c>
      <c r="D561">
        <v>2025</v>
      </c>
      <c r="E561" t="s">
        <v>56</v>
      </c>
      <c r="F561" t="s">
        <v>67</v>
      </c>
      <c r="G561" t="s">
        <v>3027</v>
      </c>
      <c r="H561" t="s">
        <v>3028</v>
      </c>
      <c r="I561" t="s">
        <v>3029</v>
      </c>
      <c r="J561" t="s">
        <v>165</v>
      </c>
      <c r="K561" t="s">
        <v>166</v>
      </c>
      <c r="L561" t="s">
        <v>63</v>
      </c>
      <c r="M561" t="s">
        <v>72</v>
      </c>
      <c r="N561" s="5"/>
      <c r="O561" t="str">
        <f t="shared" si="8"/>
        <v/>
      </c>
    </row>
    <row r="562" spans="1:15" x14ac:dyDescent="0.25">
      <c r="A562" t="s">
        <v>3030</v>
      </c>
      <c r="B562" t="s">
        <v>3031</v>
      </c>
      <c r="C562" t="s">
        <v>3032</v>
      </c>
      <c r="D562">
        <v>2025</v>
      </c>
      <c r="E562" t="s">
        <v>56</v>
      </c>
      <c r="F562" t="s">
        <v>67</v>
      </c>
      <c r="G562" t="s">
        <v>84</v>
      </c>
      <c r="H562" t="s">
        <v>3033</v>
      </c>
      <c r="I562" t="s">
        <v>3034</v>
      </c>
      <c r="J562" t="s">
        <v>71</v>
      </c>
      <c r="K562" t="s">
        <v>18</v>
      </c>
      <c r="L562" t="s">
        <v>72</v>
      </c>
      <c r="M562" t="s">
        <v>72</v>
      </c>
      <c r="N562" s="5"/>
      <c r="O562" t="str">
        <f t="shared" si="8"/>
        <v/>
      </c>
    </row>
    <row r="563" spans="1:15" x14ac:dyDescent="0.25">
      <c r="A563" t="s">
        <v>3035</v>
      </c>
      <c r="B563" t="s">
        <v>3036</v>
      </c>
      <c r="C563" t="s">
        <v>3037</v>
      </c>
      <c r="D563">
        <v>2025</v>
      </c>
      <c r="E563" t="s">
        <v>56</v>
      </c>
      <c r="F563" t="s">
        <v>67</v>
      </c>
      <c r="G563" t="s">
        <v>3038</v>
      </c>
      <c r="H563" t="s">
        <v>3039</v>
      </c>
      <c r="I563" t="s">
        <v>3040</v>
      </c>
      <c r="J563" t="s">
        <v>71</v>
      </c>
      <c r="K563" t="s">
        <v>18</v>
      </c>
      <c r="L563" t="s">
        <v>72</v>
      </c>
      <c r="M563" t="s">
        <v>72</v>
      </c>
      <c r="N563" s="5"/>
      <c r="O563" t="str">
        <f t="shared" si="8"/>
        <v/>
      </c>
    </row>
    <row r="564" spans="1:15" x14ac:dyDescent="0.25">
      <c r="A564" t="s">
        <v>3041</v>
      </c>
      <c r="B564" t="s">
        <v>3042</v>
      </c>
      <c r="C564" t="s">
        <v>3043</v>
      </c>
      <c r="D564">
        <v>2025</v>
      </c>
      <c r="E564" t="s">
        <v>56</v>
      </c>
      <c r="F564" t="s">
        <v>67</v>
      </c>
      <c r="G564" t="s">
        <v>3044</v>
      </c>
      <c r="H564" t="s">
        <v>3045</v>
      </c>
      <c r="I564" t="s">
        <v>3046</v>
      </c>
      <c r="J564" t="s">
        <v>71</v>
      </c>
      <c r="K564" t="s">
        <v>18</v>
      </c>
      <c r="L564" t="s">
        <v>72</v>
      </c>
      <c r="M564" t="s">
        <v>72</v>
      </c>
      <c r="N564" s="5"/>
      <c r="O564" t="str">
        <f t="shared" si="8"/>
        <v/>
      </c>
    </row>
    <row r="565" spans="1:15" x14ac:dyDescent="0.25">
      <c r="A565" t="s">
        <v>3047</v>
      </c>
      <c r="B565" t="s">
        <v>3048</v>
      </c>
      <c r="C565" t="s">
        <v>2307</v>
      </c>
      <c r="D565">
        <v>2025</v>
      </c>
      <c r="E565" t="s">
        <v>56</v>
      </c>
      <c r="F565" t="s">
        <v>67</v>
      </c>
      <c r="G565" t="s">
        <v>3049</v>
      </c>
      <c r="H565" t="s">
        <v>3050</v>
      </c>
      <c r="I565" t="s">
        <v>3051</v>
      </c>
      <c r="J565" t="s">
        <v>71</v>
      </c>
      <c r="K565" t="s">
        <v>18</v>
      </c>
      <c r="L565" t="s">
        <v>72</v>
      </c>
      <c r="M565" t="s">
        <v>72</v>
      </c>
      <c r="N565" s="5"/>
      <c r="O565" t="str">
        <f t="shared" si="8"/>
        <v/>
      </c>
    </row>
    <row r="566" spans="1:15" x14ac:dyDescent="0.25">
      <c r="A566" t="s">
        <v>3052</v>
      </c>
      <c r="B566" t="s">
        <v>3053</v>
      </c>
      <c r="C566" t="s">
        <v>3054</v>
      </c>
      <c r="D566">
        <v>2025</v>
      </c>
      <c r="E566" t="s">
        <v>56</v>
      </c>
      <c r="F566" t="s">
        <v>67</v>
      </c>
      <c r="G566" t="s">
        <v>3055</v>
      </c>
      <c r="H566" t="s">
        <v>3056</v>
      </c>
      <c r="I566" t="s">
        <v>3057</v>
      </c>
      <c r="J566" t="s">
        <v>71</v>
      </c>
      <c r="K566" t="s">
        <v>18</v>
      </c>
      <c r="L566" t="s">
        <v>72</v>
      </c>
      <c r="M566" t="s">
        <v>72</v>
      </c>
      <c r="N566" s="5"/>
      <c r="O566" t="str">
        <f t="shared" si="8"/>
        <v/>
      </c>
    </row>
    <row r="567" spans="1:15" x14ac:dyDescent="0.25">
      <c r="A567" t="s">
        <v>3058</v>
      </c>
      <c r="B567" t="s">
        <v>3059</v>
      </c>
      <c r="C567" t="s">
        <v>3060</v>
      </c>
      <c r="D567">
        <v>2025</v>
      </c>
      <c r="E567" t="s">
        <v>56</v>
      </c>
      <c r="F567" t="s">
        <v>57</v>
      </c>
      <c r="G567" t="s">
        <v>368</v>
      </c>
      <c r="H567" t="s">
        <v>3061</v>
      </c>
      <c r="I567" t="s">
        <v>3062</v>
      </c>
      <c r="J567" t="s">
        <v>79</v>
      </c>
      <c r="K567" t="s">
        <v>80</v>
      </c>
      <c r="L567" t="s">
        <v>72</v>
      </c>
      <c r="M567" t="s">
        <v>72</v>
      </c>
      <c r="N567" s="5"/>
      <c r="O567" t="str">
        <f t="shared" si="8"/>
        <v/>
      </c>
    </row>
    <row r="568" spans="1:15" x14ac:dyDescent="0.25">
      <c r="A568" t="s">
        <v>3063</v>
      </c>
      <c r="B568" t="s">
        <v>3064</v>
      </c>
      <c r="C568" t="s">
        <v>3065</v>
      </c>
      <c r="D568">
        <v>2025</v>
      </c>
      <c r="E568" t="s">
        <v>56</v>
      </c>
      <c r="F568" t="s">
        <v>57</v>
      </c>
      <c r="G568" t="s">
        <v>3066</v>
      </c>
      <c r="H568" t="s">
        <v>3067</v>
      </c>
      <c r="I568" t="s">
        <v>3068</v>
      </c>
      <c r="J568" t="s">
        <v>79</v>
      </c>
      <c r="K568" t="s">
        <v>80</v>
      </c>
      <c r="L568" t="s">
        <v>72</v>
      </c>
      <c r="M568" t="s">
        <v>72</v>
      </c>
      <c r="N568" s="5"/>
      <c r="O568" t="str">
        <f t="shared" si="8"/>
        <v/>
      </c>
    </row>
    <row r="569" spans="1:15" x14ac:dyDescent="0.25">
      <c r="A569" t="s">
        <v>3069</v>
      </c>
      <c r="B569" t="s">
        <v>3070</v>
      </c>
      <c r="C569" t="s">
        <v>815</v>
      </c>
      <c r="D569">
        <v>2025</v>
      </c>
      <c r="E569" t="s">
        <v>56</v>
      </c>
      <c r="F569" t="s">
        <v>57</v>
      </c>
      <c r="G569" t="s">
        <v>1304</v>
      </c>
      <c r="H569" t="s">
        <v>3071</v>
      </c>
      <c r="I569" t="s">
        <v>3072</v>
      </c>
      <c r="J569" t="s">
        <v>87</v>
      </c>
      <c r="K569" t="s">
        <v>19</v>
      </c>
      <c r="L569" t="s">
        <v>72</v>
      </c>
      <c r="M569" t="s">
        <v>72</v>
      </c>
      <c r="N569" s="5"/>
      <c r="O569" t="str">
        <f t="shared" si="8"/>
        <v/>
      </c>
    </row>
    <row r="570" spans="1:15" x14ac:dyDescent="0.25">
      <c r="A570" t="s">
        <v>3073</v>
      </c>
      <c r="B570" t="s">
        <v>3074</v>
      </c>
      <c r="C570" t="s">
        <v>3075</v>
      </c>
      <c r="D570">
        <v>2025</v>
      </c>
      <c r="E570" t="s">
        <v>56</v>
      </c>
      <c r="F570" t="s">
        <v>67</v>
      </c>
      <c r="G570" t="s">
        <v>3076</v>
      </c>
      <c r="H570" t="s">
        <v>3077</v>
      </c>
      <c r="I570" t="s">
        <v>3078</v>
      </c>
      <c r="J570" t="s">
        <v>71</v>
      </c>
      <c r="K570" t="s">
        <v>18</v>
      </c>
      <c r="L570" t="s">
        <v>72</v>
      </c>
      <c r="M570" t="s">
        <v>72</v>
      </c>
      <c r="N570" s="5"/>
      <c r="O570" t="str">
        <f t="shared" si="8"/>
        <v/>
      </c>
    </row>
    <row r="571" spans="1:15" x14ac:dyDescent="0.25">
      <c r="A571" t="s">
        <v>3079</v>
      </c>
      <c r="B571" t="s">
        <v>3074</v>
      </c>
      <c r="C571" t="s">
        <v>447</v>
      </c>
      <c r="D571">
        <v>2025</v>
      </c>
      <c r="E571" t="s">
        <v>56</v>
      </c>
      <c r="F571" t="s">
        <v>67</v>
      </c>
      <c r="G571" t="s">
        <v>3080</v>
      </c>
      <c r="H571" t="s">
        <v>3077</v>
      </c>
      <c r="I571" t="s">
        <v>3081</v>
      </c>
      <c r="J571" t="s">
        <v>71</v>
      </c>
      <c r="K571" t="s">
        <v>18</v>
      </c>
      <c r="L571" t="s">
        <v>72</v>
      </c>
      <c r="M571" t="s">
        <v>72</v>
      </c>
      <c r="N571" s="5"/>
      <c r="O571" t="str">
        <f t="shared" si="8"/>
        <v/>
      </c>
    </row>
    <row r="572" spans="1:15" x14ac:dyDescent="0.25">
      <c r="A572" t="s">
        <v>3082</v>
      </c>
      <c r="B572" t="s">
        <v>3083</v>
      </c>
      <c r="C572" t="s">
        <v>452</v>
      </c>
      <c r="D572">
        <v>2025</v>
      </c>
      <c r="E572" t="s">
        <v>56</v>
      </c>
      <c r="F572" t="s">
        <v>67</v>
      </c>
      <c r="G572" t="s">
        <v>3084</v>
      </c>
      <c r="H572" t="s">
        <v>3085</v>
      </c>
      <c r="I572" t="s">
        <v>3086</v>
      </c>
      <c r="J572" t="s">
        <v>87</v>
      </c>
      <c r="K572" t="s">
        <v>19</v>
      </c>
      <c r="L572" t="s">
        <v>72</v>
      </c>
      <c r="M572" t="s">
        <v>72</v>
      </c>
      <c r="N572" s="5"/>
      <c r="O572" t="str">
        <f t="shared" si="8"/>
        <v/>
      </c>
    </row>
    <row r="573" spans="1:15" x14ac:dyDescent="0.25">
      <c r="A573" t="s">
        <v>3087</v>
      </c>
      <c r="B573" t="s">
        <v>3088</v>
      </c>
      <c r="C573" t="s">
        <v>3089</v>
      </c>
      <c r="D573">
        <v>2025</v>
      </c>
      <c r="E573" t="s">
        <v>56</v>
      </c>
      <c r="F573" t="s">
        <v>67</v>
      </c>
      <c r="G573" t="s">
        <v>3090</v>
      </c>
      <c r="H573" t="s">
        <v>3091</v>
      </c>
      <c r="I573" t="s">
        <v>3092</v>
      </c>
      <c r="J573" t="s">
        <v>71</v>
      </c>
      <c r="K573" t="s">
        <v>18</v>
      </c>
      <c r="L573" t="s">
        <v>72</v>
      </c>
      <c r="M573" t="s">
        <v>72</v>
      </c>
      <c r="N573" s="5"/>
      <c r="O573" t="str">
        <f t="shared" si="8"/>
        <v/>
      </c>
    </row>
    <row r="574" spans="1:15" x14ac:dyDescent="0.25">
      <c r="A574" t="s">
        <v>3093</v>
      </c>
      <c r="B574" t="s">
        <v>3094</v>
      </c>
      <c r="C574" t="s">
        <v>3095</v>
      </c>
      <c r="D574">
        <v>2025</v>
      </c>
      <c r="E574" t="s">
        <v>56</v>
      </c>
      <c r="F574" t="s">
        <v>67</v>
      </c>
      <c r="G574" t="s">
        <v>3096</v>
      </c>
      <c r="H574" t="s">
        <v>3091</v>
      </c>
      <c r="I574" t="s">
        <v>3097</v>
      </c>
      <c r="J574" t="s">
        <v>71</v>
      </c>
      <c r="K574" t="s">
        <v>18</v>
      </c>
      <c r="L574" t="s">
        <v>72</v>
      </c>
      <c r="M574" t="s">
        <v>72</v>
      </c>
      <c r="N574" s="5"/>
      <c r="O574" t="str">
        <f t="shared" si="8"/>
        <v/>
      </c>
    </row>
    <row r="575" spans="1:15" x14ac:dyDescent="0.25">
      <c r="A575" t="s">
        <v>3098</v>
      </c>
      <c r="B575" t="s">
        <v>3099</v>
      </c>
      <c r="C575" t="s">
        <v>3100</v>
      </c>
      <c r="D575">
        <v>2025</v>
      </c>
      <c r="E575" t="s">
        <v>56</v>
      </c>
      <c r="F575" t="s">
        <v>67</v>
      </c>
      <c r="G575" t="s">
        <v>84</v>
      </c>
      <c r="H575" t="s">
        <v>3101</v>
      </c>
      <c r="I575" t="s">
        <v>3102</v>
      </c>
      <c r="J575" t="s">
        <v>87</v>
      </c>
      <c r="K575" t="s">
        <v>19</v>
      </c>
      <c r="L575" t="s">
        <v>72</v>
      </c>
      <c r="M575" t="s">
        <v>72</v>
      </c>
      <c r="N575" s="5"/>
      <c r="O575" t="str">
        <f t="shared" si="8"/>
        <v/>
      </c>
    </row>
    <row r="576" spans="1:15" x14ac:dyDescent="0.25">
      <c r="A576" t="s">
        <v>3103</v>
      </c>
      <c r="B576" t="s">
        <v>3104</v>
      </c>
      <c r="C576" t="s">
        <v>3105</v>
      </c>
      <c r="D576">
        <v>2025</v>
      </c>
      <c r="E576" t="s">
        <v>56</v>
      </c>
      <c r="F576" t="s">
        <v>67</v>
      </c>
      <c r="G576" t="s">
        <v>3106</v>
      </c>
      <c r="H576" t="s">
        <v>3107</v>
      </c>
      <c r="I576" t="s">
        <v>3108</v>
      </c>
      <c r="J576" t="s">
        <v>87</v>
      </c>
      <c r="K576" t="s">
        <v>19</v>
      </c>
      <c r="L576" t="s">
        <v>72</v>
      </c>
      <c r="M576" t="s">
        <v>72</v>
      </c>
      <c r="N576" s="5"/>
      <c r="O576" t="str">
        <f t="shared" si="8"/>
        <v/>
      </c>
    </row>
    <row r="577" spans="1:15" x14ac:dyDescent="0.25">
      <c r="A577" t="s">
        <v>3109</v>
      </c>
      <c r="B577" t="s">
        <v>3104</v>
      </c>
      <c r="C577" t="s">
        <v>3110</v>
      </c>
      <c r="D577">
        <v>2025</v>
      </c>
      <c r="E577" t="s">
        <v>56</v>
      </c>
      <c r="F577" t="s">
        <v>67</v>
      </c>
      <c r="G577" t="s">
        <v>3111</v>
      </c>
      <c r="H577" t="s">
        <v>3107</v>
      </c>
      <c r="I577" t="s">
        <v>3112</v>
      </c>
      <c r="J577" t="s">
        <v>87</v>
      </c>
      <c r="K577" t="s">
        <v>19</v>
      </c>
      <c r="L577" t="s">
        <v>72</v>
      </c>
      <c r="M577" t="s">
        <v>72</v>
      </c>
      <c r="N577" s="5"/>
      <c r="O577" t="str">
        <f t="shared" si="8"/>
        <v/>
      </c>
    </row>
    <row r="578" spans="1:15" x14ac:dyDescent="0.25">
      <c r="A578" t="s">
        <v>3113</v>
      </c>
      <c r="B578" t="s">
        <v>3114</v>
      </c>
      <c r="C578" t="s">
        <v>3115</v>
      </c>
      <c r="D578">
        <v>2025</v>
      </c>
      <c r="E578" t="s">
        <v>56</v>
      </c>
      <c r="F578" t="s">
        <v>57</v>
      </c>
      <c r="G578" t="s">
        <v>3116</v>
      </c>
      <c r="H578" t="s">
        <v>3117</v>
      </c>
      <c r="I578" t="s">
        <v>3118</v>
      </c>
      <c r="J578" t="s">
        <v>61</v>
      </c>
      <c r="K578" t="s">
        <v>62</v>
      </c>
      <c r="L578" t="s">
        <v>63</v>
      </c>
      <c r="M578" t="s">
        <v>63</v>
      </c>
      <c r="N578" s="5"/>
      <c r="O578" t="str">
        <f t="shared" ref="O578:O641" si="9">IF(N578="","",IF(N578=J578,1,0))</f>
        <v/>
      </c>
    </row>
    <row r="579" spans="1:15" x14ac:dyDescent="0.25">
      <c r="A579" t="s">
        <v>3119</v>
      </c>
      <c r="B579" t="s">
        <v>3120</v>
      </c>
      <c r="C579" t="s">
        <v>3121</v>
      </c>
      <c r="D579">
        <v>2025</v>
      </c>
      <c r="E579" t="s">
        <v>56</v>
      </c>
      <c r="F579" t="s">
        <v>57</v>
      </c>
      <c r="G579" t="s">
        <v>3122</v>
      </c>
      <c r="H579" t="s">
        <v>3123</v>
      </c>
      <c r="I579" t="s">
        <v>3124</v>
      </c>
      <c r="J579" t="s">
        <v>71</v>
      </c>
      <c r="K579" t="s">
        <v>18</v>
      </c>
      <c r="L579" t="s">
        <v>72</v>
      </c>
      <c r="M579" t="s">
        <v>72</v>
      </c>
      <c r="N579" s="5"/>
      <c r="O579" t="str">
        <f t="shared" si="9"/>
        <v/>
      </c>
    </row>
    <row r="580" spans="1:15" x14ac:dyDescent="0.25">
      <c r="A580" t="s">
        <v>3125</v>
      </c>
      <c r="B580" t="s">
        <v>3126</v>
      </c>
      <c r="C580" t="s">
        <v>3127</v>
      </c>
      <c r="D580">
        <v>2025</v>
      </c>
      <c r="E580" t="s">
        <v>56</v>
      </c>
      <c r="F580" t="s">
        <v>67</v>
      </c>
      <c r="G580" t="s">
        <v>3128</v>
      </c>
      <c r="H580" t="s">
        <v>3129</v>
      </c>
      <c r="I580" t="s">
        <v>3130</v>
      </c>
      <c r="J580" t="s">
        <v>71</v>
      </c>
      <c r="K580" t="s">
        <v>18</v>
      </c>
      <c r="L580" t="s">
        <v>72</v>
      </c>
      <c r="M580" t="s">
        <v>72</v>
      </c>
      <c r="N580" s="5"/>
      <c r="O580" t="str">
        <f t="shared" si="9"/>
        <v/>
      </c>
    </row>
    <row r="581" spans="1:15" x14ac:dyDescent="0.25">
      <c r="A581" t="s">
        <v>3131</v>
      </c>
      <c r="B581" t="s">
        <v>3132</v>
      </c>
      <c r="C581" t="s">
        <v>957</v>
      </c>
      <c r="D581">
        <v>2025</v>
      </c>
      <c r="E581" t="s">
        <v>56</v>
      </c>
      <c r="F581" t="s">
        <v>67</v>
      </c>
      <c r="G581" t="s">
        <v>3133</v>
      </c>
      <c r="H581" t="s">
        <v>3134</v>
      </c>
      <c r="I581" t="s">
        <v>3135</v>
      </c>
      <c r="J581" t="s">
        <v>71</v>
      </c>
      <c r="K581" t="s">
        <v>18</v>
      </c>
      <c r="L581" t="s">
        <v>72</v>
      </c>
      <c r="M581" t="s">
        <v>72</v>
      </c>
      <c r="N581" s="5"/>
      <c r="O581" t="str">
        <f t="shared" si="9"/>
        <v/>
      </c>
    </row>
    <row r="582" spans="1:15" x14ac:dyDescent="0.25">
      <c r="A582" t="s">
        <v>3136</v>
      </c>
      <c r="B582" t="s">
        <v>3137</v>
      </c>
      <c r="C582" t="s">
        <v>3138</v>
      </c>
      <c r="D582">
        <v>2025</v>
      </c>
      <c r="E582" t="s">
        <v>56</v>
      </c>
      <c r="F582" t="s">
        <v>67</v>
      </c>
      <c r="G582" t="s">
        <v>3139</v>
      </c>
      <c r="H582" t="s">
        <v>3140</v>
      </c>
      <c r="I582" t="s">
        <v>3141</v>
      </c>
      <c r="J582" t="s">
        <v>71</v>
      </c>
      <c r="K582" t="s">
        <v>18</v>
      </c>
      <c r="L582" t="s">
        <v>72</v>
      </c>
      <c r="M582" t="s">
        <v>72</v>
      </c>
      <c r="N582" s="5"/>
      <c r="O582" t="str">
        <f t="shared" si="9"/>
        <v/>
      </c>
    </row>
    <row r="583" spans="1:15" x14ac:dyDescent="0.25">
      <c r="A583" t="s">
        <v>3142</v>
      </c>
      <c r="B583" t="s">
        <v>3143</v>
      </c>
      <c r="C583" t="s">
        <v>1181</v>
      </c>
      <c r="D583">
        <v>2025</v>
      </c>
      <c r="E583" t="s">
        <v>56</v>
      </c>
      <c r="F583" t="s">
        <v>57</v>
      </c>
      <c r="G583" t="s">
        <v>750</v>
      </c>
      <c r="H583" t="s">
        <v>3144</v>
      </c>
      <c r="I583" t="s">
        <v>3145</v>
      </c>
      <c r="J583" t="s">
        <v>165</v>
      </c>
      <c r="K583" t="s">
        <v>166</v>
      </c>
      <c r="L583" t="s">
        <v>63</v>
      </c>
      <c r="M583" t="s">
        <v>72</v>
      </c>
      <c r="N583" s="5"/>
      <c r="O583" t="str">
        <f t="shared" si="9"/>
        <v/>
      </c>
    </row>
    <row r="584" spans="1:15" x14ac:dyDescent="0.25">
      <c r="A584" t="s">
        <v>3146</v>
      </c>
      <c r="B584" t="s">
        <v>3147</v>
      </c>
      <c r="C584" t="s">
        <v>3148</v>
      </c>
      <c r="D584">
        <v>2025</v>
      </c>
      <c r="E584" t="s">
        <v>56</v>
      </c>
      <c r="F584" t="s">
        <v>57</v>
      </c>
      <c r="G584" t="s">
        <v>750</v>
      </c>
      <c r="H584" t="s">
        <v>3149</v>
      </c>
      <c r="I584" t="s">
        <v>3150</v>
      </c>
      <c r="J584" t="s">
        <v>87</v>
      </c>
      <c r="K584" t="s">
        <v>19</v>
      </c>
      <c r="L584" t="s">
        <v>72</v>
      </c>
      <c r="M584" t="s">
        <v>72</v>
      </c>
      <c r="N584" s="5"/>
      <c r="O584" t="str">
        <f t="shared" si="9"/>
        <v/>
      </c>
    </row>
    <row r="585" spans="1:15" x14ac:dyDescent="0.25">
      <c r="A585" t="s">
        <v>3151</v>
      </c>
      <c r="B585" t="s">
        <v>3152</v>
      </c>
      <c r="C585" t="s">
        <v>3153</v>
      </c>
      <c r="D585">
        <v>2025</v>
      </c>
      <c r="E585" t="s">
        <v>56</v>
      </c>
      <c r="F585" t="s">
        <v>57</v>
      </c>
      <c r="G585" t="s">
        <v>418</v>
      </c>
      <c r="H585" t="s">
        <v>3154</v>
      </c>
      <c r="I585" t="s">
        <v>3155</v>
      </c>
      <c r="J585" t="s">
        <v>165</v>
      </c>
      <c r="K585" t="s">
        <v>166</v>
      </c>
      <c r="L585" t="s">
        <v>63</v>
      </c>
      <c r="M585" t="s">
        <v>72</v>
      </c>
      <c r="N585" s="5"/>
      <c r="O585" t="str">
        <f t="shared" si="9"/>
        <v/>
      </c>
    </row>
    <row r="586" spans="1:15" x14ac:dyDescent="0.25">
      <c r="A586" t="s">
        <v>3156</v>
      </c>
      <c r="B586" t="s">
        <v>3157</v>
      </c>
      <c r="C586" t="s">
        <v>3158</v>
      </c>
      <c r="D586">
        <v>2025</v>
      </c>
      <c r="E586" t="s">
        <v>56</v>
      </c>
      <c r="F586" t="s">
        <v>67</v>
      </c>
      <c r="G586" t="s">
        <v>3159</v>
      </c>
      <c r="H586" t="s">
        <v>3160</v>
      </c>
      <c r="I586" t="s">
        <v>3161</v>
      </c>
      <c r="J586" t="s">
        <v>71</v>
      </c>
      <c r="K586" t="s">
        <v>18</v>
      </c>
      <c r="L586" t="s">
        <v>72</v>
      </c>
      <c r="M586" t="s">
        <v>72</v>
      </c>
      <c r="N586" s="5"/>
      <c r="O586" t="str">
        <f t="shared" si="9"/>
        <v/>
      </c>
    </row>
    <row r="587" spans="1:15" x14ac:dyDescent="0.25">
      <c r="A587" t="s">
        <v>3162</v>
      </c>
      <c r="B587" t="s">
        <v>3163</v>
      </c>
      <c r="C587" t="s">
        <v>3164</v>
      </c>
      <c r="D587">
        <v>2025</v>
      </c>
      <c r="E587" t="s">
        <v>56</v>
      </c>
      <c r="F587" t="s">
        <v>67</v>
      </c>
      <c r="G587" t="s">
        <v>3165</v>
      </c>
      <c r="H587" t="s">
        <v>3166</v>
      </c>
      <c r="I587" t="s">
        <v>3167</v>
      </c>
      <c r="J587" t="s">
        <v>71</v>
      </c>
      <c r="K587" t="s">
        <v>18</v>
      </c>
      <c r="L587" t="s">
        <v>72</v>
      </c>
      <c r="M587" t="s">
        <v>72</v>
      </c>
      <c r="N587" s="5"/>
      <c r="O587" t="str">
        <f t="shared" si="9"/>
        <v/>
      </c>
    </row>
    <row r="588" spans="1:15" x14ac:dyDescent="0.25">
      <c r="A588" t="s">
        <v>3168</v>
      </c>
      <c r="B588" t="s">
        <v>3169</v>
      </c>
      <c r="C588" t="s">
        <v>3170</v>
      </c>
      <c r="D588">
        <v>2025</v>
      </c>
      <c r="E588" t="s">
        <v>56</v>
      </c>
      <c r="F588" t="s">
        <v>67</v>
      </c>
      <c r="G588" t="s">
        <v>2951</v>
      </c>
      <c r="H588" t="s">
        <v>3171</v>
      </c>
      <c r="I588" t="s">
        <v>3172</v>
      </c>
      <c r="J588" t="s">
        <v>71</v>
      </c>
      <c r="K588" t="s">
        <v>18</v>
      </c>
      <c r="L588" t="s">
        <v>72</v>
      </c>
      <c r="M588" t="s">
        <v>72</v>
      </c>
      <c r="N588" s="5"/>
      <c r="O588" t="str">
        <f t="shared" si="9"/>
        <v/>
      </c>
    </row>
    <row r="589" spans="1:15" x14ac:dyDescent="0.25">
      <c r="A589" t="s">
        <v>3173</v>
      </c>
      <c r="B589" t="s">
        <v>3169</v>
      </c>
      <c r="C589" t="s">
        <v>3174</v>
      </c>
      <c r="D589">
        <v>2025</v>
      </c>
      <c r="E589" t="s">
        <v>56</v>
      </c>
      <c r="F589" t="s">
        <v>67</v>
      </c>
      <c r="G589" t="s">
        <v>2956</v>
      </c>
      <c r="H589" t="s">
        <v>3171</v>
      </c>
      <c r="I589" t="s">
        <v>3175</v>
      </c>
      <c r="J589" t="s">
        <v>71</v>
      </c>
      <c r="K589" t="s">
        <v>18</v>
      </c>
      <c r="L589" t="s">
        <v>72</v>
      </c>
      <c r="M589" t="s">
        <v>72</v>
      </c>
      <c r="N589" s="5"/>
      <c r="O589" t="str">
        <f t="shared" si="9"/>
        <v/>
      </c>
    </row>
    <row r="590" spans="1:15" x14ac:dyDescent="0.25">
      <c r="A590" t="s">
        <v>3176</v>
      </c>
      <c r="B590" t="s">
        <v>3177</v>
      </c>
      <c r="C590" t="s">
        <v>3178</v>
      </c>
      <c r="D590">
        <v>2025</v>
      </c>
      <c r="E590" t="s">
        <v>56</v>
      </c>
      <c r="F590" t="s">
        <v>67</v>
      </c>
      <c r="G590" t="s">
        <v>3179</v>
      </c>
      <c r="H590" t="s">
        <v>3180</v>
      </c>
      <c r="I590" t="s">
        <v>3181</v>
      </c>
      <c r="J590" t="s">
        <v>71</v>
      </c>
      <c r="K590" t="s">
        <v>18</v>
      </c>
      <c r="L590" t="s">
        <v>72</v>
      </c>
      <c r="M590" t="s">
        <v>72</v>
      </c>
      <c r="N590" s="5"/>
      <c r="O590" t="str">
        <f t="shared" si="9"/>
        <v/>
      </c>
    </row>
    <row r="591" spans="1:15" x14ac:dyDescent="0.25">
      <c r="A591" t="s">
        <v>3182</v>
      </c>
      <c r="B591" t="s">
        <v>3183</v>
      </c>
      <c r="C591" t="s">
        <v>325</v>
      </c>
      <c r="D591">
        <v>2025</v>
      </c>
      <c r="E591" t="s">
        <v>56</v>
      </c>
      <c r="F591" t="s">
        <v>67</v>
      </c>
      <c r="G591" t="s">
        <v>679</v>
      </c>
      <c r="H591" t="s">
        <v>3184</v>
      </c>
      <c r="I591" t="s">
        <v>3185</v>
      </c>
      <c r="J591" t="s">
        <v>87</v>
      </c>
      <c r="K591" t="s">
        <v>19</v>
      </c>
      <c r="L591" t="s">
        <v>72</v>
      </c>
      <c r="M591" t="s">
        <v>72</v>
      </c>
      <c r="N591" s="5"/>
      <c r="O591" t="str">
        <f t="shared" si="9"/>
        <v/>
      </c>
    </row>
    <row r="592" spans="1:15" x14ac:dyDescent="0.25">
      <c r="A592" t="s">
        <v>3186</v>
      </c>
      <c r="B592" t="s">
        <v>3187</v>
      </c>
      <c r="C592" t="s">
        <v>661</v>
      </c>
      <c r="D592">
        <v>2025</v>
      </c>
      <c r="E592" t="s">
        <v>56</v>
      </c>
      <c r="F592" t="s">
        <v>57</v>
      </c>
      <c r="G592" t="s">
        <v>825</v>
      </c>
      <c r="H592" t="s">
        <v>3188</v>
      </c>
      <c r="I592" t="s">
        <v>3189</v>
      </c>
      <c r="J592" t="s">
        <v>71</v>
      </c>
      <c r="K592" t="s">
        <v>18</v>
      </c>
      <c r="L592" t="s">
        <v>72</v>
      </c>
      <c r="M592" t="s">
        <v>72</v>
      </c>
      <c r="N592" s="5"/>
      <c r="O592" t="str">
        <f t="shared" si="9"/>
        <v/>
      </c>
    </row>
    <row r="593" spans="1:15" x14ac:dyDescent="0.25">
      <c r="A593" t="s">
        <v>3190</v>
      </c>
      <c r="B593" t="s">
        <v>3191</v>
      </c>
      <c r="C593" t="s">
        <v>1749</v>
      </c>
      <c r="D593">
        <v>2025</v>
      </c>
      <c r="E593" t="s">
        <v>56</v>
      </c>
      <c r="F593" t="s">
        <v>57</v>
      </c>
      <c r="G593" t="s">
        <v>279</v>
      </c>
      <c r="H593" t="s">
        <v>3192</v>
      </c>
      <c r="I593" t="s">
        <v>3193</v>
      </c>
      <c r="J593" t="s">
        <v>87</v>
      </c>
      <c r="K593" t="s">
        <v>19</v>
      </c>
      <c r="L593" t="s">
        <v>72</v>
      </c>
      <c r="M593" t="s">
        <v>72</v>
      </c>
      <c r="N593" s="5"/>
      <c r="O593" t="str">
        <f t="shared" si="9"/>
        <v/>
      </c>
    </row>
    <row r="594" spans="1:15" x14ac:dyDescent="0.25">
      <c r="A594" t="s">
        <v>3194</v>
      </c>
      <c r="B594" t="s">
        <v>3195</v>
      </c>
      <c r="C594" t="s">
        <v>3196</v>
      </c>
      <c r="D594">
        <v>2025</v>
      </c>
      <c r="E594" t="s">
        <v>56</v>
      </c>
      <c r="F594" t="s">
        <v>67</v>
      </c>
      <c r="G594" t="s">
        <v>151</v>
      </c>
      <c r="H594" t="s">
        <v>3197</v>
      </c>
      <c r="I594" t="s">
        <v>3198</v>
      </c>
      <c r="J594" t="s">
        <v>71</v>
      </c>
      <c r="K594" t="s">
        <v>18</v>
      </c>
      <c r="L594" t="s">
        <v>72</v>
      </c>
      <c r="M594" t="s">
        <v>72</v>
      </c>
      <c r="N594" s="5"/>
      <c r="O594" t="str">
        <f t="shared" si="9"/>
        <v/>
      </c>
    </row>
    <row r="595" spans="1:15" x14ac:dyDescent="0.25">
      <c r="A595" t="s">
        <v>3199</v>
      </c>
      <c r="B595" t="s">
        <v>3200</v>
      </c>
      <c r="C595" t="s">
        <v>3201</v>
      </c>
      <c r="D595">
        <v>2025</v>
      </c>
      <c r="E595" t="s">
        <v>56</v>
      </c>
      <c r="F595" t="s">
        <v>57</v>
      </c>
      <c r="G595" t="s">
        <v>853</v>
      </c>
      <c r="H595" t="s">
        <v>3202</v>
      </c>
      <c r="I595" t="s">
        <v>3203</v>
      </c>
      <c r="J595" t="s">
        <v>87</v>
      </c>
      <c r="K595" t="s">
        <v>19</v>
      </c>
      <c r="L595" t="s">
        <v>72</v>
      </c>
      <c r="M595" t="s">
        <v>72</v>
      </c>
      <c r="N595" s="5"/>
      <c r="O595" t="str">
        <f t="shared" si="9"/>
        <v/>
      </c>
    </row>
    <row r="596" spans="1:15" x14ac:dyDescent="0.25">
      <c r="A596" t="s">
        <v>3204</v>
      </c>
      <c r="B596" t="s">
        <v>3205</v>
      </c>
      <c r="C596" t="s">
        <v>3206</v>
      </c>
      <c r="D596">
        <v>2025</v>
      </c>
      <c r="E596" t="s">
        <v>56</v>
      </c>
      <c r="F596" t="s">
        <v>67</v>
      </c>
      <c r="G596" t="s">
        <v>3207</v>
      </c>
      <c r="H596" t="s">
        <v>3208</v>
      </c>
      <c r="I596" t="s">
        <v>3209</v>
      </c>
      <c r="J596" t="s">
        <v>71</v>
      </c>
      <c r="K596" t="s">
        <v>18</v>
      </c>
      <c r="L596" t="s">
        <v>72</v>
      </c>
      <c r="M596" t="s">
        <v>72</v>
      </c>
      <c r="N596" s="5"/>
      <c r="O596" t="str">
        <f t="shared" si="9"/>
        <v/>
      </c>
    </row>
    <row r="597" spans="1:15" x14ac:dyDescent="0.25">
      <c r="A597" t="s">
        <v>3210</v>
      </c>
      <c r="B597" t="s">
        <v>3211</v>
      </c>
      <c r="C597" t="s">
        <v>3212</v>
      </c>
      <c r="D597">
        <v>2025</v>
      </c>
      <c r="E597" t="s">
        <v>56</v>
      </c>
      <c r="F597" t="s">
        <v>57</v>
      </c>
      <c r="G597" t="s">
        <v>418</v>
      </c>
      <c r="H597" t="s">
        <v>3213</v>
      </c>
      <c r="I597" t="s">
        <v>3214</v>
      </c>
      <c r="J597" t="s">
        <v>79</v>
      </c>
      <c r="K597" t="s">
        <v>80</v>
      </c>
      <c r="L597" t="s">
        <v>72</v>
      </c>
      <c r="M597" t="s">
        <v>72</v>
      </c>
      <c r="N597" s="5"/>
      <c r="O597" t="str">
        <f t="shared" si="9"/>
        <v/>
      </c>
    </row>
    <row r="598" spans="1:15" x14ac:dyDescent="0.25">
      <c r="A598" t="s">
        <v>3215</v>
      </c>
      <c r="B598" t="s">
        <v>3216</v>
      </c>
      <c r="C598" t="s">
        <v>571</v>
      </c>
      <c r="D598">
        <v>2025</v>
      </c>
      <c r="E598" t="s">
        <v>56</v>
      </c>
      <c r="F598" t="s">
        <v>57</v>
      </c>
      <c r="G598" t="s">
        <v>3217</v>
      </c>
      <c r="H598" t="s">
        <v>3218</v>
      </c>
      <c r="I598" t="s">
        <v>3219</v>
      </c>
      <c r="J598" t="s">
        <v>61</v>
      </c>
      <c r="K598" t="s">
        <v>62</v>
      </c>
      <c r="L598" t="s">
        <v>63</v>
      </c>
      <c r="M598" t="s">
        <v>63</v>
      </c>
      <c r="N598" s="5"/>
      <c r="O598" t="str">
        <f t="shared" si="9"/>
        <v/>
      </c>
    </row>
    <row r="599" spans="1:15" x14ac:dyDescent="0.25">
      <c r="A599" t="s">
        <v>3220</v>
      </c>
      <c r="B599" t="s">
        <v>3221</v>
      </c>
      <c r="C599" t="s">
        <v>3222</v>
      </c>
      <c r="D599">
        <v>2025</v>
      </c>
      <c r="E599" t="s">
        <v>56</v>
      </c>
      <c r="F599" t="s">
        <v>67</v>
      </c>
      <c r="G599" t="s">
        <v>3223</v>
      </c>
      <c r="H599" t="s">
        <v>3224</v>
      </c>
      <c r="I599" t="s">
        <v>3225</v>
      </c>
      <c r="J599" t="s">
        <v>87</v>
      </c>
      <c r="K599" t="s">
        <v>19</v>
      </c>
      <c r="L599" t="s">
        <v>72</v>
      </c>
      <c r="M599" t="s">
        <v>72</v>
      </c>
      <c r="N599" s="5"/>
      <c r="O599" t="str">
        <f t="shared" si="9"/>
        <v/>
      </c>
    </row>
    <row r="600" spans="1:15" x14ac:dyDescent="0.25">
      <c r="A600" t="s">
        <v>3226</v>
      </c>
      <c r="B600" t="s">
        <v>3227</v>
      </c>
      <c r="C600" t="s">
        <v>3228</v>
      </c>
      <c r="D600">
        <v>2025</v>
      </c>
      <c r="E600" t="s">
        <v>56</v>
      </c>
      <c r="F600" t="s">
        <v>67</v>
      </c>
      <c r="G600" t="s">
        <v>986</v>
      </c>
      <c r="H600" t="s">
        <v>3229</v>
      </c>
      <c r="I600" t="s">
        <v>3230</v>
      </c>
      <c r="J600" t="s">
        <v>71</v>
      </c>
      <c r="K600" t="s">
        <v>18</v>
      </c>
      <c r="L600" t="s">
        <v>72</v>
      </c>
      <c r="M600" t="s">
        <v>72</v>
      </c>
      <c r="N600" s="5"/>
      <c r="O600" t="str">
        <f t="shared" si="9"/>
        <v/>
      </c>
    </row>
    <row r="601" spans="1:15" x14ac:dyDescent="0.25">
      <c r="A601" t="s">
        <v>3231</v>
      </c>
      <c r="B601" t="s">
        <v>3232</v>
      </c>
      <c r="C601" t="s">
        <v>3233</v>
      </c>
      <c r="D601">
        <v>2025</v>
      </c>
      <c r="E601" t="s">
        <v>56</v>
      </c>
      <c r="F601" t="s">
        <v>67</v>
      </c>
      <c r="G601" t="s">
        <v>3234</v>
      </c>
      <c r="H601" t="s">
        <v>3235</v>
      </c>
      <c r="I601" t="s">
        <v>3236</v>
      </c>
      <c r="J601" t="s">
        <v>71</v>
      </c>
      <c r="K601" t="s">
        <v>18</v>
      </c>
      <c r="L601" t="s">
        <v>72</v>
      </c>
      <c r="M601" t="s">
        <v>72</v>
      </c>
      <c r="N601" s="5"/>
      <c r="O601" t="str">
        <f t="shared" si="9"/>
        <v/>
      </c>
    </row>
    <row r="602" spans="1:15" x14ac:dyDescent="0.25">
      <c r="A602" t="s">
        <v>3237</v>
      </c>
      <c r="B602" t="s">
        <v>3238</v>
      </c>
      <c r="C602" t="s">
        <v>3239</v>
      </c>
      <c r="D602">
        <v>2025</v>
      </c>
      <c r="E602" t="s">
        <v>56</v>
      </c>
      <c r="F602" t="s">
        <v>67</v>
      </c>
      <c r="G602" t="s">
        <v>3240</v>
      </c>
      <c r="H602" t="s">
        <v>3241</v>
      </c>
      <c r="I602" t="s">
        <v>3242</v>
      </c>
      <c r="J602" t="s">
        <v>87</v>
      </c>
      <c r="K602" t="s">
        <v>19</v>
      </c>
      <c r="L602" t="s">
        <v>72</v>
      </c>
      <c r="M602" t="s">
        <v>72</v>
      </c>
      <c r="N602" s="5"/>
      <c r="O602" t="str">
        <f t="shared" si="9"/>
        <v/>
      </c>
    </row>
    <row r="603" spans="1:15" x14ac:dyDescent="0.25">
      <c r="A603" t="s">
        <v>3243</v>
      </c>
      <c r="B603" t="s">
        <v>3244</v>
      </c>
      <c r="C603" t="s">
        <v>571</v>
      </c>
      <c r="D603">
        <v>2025</v>
      </c>
      <c r="E603" t="s">
        <v>56</v>
      </c>
      <c r="F603" t="s">
        <v>67</v>
      </c>
      <c r="G603" t="s">
        <v>1130</v>
      </c>
      <c r="H603" t="s">
        <v>3245</v>
      </c>
      <c r="I603" t="s">
        <v>3246</v>
      </c>
      <c r="J603" t="s">
        <v>71</v>
      </c>
      <c r="K603" t="s">
        <v>18</v>
      </c>
      <c r="L603" t="s">
        <v>72</v>
      </c>
      <c r="M603" t="s">
        <v>72</v>
      </c>
      <c r="N603" s="5"/>
      <c r="O603" t="str">
        <f t="shared" si="9"/>
        <v/>
      </c>
    </row>
    <row r="604" spans="1:15" x14ac:dyDescent="0.25">
      <c r="A604" t="s">
        <v>3247</v>
      </c>
      <c r="B604" t="s">
        <v>3248</v>
      </c>
      <c r="C604" t="s">
        <v>3249</v>
      </c>
      <c r="D604">
        <v>2025</v>
      </c>
      <c r="E604" t="s">
        <v>56</v>
      </c>
      <c r="F604" t="s">
        <v>57</v>
      </c>
      <c r="G604" t="s">
        <v>3250</v>
      </c>
      <c r="H604" t="s">
        <v>3251</v>
      </c>
      <c r="I604" t="s">
        <v>3252</v>
      </c>
      <c r="J604" t="s">
        <v>71</v>
      </c>
      <c r="K604" t="s">
        <v>18</v>
      </c>
      <c r="L604" t="s">
        <v>72</v>
      </c>
      <c r="M604" t="s">
        <v>72</v>
      </c>
      <c r="N604" s="5"/>
      <c r="O604" t="str">
        <f t="shared" si="9"/>
        <v/>
      </c>
    </row>
    <row r="605" spans="1:15" x14ac:dyDescent="0.25">
      <c r="A605" t="s">
        <v>3253</v>
      </c>
      <c r="B605" t="s">
        <v>3254</v>
      </c>
      <c r="C605" t="s">
        <v>3255</v>
      </c>
      <c r="D605">
        <v>2025</v>
      </c>
      <c r="E605" t="s">
        <v>56</v>
      </c>
      <c r="F605" t="s">
        <v>57</v>
      </c>
      <c r="G605" t="s">
        <v>3256</v>
      </c>
      <c r="H605" t="s">
        <v>3257</v>
      </c>
      <c r="I605" t="s">
        <v>3258</v>
      </c>
      <c r="J605" t="s">
        <v>61</v>
      </c>
      <c r="K605" t="s">
        <v>62</v>
      </c>
      <c r="L605" t="s">
        <v>63</v>
      </c>
      <c r="M605" t="s">
        <v>63</v>
      </c>
      <c r="N605" s="5"/>
      <c r="O605" t="str">
        <f t="shared" si="9"/>
        <v/>
      </c>
    </row>
    <row r="606" spans="1:15" x14ac:dyDescent="0.25">
      <c r="A606" t="s">
        <v>3259</v>
      </c>
      <c r="B606" t="s">
        <v>3260</v>
      </c>
      <c r="C606" t="s">
        <v>3261</v>
      </c>
      <c r="D606">
        <v>2025</v>
      </c>
      <c r="E606" t="s">
        <v>56</v>
      </c>
      <c r="F606" t="s">
        <v>57</v>
      </c>
      <c r="G606" t="s">
        <v>3262</v>
      </c>
      <c r="H606" t="s">
        <v>3263</v>
      </c>
      <c r="I606" t="s">
        <v>3264</v>
      </c>
      <c r="J606" t="s">
        <v>71</v>
      </c>
      <c r="K606" t="s">
        <v>18</v>
      </c>
      <c r="L606" t="s">
        <v>72</v>
      </c>
      <c r="M606" t="s">
        <v>72</v>
      </c>
      <c r="N606" s="5"/>
      <c r="O606" t="str">
        <f t="shared" si="9"/>
        <v/>
      </c>
    </row>
    <row r="607" spans="1:15" x14ac:dyDescent="0.25">
      <c r="A607" t="s">
        <v>3265</v>
      </c>
      <c r="B607" t="s">
        <v>3266</v>
      </c>
      <c r="C607" t="s">
        <v>3267</v>
      </c>
      <c r="D607">
        <v>2025</v>
      </c>
      <c r="E607" t="s">
        <v>56</v>
      </c>
      <c r="F607" t="s">
        <v>67</v>
      </c>
      <c r="G607" t="s">
        <v>3268</v>
      </c>
      <c r="H607" t="s">
        <v>3269</v>
      </c>
      <c r="I607" t="s">
        <v>3270</v>
      </c>
      <c r="J607" t="s">
        <v>87</v>
      </c>
      <c r="K607" t="s">
        <v>19</v>
      </c>
      <c r="L607" t="s">
        <v>72</v>
      </c>
      <c r="M607" t="s">
        <v>72</v>
      </c>
      <c r="N607" s="5"/>
      <c r="O607" t="str">
        <f t="shared" si="9"/>
        <v/>
      </c>
    </row>
    <row r="608" spans="1:15" x14ac:dyDescent="0.25">
      <c r="A608" t="s">
        <v>3271</v>
      </c>
      <c r="B608" t="s">
        <v>3272</v>
      </c>
      <c r="C608" t="s">
        <v>3273</v>
      </c>
      <c r="D608">
        <v>2025</v>
      </c>
      <c r="E608" t="s">
        <v>56</v>
      </c>
      <c r="F608" t="s">
        <v>57</v>
      </c>
      <c r="G608" t="s">
        <v>922</v>
      </c>
      <c r="H608" t="s">
        <v>3274</v>
      </c>
      <c r="I608" t="s">
        <v>3275</v>
      </c>
      <c r="J608" t="s">
        <v>87</v>
      </c>
      <c r="K608" t="s">
        <v>19</v>
      </c>
      <c r="L608" t="s">
        <v>72</v>
      </c>
      <c r="M608" t="s">
        <v>72</v>
      </c>
      <c r="N608" s="5"/>
      <c r="O608" t="str">
        <f t="shared" si="9"/>
        <v/>
      </c>
    </row>
    <row r="609" spans="1:15" x14ac:dyDescent="0.25">
      <c r="A609" t="s">
        <v>3276</v>
      </c>
      <c r="B609" t="s">
        <v>3277</v>
      </c>
      <c r="C609" t="s">
        <v>3278</v>
      </c>
      <c r="D609">
        <v>2025</v>
      </c>
      <c r="E609" t="s">
        <v>56</v>
      </c>
      <c r="F609" t="s">
        <v>67</v>
      </c>
      <c r="G609" t="s">
        <v>3279</v>
      </c>
      <c r="I609" t="s">
        <v>3280</v>
      </c>
      <c r="J609" t="s">
        <v>71</v>
      </c>
      <c r="K609" t="s">
        <v>18</v>
      </c>
      <c r="L609" t="s">
        <v>72</v>
      </c>
      <c r="M609" t="s">
        <v>72</v>
      </c>
      <c r="N609" s="5"/>
      <c r="O609" t="str">
        <f t="shared" si="9"/>
        <v/>
      </c>
    </row>
    <row r="610" spans="1:15" x14ac:dyDescent="0.25">
      <c r="A610" t="s">
        <v>3281</v>
      </c>
      <c r="B610" t="s">
        <v>3282</v>
      </c>
      <c r="C610" t="s">
        <v>3283</v>
      </c>
      <c r="D610">
        <v>2025</v>
      </c>
      <c r="E610" t="s">
        <v>56</v>
      </c>
      <c r="F610" t="s">
        <v>57</v>
      </c>
      <c r="G610" t="s">
        <v>750</v>
      </c>
      <c r="H610" t="s">
        <v>3284</v>
      </c>
      <c r="I610" t="s">
        <v>3285</v>
      </c>
      <c r="J610" t="s">
        <v>98</v>
      </c>
      <c r="K610" t="s">
        <v>99</v>
      </c>
      <c r="L610" t="s">
        <v>63</v>
      </c>
      <c r="M610" t="s">
        <v>72</v>
      </c>
      <c r="N610" s="5"/>
      <c r="O610" t="str">
        <f t="shared" si="9"/>
        <v/>
      </c>
    </row>
    <row r="611" spans="1:15" x14ac:dyDescent="0.25">
      <c r="A611" t="s">
        <v>3286</v>
      </c>
      <c r="B611" t="s">
        <v>3287</v>
      </c>
      <c r="C611" t="s">
        <v>1866</v>
      </c>
      <c r="D611">
        <v>2025</v>
      </c>
      <c r="E611" t="s">
        <v>56</v>
      </c>
      <c r="F611" t="s">
        <v>67</v>
      </c>
      <c r="G611" t="s">
        <v>3288</v>
      </c>
      <c r="H611" t="s">
        <v>3289</v>
      </c>
      <c r="I611" t="s">
        <v>3290</v>
      </c>
      <c r="J611" t="s">
        <v>71</v>
      </c>
      <c r="K611" t="s">
        <v>18</v>
      </c>
      <c r="L611" t="s">
        <v>72</v>
      </c>
      <c r="M611" t="s">
        <v>72</v>
      </c>
      <c r="N611" s="5"/>
      <c r="O611" t="str">
        <f t="shared" si="9"/>
        <v/>
      </c>
    </row>
    <row r="612" spans="1:15" x14ac:dyDescent="0.25">
      <c r="A612" t="s">
        <v>3291</v>
      </c>
      <c r="B612" t="s">
        <v>3292</v>
      </c>
      <c r="C612" t="s">
        <v>661</v>
      </c>
      <c r="D612">
        <v>2025</v>
      </c>
      <c r="E612" t="s">
        <v>56</v>
      </c>
      <c r="F612" t="s">
        <v>57</v>
      </c>
      <c r="G612" t="s">
        <v>859</v>
      </c>
      <c r="H612" t="s">
        <v>3293</v>
      </c>
      <c r="I612" t="s">
        <v>3294</v>
      </c>
      <c r="J612" t="s">
        <v>87</v>
      </c>
      <c r="K612" t="s">
        <v>19</v>
      </c>
      <c r="L612" t="s">
        <v>72</v>
      </c>
      <c r="M612" t="s">
        <v>72</v>
      </c>
      <c r="N612" s="5"/>
      <c r="O612" t="str">
        <f t="shared" si="9"/>
        <v/>
      </c>
    </row>
    <row r="613" spans="1:15" x14ac:dyDescent="0.25">
      <c r="A613" t="s">
        <v>3295</v>
      </c>
      <c r="B613" t="s">
        <v>3296</v>
      </c>
      <c r="C613" t="s">
        <v>3297</v>
      </c>
      <c r="D613">
        <v>2025</v>
      </c>
      <c r="E613" t="s">
        <v>56</v>
      </c>
      <c r="F613" t="s">
        <v>67</v>
      </c>
      <c r="G613" t="s">
        <v>84</v>
      </c>
      <c r="H613" t="s">
        <v>3298</v>
      </c>
      <c r="I613" t="s">
        <v>3299</v>
      </c>
      <c r="J613" t="s">
        <v>61</v>
      </c>
      <c r="K613" t="s">
        <v>62</v>
      </c>
      <c r="L613" t="s">
        <v>63</v>
      </c>
      <c r="M613" t="s">
        <v>63</v>
      </c>
      <c r="N613" s="5"/>
      <c r="O613" t="str">
        <f t="shared" si="9"/>
        <v/>
      </c>
    </row>
    <row r="614" spans="1:15" x14ac:dyDescent="0.25">
      <c r="A614" t="s">
        <v>3300</v>
      </c>
      <c r="B614" t="s">
        <v>3301</v>
      </c>
      <c r="C614" t="s">
        <v>3302</v>
      </c>
      <c r="D614">
        <v>2025</v>
      </c>
      <c r="E614" t="s">
        <v>56</v>
      </c>
      <c r="F614" t="s">
        <v>67</v>
      </c>
      <c r="G614" t="s">
        <v>3303</v>
      </c>
      <c r="H614" t="s">
        <v>3304</v>
      </c>
      <c r="I614" t="s">
        <v>3305</v>
      </c>
      <c r="J614" t="s">
        <v>71</v>
      </c>
      <c r="K614" t="s">
        <v>18</v>
      </c>
      <c r="L614" t="s">
        <v>72</v>
      </c>
      <c r="M614" t="s">
        <v>72</v>
      </c>
      <c r="N614" s="5"/>
      <c r="O614" t="str">
        <f t="shared" si="9"/>
        <v/>
      </c>
    </row>
    <row r="615" spans="1:15" x14ac:dyDescent="0.25">
      <c r="A615" t="s">
        <v>3306</v>
      </c>
      <c r="B615" t="s">
        <v>3307</v>
      </c>
      <c r="C615" t="s">
        <v>3308</v>
      </c>
      <c r="D615">
        <v>2025</v>
      </c>
      <c r="E615" t="s">
        <v>56</v>
      </c>
      <c r="F615" t="s">
        <v>67</v>
      </c>
      <c r="G615" t="s">
        <v>3309</v>
      </c>
      <c r="H615" t="s">
        <v>3310</v>
      </c>
      <c r="I615" t="s">
        <v>3311</v>
      </c>
      <c r="J615" t="s">
        <v>71</v>
      </c>
      <c r="K615" t="s">
        <v>18</v>
      </c>
      <c r="L615" t="s">
        <v>72</v>
      </c>
      <c r="M615" t="s">
        <v>72</v>
      </c>
      <c r="N615" s="5"/>
      <c r="O615" t="str">
        <f t="shared" si="9"/>
        <v/>
      </c>
    </row>
    <row r="616" spans="1:15" x14ac:dyDescent="0.25">
      <c r="A616" t="s">
        <v>3312</v>
      </c>
      <c r="B616" t="s">
        <v>3313</v>
      </c>
      <c r="C616" t="s">
        <v>3314</v>
      </c>
      <c r="D616">
        <v>2025</v>
      </c>
      <c r="E616" t="s">
        <v>56</v>
      </c>
      <c r="F616" t="s">
        <v>67</v>
      </c>
      <c r="G616" t="s">
        <v>3315</v>
      </c>
      <c r="H616" t="s">
        <v>3316</v>
      </c>
      <c r="I616" t="s">
        <v>3317</v>
      </c>
      <c r="J616" t="s">
        <v>71</v>
      </c>
      <c r="K616" t="s">
        <v>18</v>
      </c>
      <c r="L616" t="s">
        <v>72</v>
      </c>
      <c r="M616" t="s">
        <v>72</v>
      </c>
      <c r="N616" s="5"/>
      <c r="O616" t="str">
        <f t="shared" si="9"/>
        <v/>
      </c>
    </row>
    <row r="617" spans="1:15" x14ac:dyDescent="0.25">
      <c r="A617" t="s">
        <v>3318</v>
      </c>
      <c r="B617" t="s">
        <v>3319</v>
      </c>
      <c r="C617" t="s">
        <v>3320</v>
      </c>
      <c r="D617">
        <v>2025</v>
      </c>
      <c r="E617" t="s">
        <v>56</v>
      </c>
      <c r="F617" t="s">
        <v>67</v>
      </c>
      <c r="G617" t="s">
        <v>3321</v>
      </c>
      <c r="H617" t="s">
        <v>3322</v>
      </c>
      <c r="I617" t="s">
        <v>3323</v>
      </c>
      <c r="J617" t="s">
        <v>71</v>
      </c>
      <c r="K617" t="s">
        <v>18</v>
      </c>
      <c r="L617" t="s">
        <v>72</v>
      </c>
      <c r="M617" t="s">
        <v>72</v>
      </c>
      <c r="N617" s="5"/>
      <c r="O617" t="str">
        <f t="shared" si="9"/>
        <v/>
      </c>
    </row>
    <row r="618" spans="1:15" x14ac:dyDescent="0.25">
      <c r="A618" t="s">
        <v>3324</v>
      </c>
      <c r="B618" t="s">
        <v>3325</v>
      </c>
      <c r="C618" t="s">
        <v>3326</v>
      </c>
      <c r="D618">
        <v>2025</v>
      </c>
      <c r="E618" t="s">
        <v>56</v>
      </c>
      <c r="F618" t="s">
        <v>67</v>
      </c>
      <c r="G618" t="s">
        <v>3327</v>
      </c>
      <c r="H618" t="s">
        <v>3322</v>
      </c>
      <c r="I618" t="s">
        <v>3328</v>
      </c>
      <c r="J618" t="s">
        <v>71</v>
      </c>
      <c r="K618" t="s">
        <v>18</v>
      </c>
      <c r="L618" t="s">
        <v>72</v>
      </c>
      <c r="M618" t="s">
        <v>72</v>
      </c>
      <c r="N618" s="5"/>
      <c r="O618" t="str">
        <f t="shared" si="9"/>
        <v/>
      </c>
    </row>
    <row r="619" spans="1:15" x14ac:dyDescent="0.25">
      <c r="A619" t="s">
        <v>3329</v>
      </c>
      <c r="B619" t="s">
        <v>3330</v>
      </c>
      <c r="C619" t="s">
        <v>3331</v>
      </c>
      <c r="D619">
        <v>2025</v>
      </c>
      <c r="E619" t="s">
        <v>56</v>
      </c>
      <c r="F619" t="s">
        <v>57</v>
      </c>
      <c r="G619" t="s">
        <v>3332</v>
      </c>
      <c r="H619" t="s">
        <v>3333</v>
      </c>
      <c r="I619" t="s">
        <v>3334</v>
      </c>
      <c r="J619" t="s">
        <v>87</v>
      </c>
      <c r="K619" t="s">
        <v>19</v>
      </c>
      <c r="L619" t="s">
        <v>72</v>
      </c>
      <c r="M619" t="s">
        <v>72</v>
      </c>
      <c r="N619" s="5"/>
      <c r="O619" t="str">
        <f t="shared" si="9"/>
        <v/>
      </c>
    </row>
    <row r="620" spans="1:15" x14ac:dyDescent="0.25">
      <c r="A620" t="s">
        <v>3335</v>
      </c>
      <c r="B620" t="s">
        <v>3336</v>
      </c>
      <c r="C620" t="s">
        <v>3337</v>
      </c>
      <c r="D620">
        <v>2025</v>
      </c>
      <c r="E620" t="s">
        <v>56</v>
      </c>
      <c r="F620" t="s">
        <v>67</v>
      </c>
      <c r="G620" t="s">
        <v>3338</v>
      </c>
      <c r="H620" t="s">
        <v>3339</v>
      </c>
      <c r="I620" t="s">
        <v>3340</v>
      </c>
      <c r="J620" t="s">
        <v>71</v>
      </c>
      <c r="K620" t="s">
        <v>18</v>
      </c>
      <c r="L620" t="s">
        <v>72</v>
      </c>
      <c r="M620" t="s">
        <v>72</v>
      </c>
      <c r="N620" s="5"/>
      <c r="O620" t="str">
        <f t="shared" si="9"/>
        <v/>
      </c>
    </row>
    <row r="621" spans="1:15" x14ac:dyDescent="0.25">
      <c r="A621" t="s">
        <v>3341</v>
      </c>
      <c r="B621" t="s">
        <v>3342</v>
      </c>
      <c r="C621" t="s">
        <v>3343</v>
      </c>
      <c r="D621">
        <v>2025</v>
      </c>
      <c r="E621" t="s">
        <v>56</v>
      </c>
      <c r="F621" t="s">
        <v>67</v>
      </c>
      <c r="G621" t="s">
        <v>3344</v>
      </c>
      <c r="H621" t="s">
        <v>3345</v>
      </c>
      <c r="I621" t="s">
        <v>3346</v>
      </c>
      <c r="J621" t="s">
        <v>71</v>
      </c>
      <c r="K621" t="s">
        <v>18</v>
      </c>
      <c r="L621" t="s">
        <v>72</v>
      </c>
      <c r="M621" t="s">
        <v>72</v>
      </c>
      <c r="N621" s="5"/>
      <c r="O621" t="str">
        <f t="shared" si="9"/>
        <v/>
      </c>
    </row>
    <row r="622" spans="1:15" x14ac:dyDescent="0.25">
      <c r="A622" t="s">
        <v>3347</v>
      </c>
      <c r="B622" t="s">
        <v>3348</v>
      </c>
      <c r="C622" t="s">
        <v>3349</v>
      </c>
      <c r="D622">
        <v>2025</v>
      </c>
      <c r="E622" t="s">
        <v>56</v>
      </c>
      <c r="F622" t="s">
        <v>67</v>
      </c>
      <c r="G622" t="s">
        <v>3350</v>
      </c>
      <c r="H622" t="s">
        <v>3351</v>
      </c>
      <c r="I622" t="s">
        <v>3352</v>
      </c>
      <c r="J622" t="s">
        <v>71</v>
      </c>
      <c r="K622" t="s">
        <v>18</v>
      </c>
      <c r="L622" t="s">
        <v>72</v>
      </c>
      <c r="M622" t="s">
        <v>72</v>
      </c>
      <c r="N622" s="5"/>
      <c r="O622" t="str">
        <f t="shared" si="9"/>
        <v/>
      </c>
    </row>
    <row r="623" spans="1:15" x14ac:dyDescent="0.25">
      <c r="A623" t="s">
        <v>3353</v>
      </c>
      <c r="B623" t="s">
        <v>3348</v>
      </c>
      <c r="C623" t="s">
        <v>3354</v>
      </c>
      <c r="D623">
        <v>2025</v>
      </c>
      <c r="E623" t="s">
        <v>56</v>
      </c>
      <c r="F623" t="s">
        <v>67</v>
      </c>
      <c r="G623" t="s">
        <v>3355</v>
      </c>
      <c r="H623" t="s">
        <v>3351</v>
      </c>
      <c r="I623" t="s">
        <v>3356</v>
      </c>
      <c r="J623" t="s">
        <v>71</v>
      </c>
      <c r="K623" t="s">
        <v>18</v>
      </c>
      <c r="L623" t="s">
        <v>72</v>
      </c>
      <c r="M623" t="s">
        <v>72</v>
      </c>
      <c r="N623" s="5"/>
      <c r="O623" t="str">
        <f t="shared" si="9"/>
        <v/>
      </c>
    </row>
    <row r="624" spans="1:15" x14ac:dyDescent="0.25">
      <c r="A624" t="s">
        <v>3357</v>
      </c>
      <c r="B624" t="s">
        <v>3358</v>
      </c>
      <c r="C624" t="s">
        <v>777</v>
      </c>
      <c r="D624">
        <v>2025</v>
      </c>
      <c r="E624" t="s">
        <v>56</v>
      </c>
      <c r="F624" t="s">
        <v>67</v>
      </c>
      <c r="G624" t="s">
        <v>1130</v>
      </c>
      <c r="H624" t="s">
        <v>3359</v>
      </c>
      <c r="I624" t="s">
        <v>3360</v>
      </c>
      <c r="J624" t="s">
        <v>71</v>
      </c>
      <c r="K624" t="s">
        <v>18</v>
      </c>
      <c r="L624" t="s">
        <v>72</v>
      </c>
      <c r="M624" t="s">
        <v>72</v>
      </c>
      <c r="N624" s="5"/>
      <c r="O624" t="str">
        <f t="shared" si="9"/>
        <v/>
      </c>
    </row>
    <row r="625" spans="1:15" x14ac:dyDescent="0.25">
      <c r="A625" t="s">
        <v>3361</v>
      </c>
      <c r="B625" t="s">
        <v>3362</v>
      </c>
      <c r="C625" t="s">
        <v>3363</v>
      </c>
      <c r="D625">
        <v>2025</v>
      </c>
      <c r="E625" t="s">
        <v>56</v>
      </c>
      <c r="F625" t="s">
        <v>67</v>
      </c>
      <c r="G625" t="s">
        <v>3364</v>
      </c>
      <c r="H625" t="s">
        <v>3365</v>
      </c>
      <c r="I625" t="s">
        <v>3366</v>
      </c>
      <c r="J625" t="s">
        <v>71</v>
      </c>
      <c r="K625" t="s">
        <v>18</v>
      </c>
      <c r="L625" t="s">
        <v>72</v>
      </c>
      <c r="M625" t="s">
        <v>72</v>
      </c>
      <c r="N625" s="5"/>
      <c r="O625" t="str">
        <f t="shared" si="9"/>
        <v/>
      </c>
    </row>
    <row r="626" spans="1:15" x14ac:dyDescent="0.25">
      <c r="A626" t="s">
        <v>3367</v>
      </c>
      <c r="B626" t="s">
        <v>3368</v>
      </c>
      <c r="C626" t="s">
        <v>3369</v>
      </c>
      <c r="D626">
        <v>2025</v>
      </c>
      <c r="E626" t="s">
        <v>56</v>
      </c>
      <c r="F626" t="s">
        <v>57</v>
      </c>
      <c r="G626" t="s">
        <v>3370</v>
      </c>
      <c r="H626" t="s">
        <v>3371</v>
      </c>
      <c r="I626" t="s">
        <v>3372</v>
      </c>
      <c r="J626" t="s">
        <v>79</v>
      </c>
      <c r="K626" t="s">
        <v>80</v>
      </c>
      <c r="L626" t="s">
        <v>72</v>
      </c>
      <c r="M626" t="s">
        <v>72</v>
      </c>
      <c r="N626" s="5"/>
      <c r="O626" t="str">
        <f t="shared" si="9"/>
        <v/>
      </c>
    </row>
    <row r="627" spans="1:15" x14ac:dyDescent="0.25">
      <c r="A627" t="s">
        <v>3373</v>
      </c>
      <c r="B627" t="s">
        <v>3374</v>
      </c>
      <c r="C627" t="s">
        <v>205</v>
      </c>
      <c r="D627">
        <v>2025</v>
      </c>
      <c r="E627" t="s">
        <v>56</v>
      </c>
      <c r="F627" t="s">
        <v>67</v>
      </c>
      <c r="G627" t="s">
        <v>1409</v>
      </c>
      <c r="H627" t="s">
        <v>3375</v>
      </c>
      <c r="I627" t="s">
        <v>3376</v>
      </c>
      <c r="J627" t="s">
        <v>3377</v>
      </c>
      <c r="K627" t="s">
        <v>3378</v>
      </c>
      <c r="L627" t="s">
        <v>63</v>
      </c>
      <c r="M627" t="s">
        <v>72</v>
      </c>
      <c r="N627" s="5"/>
      <c r="O627" t="str">
        <f t="shared" si="9"/>
        <v/>
      </c>
    </row>
    <row r="628" spans="1:15" x14ac:dyDescent="0.25">
      <c r="A628" t="s">
        <v>3379</v>
      </c>
      <c r="B628" t="s">
        <v>3380</v>
      </c>
      <c r="C628" t="s">
        <v>3381</v>
      </c>
      <c r="D628">
        <v>2025</v>
      </c>
      <c r="E628" t="s">
        <v>56</v>
      </c>
      <c r="F628" t="s">
        <v>57</v>
      </c>
      <c r="G628" t="s">
        <v>3382</v>
      </c>
      <c r="H628" t="s">
        <v>3383</v>
      </c>
      <c r="I628" t="s">
        <v>3384</v>
      </c>
      <c r="J628" t="s">
        <v>79</v>
      </c>
      <c r="K628" t="s">
        <v>80</v>
      </c>
      <c r="L628" t="s">
        <v>72</v>
      </c>
      <c r="M628" t="s">
        <v>72</v>
      </c>
      <c r="N628" s="5"/>
      <c r="O628" t="str">
        <f t="shared" si="9"/>
        <v/>
      </c>
    </row>
    <row r="629" spans="1:15" x14ac:dyDescent="0.25">
      <c r="A629" t="s">
        <v>3385</v>
      </c>
      <c r="B629" t="s">
        <v>3386</v>
      </c>
      <c r="C629" t="s">
        <v>661</v>
      </c>
      <c r="D629">
        <v>2025</v>
      </c>
      <c r="E629" t="s">
        <v>56</v>
      </c>
      <c r="F629" t="s">
        <v>67</v>
      </c>
      <c r="G629" t="s">
        <v>1130</v>
      </c>
      <c r="H629" t="s">
        <v>3387</v>
      </c>
      <c r="I629" t="s">
        <v>3388</v>
      </c>
      <c r="J629" t="s">
        <v>71</v>
      </c>
      <c r="K629" t="s">
        <v>18</v>
      </c>
      <c r="L629" t="s">
        <v>72</v>
      </c>
      <c r="M629" t="s">
        <v>72</v>
      </c>
      <c r="N629" s="5"/>
      <c r="O629" t="str">
        <f t="shared" si="9"/>
        <v/>
      </c>
    </row>
    <row r="630" spans="1:15" x14ac:dyDescent="0.25">
      <c r="A630" t="s">
        <v>3389</v>
      </c>
      <c r="B630" t="s">
        <v>3390</v>
      </c>
      <c r="C630" t="s">
        <v>3391</v>
      </c>
      <c r="D630">
        <v>2025</v>
      </c>
      <c r="E630" t="s">
        <v>56</v>
      </c>
      <c r="F630" t="s">
        <v>67</v>
      </c>
      <c r="G630" t="s">
        <v>3392</v>
      </c>
      <c r="H630" t="s">
        <v>3393</v>
      </c>
      <c r="I630" t="s">
        <v>3394</v>
      </c>
      <c r="J630" t="s">
        <v>87</v>
      </c>
      <c r="K630" t="s">
        <v>19</v>
      </c>
      <c r="L630" t="s">
        <v>72</v>
      </c>
      <c r="M630" t="s">
        <v>72</v>
      </c>
      <c r="N630" s="5"/>
      <c r="O630" t="str">
        <f t="shared" si="9"/>
        <v/>
      </c>
    </row>
    <row r="631" spans="1:15" x14ac:dyDescent="0.25">
      <c r="A631" t="s">
        <v>3395</v>
      </c>
      <c r="B631" t="s">
        <v>3396</v>
      </c>
      <c r="C631" t="s">
        <v>3397</v>
      </c>
      <c r="D631">
        <v>2025</v>
      </c>
      <c r="E631" t="s">
        <v>56</v>
      </c>
      <c r="F631" t="s">
        <v>67</v>
      </c>
      <c r="G631" t="s">
        <v>3398</v>
      </c>
      <c r="H631" t="s">
        <v>3399</v>
      </c>
      <c r="I631" t="s">
        <v>3400</v>
      </c>
      <c r="J631" t="s">
        <v>71</v>
      </c>
      <c r="K631" t="s">
        <v>18</v>
      </c>
      <c r="L631" t="s">
        <v>72</v>
      </c>
      <c r="M631" t="s">
        <v>72</v>
      </c>
      <c r="N631" s="5"/>
      <c r="O631" t="str">
        <f t="shared" si="9"/>
        <v/>
      </c>
    </row>
    <row r="632" spans="1:15" x14ac:dyDescent="0.25">
      <c r="A632" t="s">
        <v>3401</v>
      </c>
      <c r="B632" t="s">
        <v>3402</v>
      </c>
      <c r="C632" t="s">
        <v>3403</v>
      </c>
      <c r="D632">
        <v>2025</v>
      </c>
      <c r="E632" t="s">
        <v>56</v>
      </c>
      <c r="F632" t="s">
        <v>67</v>
      </c>
      <c r="G632" t="s">
        <v>3404</v>
      </c>
      <c r="H632" t="s">
        <v>3405</v>
      </c>
      <c r="I632" t="s">
        <v>3406</v>
      </c>
      <c r="J632" t="s">
        <v>71</v>
      </c>
      <c r="K632" t="s">
        <v>18</v>
      </c>
      <c r="L632" t="s">
        <v>72</v>
      </c>
      <c r="M632" t="s">
        <v>72</v>
      </c>
      <c r="N632" s="5"/>
      <c r="O632" t="str">
        <f t="shared" si="9"/>
        <v/>
      </c>
    </row>
    <row r="633" spans="1:15" x14ac:dyDescent="0.25">
      <c r="A633" t="s">
        <v>3407</v>
      </c>
      <c r="B633" t="s">
        <v>3402</v>
      </c>
      <c r="C633" t="s">
        <v>3408</v>
      </c>
      <c r="D633">
        <v>2025</v>
      </c>
      <c r="E633" t="s">
        <v>56</v>
      </c>
      <c r="F633" t="s">
        <v>67</v>
      </c>
      <c r="G633" t="s">
        <v>3409</v>
      </c>
      <c r="H633" t="s">
        <v>3405</v>
      </c>
      <c r="I633" t="s">
        <v>3410</v>
      </c>
      <c r="J633" t="s">
        <v>71</v>
      </c>
      <c r="K633" t="s">
        <v>18</v>
      </c>
      <c r="L633" t="s">
        <v>72</v>
      </c>
      <c r="M633" t="s">
        <v>72</v>
      </c>
      <c r="N633" s="5"/>
      <c r="O633" t="str">
        <f t="shared" si="9"/>
        <v/>
      </c>
    </row>
    <row r="634" spans="1:15" x14ac:dyDescent="0.25">
      <c r="A634" t="s">
        <v>3411</v>
      </c>
      <c r="B634" t="s">
        <v>3412</v>
      </c>
      <c r="C634" t="s">
        <v>3413</v>
      </c>
      <c r="D634">
        <v>2025</v>
      </c>
      <c r="E634" t="s">
        <v>56</v>
      </c>
      <c r="F634" t="s">
        <v>57</v>
      </c>
      <c r="G634" t="s">
        <v>3414</v>
      </c>
      <c r="H634" t="s">
        <v>3415</v>
      </c>
      <c r="I634" t="s">
        <v>3416</v>
      </c>
      <c r="J634" t="s">
        <v>87</v>
      </c>
      <c r="K634" t="s">
        <v>19</v>
      </c>
      <c r="L634" t="s">
        <v>72</v>
      </c>
      <c r="M634" t="s">
        <v>72</v>
      </c>
      <c r="N634" s="5"/>
      <c r="O634" t="str">
        <f t="shared" si="9"/>
        <v/>
      </c>
    </row>
    <row r="635" spans="1:15" x14ac:dyDescent="0.25">
      <c r="A635" t="s">
        <v>3417</v>
      </c>
      <c r="B635" t="s">
        <v>3418</v>
      </c>
      <c r="C635" t="s">
        <v>777</v>
      </c>
      <c r="D635">
        <v>2025</v>
      </c>
      <c r="E635" t="s">
        <v>56</v>
      </c>
      <c r="F635" t="s">
        <v>67</v>
      </c>
      <c r="G635" t="s">
        <v>3044</v>
      </c>
      <c r="H635" t="s">
        <v>3419</v>
      </c>
      <c r="I635" t="s">
        <v>3420</v>
      </c>
      <c r="J635" t="s">
        <v>71</v>
      </c>
      <c r="K635" t="s">
        <v>18</v>
      </c>
      <c r="L635" t="s">
        <v>72</v>
      </c>
      <c r="M635" t="s">
        <v>72</v>
      </c>
      <c r="N635" s="5"/>
      <c r="O635" t="str">
        <f t="shared" si="9"/>
        <v/>
      </c>
    </row>
    <row r="636" spans="1:15" x14ac:dyDescent="0.25">
      <c r="A636" t="s">
        <v>3421</v>
      </c>
      <c r="B636" t="s">
        <v>3422</v>
      </c>
      <c r="C636" t="s">
        <v>1232</v>
      </c>
      <c r="D636">
        <v>2025</v>
      </c>
      <c r="E636" t="s">
        <v>56</v>
      </c>
      <c r="F636" t="s">
        <v>57</v>
      </c>
      <c r="G636" t="s">
        <v>3423</v>
      </c>
      <c r="H636" t="s">
        <v>3424</v>
      </c>
      <c r="I636" t="s">
        <v>3425</v>
      </c>
      <c r="J636" t="s">
        <v>71</v>
      </c>
      <c r="K636" t="s">
        <v>18</v>
      </c>
      <c r="L636" t="s">
        <v>72</v>
      </c>
      <c r="M636" t="s">
        <v>72</v>
      </c>
      <c r="N636" s="5"/>
      <c r="O636" t="str">
        <f t="shared" si="9"/>
        <v/>
      </c>
    </row>
    <row r="637" spans="1:15" x14ac:dyDescent="0.25">
      <c r="A637" t="s">
        <v>3426</v>
      </c>
      <c r="B637" t="s">
        <v>3427</v>
      </c>
      <c r="C637" t="s">
        <v>428</v>
      </c>
      <c r="D637">
        <v>2025</v>
      </c>
      <c r="E637" t="s">
        <v>56</v>
      </c>
      <c r="F637" t="s">
        <v>67</v>
      </c>
      <c r="G637" t="s">
        <v>3428</v>
      </c>
      <c r="H637" t="s">
        <v>3429</v>
      </c>
      <c r="I637" t="s">
        <v>3430</v>
      </c>
      <c r="J637" t="s">
        <v>71</v>
      </c>
      <c r="K637" t="s">
        <v>18</v>
      </c>
      <c r="L637" t="s">
        <v>72</v>
      </c>
      <c r="M637" t="s">
        <v>72</v>
      </c>
      <c r="N637" s="5"/>
      <c r="O637" t="str">
        <f t="shared" si="9"/>
        <v/>
      </c>
    </row>
    <row r="638" spans="1:15" x14ac:dyDescent="0.25">
      <c r="A638" t="s">
        <v>3431</v>
      </c>
      <c r="B638" t="s">
        <v>3432</v>
      </c>
      <c r="C638" t="s">
        <v>325</v>
      </c>
      <c r="D638">
        <v>2025</v>
      </c>
      <c r="E638" t="s">
        <v>56</v>
      </c>
      <c r="F638" t="s">
        <v>67</v>
      </c>
      <c r="G638" t="s">
        <v>3428</v>
      </c>
      <c r="H638" t="s">
        <v>3433</v>
      </c>
      <c r="I638" t="s">
        <v>3434</v>
      </c>
      <c r="J638" t="s">
        <v>71</v>
      </c>
      <c r="K638" t="s">
        <v>18</v>
      </c>
      <c r="L638" t="s">
        <v>72</v>
      </c>
      <c r="M638" t="s">
        <v>72</v>
      </c>
      <c r="N638" s="5"/>
      <c r="O638" t="str">
        <f t="shared" si="9"/>
        <v/>
      </c>
    </row>
    <row r="639" spans="1:15" x14ac:dyDescent="0.25">
      <c r="A639" t="s">
        <v>3435</v>
      </c>
      <c r="B639" t="s">
        <v>3436</v>
      </c>
      <c r="C639" t="s">
        <v>3437</v>
      </c>
      <c r="D639">
        <v>2025</v>
      </c>
      <c r="E639" t="s">
        <v>56</v>
      </c>
      <c r="F639" t="s">
        <v>57</v>
      </c>
      <c r="G639" t="s">
        <v>3438</v>
      </c>
      <c r="H639" t="s">
        <v>3439</v>
      </c>
      <c r="I639" t="s">
        <v>3440</v>
      </c>
      <c r="J639" t="s">
        <v>61</v>
      </c>
      <c r="K639" t="s">
        <v>62</v>
      </c>
      <c r="L639" t="s">
        <v>63</v>
      </c>
      <c r="M639" t="s">
        <v>63</v>
      </c>
      <c r="N639" s="5"/>
      <c r="O639" t="str">
        <f t="shared" si="9"/>
        <v/>
      </c>
    </row>
    <row r="640" spans="1:15" x14ac:dyDescent="0.25">
      <c r="A640" t="s">
        <v>3441</v>
      </c>
      <c r="B640" t="s">
        <v>3442</v>
      </c>
      <c r="C640" t="s">
        <v>771</v>
      </c>
      <c r="D640">
        <v>2025</v>
      </c>
      <c r="E640" t="s">
        <v>56</v>
      </c>
      <c r="F640" t="s">
        <v>67</v>
      </c>
      <c r="G640" t="s">
        <v>3398</v>
      </c>
      <c r="H640" t="s">
        <v>3443</v>
      </c>
      <c r="I640" t="s">
        <v>3444</v>
      </c>
      <c r="J640" t="s">
        <v>71</v>
      </c>
      <c r="K640" t="s">
        <v>18</v>
      </c>
      <c r="L640" t="s">
        <v>72</v>
      </c>
      <c r="M640" t="s">
        <v>72</v>
      </c>
      <c r="N640" s="5"/>
      <c r="O640" t="str">
        <f t="shared" si="9"/>
        <v/>
      </c>
    </row>
    <row r="641" spans="1:15" x14ac:dyDescent="0.25">
      <c r="A641" t="s">
        <v>3445</v>
      </c>
      <c r="B641" t="s">
        <v>3446</v>
      </c>
      <c r="C641" t="s">
        <v>1802</v>
      </c>
      <c r="D641">
        <v>2025</v>
      </c>
      <c r="E641" t="s">
        <v>56</v>
      </c>
      <c r="F641" t="s">
        <v>57</v>
      </c>
      <c r="G641" t="s">
        <v>750</v>
      </c>
      <c r="H641" t="s">
        <v>3447</v>
      </c>
      <c r="I641" t="s">
        <v>3448</v>
      </c>
      <c r="J641" t="s">
        <v>98</v>
      </c>
      <c r="K641" t="s">
        <v>99</v>
      </c>
      <c r="L641" t="s">
        <v>63</v>
      </c>
      <c r="M641" t="s">
        <v>72</v>
      </c>
      <c r="N641" s="5"/>
      <c r="O641" t="str">
        <f t="shared" si="9"/>
        <v/>
      </c>
    </row>
    <row r="642" spans="1:15" x14ac:dyDescent="0.25">
      <c r="A642" t="s">
        <v>3449</v>
      </c>
      <c r="B642" t="s">
        <v>3450</v>
      </c>
      <c r="C642" t="s">
        <v>3451</v>
      </c>
      <c r="D642">
        <v>2025</v>
      </c>
      <c r="E642" t="s">
        <v>56</v>
      </c>
      <c r="F642" t="s">
        <v>57</v>
      </c>
      <c r="G642" t="s">
        <v>750</v>
      </c>
      <c r="H642" t="s">
        <v>3452</v>
      </c>
      <c r="I642" t="s">
        <v>3453</v>
      </c>
      <c r="J642" t="s">
        <v>79</v>
      </c>
      <c r="K642" t="s">
        <v>80</v>
      </c>
      <c r="L642" t="s">
        <v>72</v>
      </c>
      <c r="M642" t="s">
        <v>72</v>
      </c>
      <c r="N642" s="5"/>
      <c r="O642" t="str">
        <f t="shared" ref="O642:O705" si="10">IF(N642="","",IF(N642=J642,1,0))</f>
        <v/>
      </c>
    </row>
    <row r="643" spans="1:15" x14ac:dyDescent="0.25">
      <c r="A643" t="s">
        <v>3454</v>
      </c>
      <c r="B643" t="s">
        <v>3455</v>
      </c>
      <c r="C643" t="s">
        <v>3456</v>
      </c>
      <c r="D643">
        <v>2025</v>
      </c>
      <c r="E643" t="s">
        <v>56</v>
      </c>
      <c r="F643" t="s">
        <v>57</v>
      </c>
      <c r="G643" t="s">
        <v>1425</v>
      </c>
      <c r="H643" t="s">
        <v>3457</v>
      </c>
      <c r="I643" t="s">
        <v>3458</v>
      </c>
      <c r="J643" t="s">
        <v>79</v>
      </c>
      <c r="K643" t="s">
        <v>80</v>
      </c>
      <c r="L643" t="s">
        <v>72</v>
      </c>
      <c r="M643" t="s">
        <v>72</v>
      </c>
      <c r="N643" s="5"/>
      <c r="O643" t="str">
        <f t="shared" si="10"/>
        <v/>
      </c>
    </row>
    <row r="644" spans="1:15" x14ac:dyDescent="0.25">
      <c r="A644" t="s">
        <v>3459</v>
      </c>
      <c r="B644" t="s">
        <v>3460</v>
      </c>
      <c r="C644" t="s">
        <v>3461</v>
      </c>
      <c r="D644">
        <v>2025</v>
      </c>
      <c r="E644" t="s">
        <v>56</v>
      </c>
      <c r="F644" t="s">
        <v>57</v>
      </c>
      <c r="G644" t="s">
        <v>3462</v>
      </c>
      <c r="H644" t="s">
        <v>3463</v>
      </c>
      <c r="I644" t="s">
        <v>3464</v>
      </c>
      <c r="J644" t="s">
        <v>79</v>
      </c>
      <c r="K644" t="s">
        <v>80</v>
      </c>
      <c r="L644" t="s">
        <v>72</v>
      </c>
      <c r="M644" t="s">
        <v>72</v>
      </c>
      <c r="N644" s="5"/>
      <c r="O644" t="str">
        <f t="shared" si="10"/>
        <v/>
      </c>
    </row>
    <row r="645" spans="1:15" x14ac:dyDescent="0.25">
      <c r="A645" t="s">
        <v>3465</v>
      </c>
      <c r="B645" t="s">
        <v>3466</v>
      </c>
      <c r="C645" t="s">
        <v>3461</v>
      </c>
      <c r="D645">
        <v>2025</v>
      </c>
      <c r="E645" t="s">
        <v>56</v>
      </c>
      <c r="F645" t="s">
        <v>57</v>
      </c>
      <c r="G645" t="s">
        <v>3467</v>
      </c>
      <c r="H645" t="s">
        <v>3463</v>
      </c>
      <c r="I645" t="s">
        <v>3468</v>
      </c>
      <c r="J645" t="s">
        <v>79</v>
      </c>
      <c r="K645" t="s">
        <v>80</v>
      </c>
      <c r="L645" t="s">
        <v>72</v>
      </c>
      <c r="M645" t="s">
        <v>72</v>
      </c>
      <c r="N645" s="5"/>
      <c r="O645" t="str">
        <f t="shared" si="10"/>
        <v/>
      </c>
    </row>
    <row r="646" spans="1:15" x14ac:dyDescent="0.25">
      <c r="A646" t="s">
        <v>3469</v>
      </c>
      <c r="B646" t="s">
        <v>3470</v>
      </c>
      <c r="C646" t="s">
        <v>3471</v>
      </c>
      <c r="D646">
        <v>2025</v>
      </c>
      <c r="E646" t="s">
        <v>56</v>
      </c>
      <c r="F646" t="s">
        <v>67</v>
      </c>
      <c r="G646" t="s">
        <v>3472</v>
      </c>
      <c r="H646" t="s">
        <v>3473</v>
      </c>
      <c r="I646" t="s">
        <v>3474</v>
      </c>
      <c r="J646" t="s">
        <v>79</v>
      </c>
      <c r="K646" t="s">
        <v>80</v>
      </c>
      <c r="L646" t="s">
        <v>72</v>
      </c>
      <c r="M646" t="s">
        <v>72</v>
      </c>
      <c r="N646" s="5"/>
      <c r="O646" t="str">
        <f t="shared" si="10"/>
        <v/>
      </c>
    </row>
    <row r="647" spans="1:15" x14ac:dyDescent="0.25">
      <c r="A647" t="s">
        <v>3475</v>
      </c>
      <c r="B647" t="s">
        <v>3476</v>
      </c>
      <c r="C647" t="s">
        <v>3477</v>
      </c>
      <c r="D647">
        <v>2025</v>
      </c>
      <c r="E647" t="s">
        <v>56</v>
      </c>
      <c r="F647" t="s">
        <v>57</v>
      </c>
      <c r="G647" t="s">
        <v>750</v>
      </c>
      <c r="H647" t="s">
        <v>3478</v>
      </c>
      <c r="I647" t="s">
        <v>3479</v>
      </c>
      <c r="J647" t="s">
        <v>87</v>
      </c>
      <c r="K647" t="s">
        <v>19</v>
      </c>
      <c r="L647" t="s">
        <v>72</v>
      </c>
      <c r="M647" t="s">
        <v>72</v>
      </c>
      <c r="N647" s="5"/>
      <c r="O647" t="str">
        <f t="shared" si="10"/>
        <v/>
      </c>
    </row>
    <row r="648" spans="1:15" x14ac:dyDescent="0.25">
      <c r="A648" t="s">
        <v>3480</v>
      </c>
      <c r="B648" t="s">
        <v>3481</v>
      </c>
      <c r="C648" t="s">
        <v>2001</v>
      </c>
      <c r="D648">
        <v>2025</v>
      </c>
      <c r="E648" t="s">
        <v>56</v>
      </c>
      <c r="F648" t="s">
        <v>57</v>
      </c>
      <c r="G648" t="s">
        <v>578</v>
      </c>
      <c r="H648" t="s">
        <v>3482</v>
      </c>
      <c r="I648" t="s">
        <v>3483</v>
      </c>
      <c r="J648" t="s">
        <v>165</v>
      </c>
      <c r="K648" t="s">
        <v>166</v>
      </c>
      <c r="L648" t="s">
        <v>63</v>
      </c>
      <c r="M648" t="s">
        <v>72</v>
      </c>
      <c r="N648" s="5"/>
      <c r="O648" t="str">
        <f t="shared" si="10"/>
        <v/>
      </c>
    </row>
    <row r="649" spans="1:15" x14ac:dyDescent="0.25">
      <c r="A649" t="s">
        <v>3484</v>
      </c>
      <c r="B649" t="s">
        <v>3485</v>
      </c>
      <c r="C649" t="s">
        <v>3153</v>
      </c>
      <c r="D649">
        <v>2025</v>
      </c>
      <c r="E649" t="s">
        <v>56</v>
      </c>
      <c r="F649" t="s">
        <v>57</v>
      </c>
      <c r="G649" t="s">
        <v>3486</v>
      </c>
      <c r="H649" t="s">
        <v>3487</v>
      </c>
      <c r="I649" t="s">
        <v>3488</v>
      </c>
      <c r="J649" t="s">
        <v>71</v>
      </c>
      <c r="K649" t="s">
        <v>18</v>
      </c>
      <c r="L649" t="s">
        <v>72</v>
      </c>
      <c r="M649" t="s">
        <v>72</v>
      </c>
      <c r="N649" s="5"/>
      <c r="O649" t="str">
        <f t="shared" si="10"/>
        <v/>
      </c>
    </row>
    <row r="650" spans="1:15" x14ac:dyDescent="0.25">
      <c r="A650" t="s">
        <v>3489</v>
      </c>
      <c r="B650" t="s">
        <v>3490</v>
      </c>
      <c r="C650" t="s">
        <v>738</v>
      </c>
      <c r="D650">
        <v>2025</v>
      </c>
      <c r="E650" t="s">
        <v>56</v>
      </c>
      <c r="F650" t="s">
        <v>57</v>
      </c>
      <c r="G650" t="s">
        <v>3491</v>
      </c>
      <c r="H650" t="s">
        <v>3492</v>
      </c>
      <c r="I650" t="s">
        <v>3493</v>
      </c>
      <c r="J650" t="s">
        <v>98</v>
      </c>
      <c r="K650" t="s">
        <v>99</v>
      </c>
      <c r="L650" t="s">
        <v>63</v>
      </c>
      <c r="M650" t="s">
        <v>72</v>
      </c>
      <c r="N650" s="5"/>
      <c r="O650" t="str">
        <f t="shared" si="10"/>
        <v/>
      </c>
    </row>
    <row r="651" spans="1:15" x14ac:dyDescent="0.25">
      <c r="A651" t="s">
        <v>3494</v>
      </c>
      <c r="B651" t="s">
        <v>3495</v>
      </c>
      <c r="C651" t="s">
        <v>2806</v>
      </c>
      <c r="D651">
        <v>2025</v>
      </c>
      <c r="E651" t="s">
        <v>56</v>
      </c>
      <c r="F651" t="s">
        <v>67</v>
      </c>
      <c r="G651" t="s">
        <v>84</v>
      </c>
      <c r="H651" t="s">
        <v>3496</v>
      </c>
      <c r="I651" t="s">
        <v>3497</v>
      </c>
      <c r="J651" t="s">
        <v>71</v>
      </c>
      <c r="K651" t="s">
        <v>18</v>
      </c>
      <c r="L651" t="s">
        <v>72</v>
      </c>
      <c r="M651" t="s">
        <v>72</v>
      </c>
      <c r="N651" s="5"/>
      <c r="O651" t="str">
        <f t="shared" si="10"/>
        <v/>
      </c>
    </row>
    <row r="652" spans="1:15" x14ac:dyDescent="0.25">
      <c r="A652" t="s">
        <v>3498</v>
      </c>
      <c r="B652" t="s">
        <v>3499</v>
      </c>
      <c r="C652" t="s">
        <v>3500</v>
      </c>
      <c r="D652">
        <v>2025</v>
      </c>
      <c r="E652" t="s">
        <v>56</v>
      </c>
      <c r="F652" t="s">
        <v>57</v>
      </c>
      <c r="G652" t="s">
        <v>766</v>
      </c>
      <c r="H652" t="s">
        <v>3501</v>
      </c>
      <c r="I652" t="s">
        <v>3502</v>
      </c>
      <c r="J652" t="s">
        <v>61</v>
      </c>
      <c r="K652" t="s">
        <v>62</v>
      </c>
      <c r="L652" t="s">
        <v>63</v>
      </c>
      <c r="M652" t="s">
        <v>63</v>
      </c>
      <c r="N652" s="5"/>
      <c r="O652" t="str">
        <f t="shared" si="10"/>
        <v/>
      </c>
    </row>
    <row r="653" spans="1:15" x14ac:dyDescent="0.25">
      <c r="A653" t="s">
        <v>3503</v>
      </c>
      <c r="B653" t="s">
        <v>3504</v>
      </c>
      <c r="C653" t="s">
        <v>3505</v>
      </c>
      <c r="D653">
        <v>2025</v>
      </c>
      <c r="E653" t="s">
        <v>56</v>
      </c>
      <c r="F653" t="s">
        <v>57</v>
      </c>
      <c r="G653" t="s">
        <v>788</v>
      </c>
      <c r="H653" t="s">
        <v>3506</v>
      </c>
      <c r="I653" t="s">
        <v>3507</v>
      </c>
      <c r="J653" t="s">
        <v>79</v>
      </c>
      <c r="K653" t="s">
        <v>80</v>
      </c>
      <c r="L653" t="s">
        <v>72</v>
      </c>
      <c r="M653" t="s">
        <v>72</v>
      </c>
      <c r="N653" s="5"/>
      <c r="O653" t="str">
        <f t="shared" si="10"/>
        <v/>
      </c>
    </row>
    <row r="654" spans="1:15" x14ac:dyDescent="0.25">
      <c r="A654" t="s">
        <v>3508</v>
      </c>
      <c r="B654" t="s">
        <v>3509</v>
      </c>
      <c r="C654" t="s">
        <v>3510</v>
      </c>
      <c r="D654">
        <v>2025</v>
      </c>
      <c r="E654" t="s">
        <v>56</v>
      </c>
      <c r="F654" t="s">
        <v>67</v>
      </c>
      <c r="G654" t="s">
        <v>3511</v>
      </c>
      <c r="H654" t="s">
        <v>3512</v>
      </c>
      <c r="I654" t="s">
        <v>3513</v>
      </c>
      <c r="J654" t="s">
        <v>79</v>
      </c>
      <c r="K654" t="s">
        <v>80</v>
      </c>
      <c r="L654" t="s">
        <v>72</v>
      </c>
      <c r="M654" t="s">
        <v>72</v>
      </c>
      <c r="N654" s="5"/>
      <c r="O654" t="str">
        <f t="shared" si="10"/>
        <v/>
      </c>
    </row>
    <row r="655" spans="1:15" x14ac:dyDescent="0.25">
      <c r="A655" t="s">
        <v>3514</v>
      </c>
      <c r="B655" t="s">
        <v>3515</v>
      </c>
      <c r="C655" t="s">
        <v>428</v>
      </c>
      <c r="D655">
        <v>2025</v>
      </c>
      <c r="E655" t="s">
        <v>56</v>
      </c>
      <c r="F655" t="s">
        <v>57</v>
      </c>
      <c r="G655" t="s">
        <v>739</v>
      </c>
      <c r="H655" t="s">
        <v>3516</v>
      </c>
      <c r="I655" t="s">
        <v>3517</v>
      </c>
      <c r="J655" t="s">
        <v>87</v>
      </c>
      <c r="K655" t="s">
        <v>19</v>
      </c>
      <c r="L655" t="s">
        <v>72</v>
      </c>
      <c r="M655" t="s">
        <v>72</v>
      </c>
      <c r="N655" s="5"/>
      <c r="O655" t="str">
        <f t="shared" si="10"/>
        <v/>
      </c>
    </row>
    <row r="656" spans="1:15" x14ac:dyDescent="0.25">
      <c r="A656" t="s">
        <v>3518</v>
      </c>
      <c r="B656" t="s">
        <v>3519</v>
      </c>
      <c r="C656" t="s">
        <v>175</v>
      </c>
      <c r="D656">
        <v>2025</v>
      </c>
      <c r="E656" t="s">
        <v>56</v>
      </c>
      <c r="F656" t="s">
        <v>67</v>
      </c>
      <c r="G656" t="s">
        <v>679</v>
      </c>
      <c r="H656" t="s">
        <v>3520</v>
      </c>
      <c r="I656" t="s">
        <v>3521</v>
      </c>
      <c r="J656" t="s">
        <v>71</v>
      </c>
      <c r="K656" t="s">
        <v>18</v>
      </c>
      <c r="L656" t="s">
        <v>72</v>
      </c>
      <c r="M656" t="s">
        <v>72</v>
      </c>
      <c r="N656" s="5"/>
      <c r="O656" t="str">
        <f t="shared" si="10"/>
        <v/>
      </c>
    </row>
    <row r="657" spans="1:15" x14ac:dyDescent="0.25">
      <c r="A657" t="s">
        <v>3522</v>
      </c>
      <c r="B657" t="s">
        <v>3523</v>
      </c>
      <c r="C657" t="s">
        <v>3524</v>
      </c>
      <c r="D657">
        <v>2025</v>
      </c>
      <c r="E657" t="s">
        <v>56</v>
      </c>
      <c r="F657" t="s">
        <v>67</v>
      </c>
      <c r="G657" t="s">
        <v>3525</v>
      </c>
      <c r="H657" t="s">
        <v>3526</v>
      </c>
      <c r="I657" t="s">
        <v>3527</v>
      </c>
      <c r="J657" t="s">
        <v>71</v>
      </c>
      <c r="K657" t="s">
        <v>18</v>
      </c>
      <c r="L657" t="s">
        <v>72</v>
      </c>
      <c r="M657" t="s">
        <v>72</v>
      </c>
      <c r="N657" s="5"/>
      <c r="O657" t="str">
        <f t="shared" si="10"/>
        <v/>
      </c>
    </row>
    <row r="658" spans="1:15" x14ac:dyDescent="0.25">
      <c r="A658" t="s">
        <v>3528</v>
      </c>
      <c r="B658" t="s">
        <v>3529</v>
      </c>
      <c r="C658" t="s">
        <v>3530</v>
      </c>
      <c r="D658">
        <v>2025</v>
      </c>
      <c r="E658" t="s">
        <v>56</v>
      </c>
      <c r="F658" t="s">
        <v>67</v>
      </c>
      <c r="G658" t="s">
        <v>2119</v>
      </c>
      <c r="H658" t="s">
        <v>3531</v>
      </c>
      <c r="I658" t="s">
        <v>3532</v>
      </c>
      <c r="J658" t="s">
        <v>71</v>
      </c>
      <c r="K658" t="s">
        <v>18</v>
      </c>
      <c r="L658" t="s">
        <v>72</v>
      </c>
      <c r="M658" t="s">
        <v>72</v>
      </c>
      <c r="N658" s="5"/>
      <c r="O658" t="str">
        <f t="shared" si="10"/>
        <v/>
      </c>
    </row>
    <row r="659" spans="1:15" x14ac:dyDescent="0.25">
      <c r="A659" t="s">
        <v>3533</v>
      </c>
      <c r="B659" t="s">
        <v>3534</v>
      </c>
      <c r="C659" t="s">
        <v>3535</v>
      </c>
      <c r="D659">
        <v>2025</v>
      </c>
      <c r="E659" t="s">
        <v>56</v>
      </c>
      <c r="F659" t="s">
        <v>67</v>
      </c>
      <c r="G659" t="s">
        <v>679</v>
      </c>
      <c r="H659" t="s">
        <v>3536</v>
      </c>
      <c r="I659" t="s">
        <v>3537</v>
      </c>
      <c r="J659" t="s">
        <v>165</v>
      </c>
      <c r="K659" t="s">
        <v>166</v>
      </c>
      <c r="L659" t="s">
        <v>63</v>
      </c>
      <c r="M659" t="s">
        <v>72</v>
      </c>
      <c r="N659" s="5"/>
      <c r="O659" t="str">
        <f t="shared" si="10"/>
        <v/>
      </c>
    </row>
    <row r="660" spans="1:15" x14ac:dyDescent="0.25">
      <c r="A660" t="s">
        <v>3538</v>
      </c>
      <c r="B660" t="s">
        <v>3539</v>
      </c>
      <c r="C660" t="s">
        <v>3540</v>
      </c>
      <c r="D660">
        <v>2025</v>
      </c>
      <c r="E660" t="s">
        <v>56</v>
      </c>
      <c r="F660" t="s">
        <v>67</v>
      </c>
      <c r="G660" t="s">
        <v>3541</v>
      </c>
      <c r="H660" t="s">
        <v>3542</v>
      </c>
      <c r="I660" t="s">
        <v>3543</v>
      </c>
      <c r="J660" t="s">
        <v>71</v>
      </c>
      <c r="K660" t="s">
        <v>18</v>
      </c>
      <c r="L660" t="s">
        <v>72</v>
      </c>
      <c r="M660" t="s">
        <v>72</v>
      </c>
      <c r="N660" s="5"/>
      <c r="O660" t="str">
        <f t="shared" si="10"/>
        <v/>
      </c>
    </row>
    <row r="661" spans="1:15" x14ac:dyDescent="0.25">
      <c r="A661" t="s">
        <v>3544</v>
      </c>
      <c r="B661" t="s">
        <v>3545</v>
      </c>
      <c r="C661" t="s">
        <v>3546</v>
      </c>
      <c r="D661">
        <v>2025</v>
      </c>
      <c r="E661" t="s">
        <v>56</v>
      </c>
      <c r="F661" t="s">
        <v>67</v>
      </c>
      <c r="G661" t="s">
        <v>3547</v>
      </c>
      <c r="H661" t="s">
        <v>3548</v>
      </c>
      <c r="I661" t="s">
        <v>3549</v>
      </c>
      <c r="J661" t="s">
        <v>71</v>
      </c>
      <c r="K661" t="s">
        <v>18</v>
      </c>
      <c r="L661" t="s">
        <v>72</v>
      </c>
      <c r="M661" t="s">
        <v>72</v>
      </c>
      <c r="N661" s="5"/>
      <c r="O661" t="str">
        <f t="shared" si="10"/>
        <v/>
      </c>
    </row>
    <row r="662" spans="1:15" x14ac:dyDescent="0.25">
      <c r="A662" t="s">
        <v>3550</v>
      </c>
      <c r="B662" t="s">
        <v>3551</v>
      </c>
      <c r="C662" t="s">
        <v>991</v>
      </c>
      <c r="D662">
        <v>2025</v>
      </c>
      <c r="E662" t="s">
        <v>56</v>
      </c>
      <c r="F662" t="s">
        <v>67</v>
      </c>
      <c r="G662" t="s">
        <v>3552</v>
      </c>
      <c r="H662" t="s">
        <v>3553</v>
      </c>
      <c r="I662" t="s">
        <v>3554</v>
      </c>
      <c r="J662" t="s">
        <v>71</v>
      </c>
      <c r="K662" t="s">
        <v>18</v>
      </c>
      <c r="L662" t="s">
        <v>72</v>
      </c>
      <c r="M662" t="s">
        <v>72</v>
      </c>
      <c r="N662" s="5"/>
      <c r="O662" t="str">
        <f t="shared" si="10"/>
        <v/>
      </c>
    </row>
    <row r="663" spans="1:15" x14ac:dyDescent="0.25">
      <c r="A663" t="s">
        <v>3555</v>
      </c>
      <c r="B663" t="s">
        <v>3556</v>
      </c>
      <c r="C663" t="s">
        <v>205</v>
      </c>
      <c r="D663">
        <v>2025</v>
      </c>
      <c r="E663" t="s">
        <v>56</v>
      </c>
      <c r="F663" t="s">
        <v>67</v>
      </c>
      <c r="G663" t="s">
        <v>3557</v>
      </c>
      <c r="H663" t="s">
        <v>3558</v>
      </c>
      <c r="I663" t="s">
        <v>3559</v>
      </c>
      <c r="J663" t="s">
        <v>87</v>
      </c>
      <c r="K663" t="s">
        <v>19</v>
      </c>
      <c r="L663" t="s">
        <v>72</v>
      </c>
      <c r="M663" t="s">
        <v>72</v>
      </c>
      <c r="N663" s="5"/>
      <c r="O663" t="str">
        <f t="shared" si="10"/>
        <v/>
      </c>
    </row>
    <row r="664" spans="1:15" x14ac:dyDescent="0.25">
      <c r="A664" t="s">
        <v>3560</v>
      </c>
      <c r="B664" t="s">
        <v>3561</v>
      </c>
      <c r="C664" t="s">
        <v>3562</v>
      </c>
      <c r="D664">
        <v>2025</v>
      </c>
      <c r="E664" t="s">
        <v>56</v>
      </c>
      <c r="F664" t="s">
        <v>67</v>
      </c>
      <c r="G664" t="s">
        <v>84</v>
      </c>
      <c r="H664" t="s">
        <v>3563</v>
      </c>
      <c r="I664" t="s">
        <v>3564</v>
      </c>
      <c r="J664" t="s">
        <v>87</v>
      </c>
      <c r="K664" t="s">
        <v>19</v>
      </c>
      <c r="L664" t="s">
        <v>72</v>
      </c>
      <c r="M664" t="s">
        <v>72</v>
      </c>
      <c r="N664" s="5"/>
      <c r="O664" t="str">
        <f t="shared" si="10"/>
        <v/>
      </c>
    </row>
    <row r="665" spans="1:15" x14ac:dyDescent="0.25">
      <c r="A665" t="s">
        <v>3565</v>
      </c>
      <c r="B665" t="s">
        <v>3566</v>
      </c>
      <c r="C665" t="s">
        <v>325</v>
      </c>
      <c r="D665">
        <v>2025</v>
      </c>
      <c r="E665" t="s">
        <v>56</v>
      </c>
      <c r="F665" t="s">
        <v>67</v>
      </c>
      <c r="G665" t="s">
        <v>3567</v>
      </c>
      <c r="H665" t="s">
        <v>3568</v>
      </c>
      <c r="I665" t="s">
        <v>3569</v>
      </c>
      <c r="J665" t="s">
        <v>98</v>
      </c>
      <c r="K665" t="s">
        <v>99</v>
      </c>
      <c r="L665" t="s">
        <v>63</v>
      </c>
      <c r="M665" t="s">
        <v>72</v>
      </c>
      <c r="N665" s="5"/>
      <c r="O665" t="str">
        <f t="shared" si="10"/>
        <v/>
      </c>
    </row>
    <row r="666" spans="1:15" x14ac:dyDescent="0.25">
      <c r="A666" t="s">
        <v>3570</v>
      </c>
      <c r="B666" t="s">
        <v>3571</v>
      </c>
      <c r="C666" t="s">
        <v>3572</v>
      </c>
      <c r="D666">
        <v>2025</v>
      </c>
      <c r="E666" t="s">
        <v>56</v>
      </c>
      <c r="F666" t="s">
        <v>67</v>
      </c>
      <c r="G666" t="s">
        <v>3573</v>
      </c>
      <c r="H666" t="s">
        <v>3574</v>
      </c>
      <c r="I666" t="s">
        <v>3575</v>
      </c>
      <c r="J666" t="s">
        <v>79</v>
      </c>
      <c r="K666" t="s">
        <v>80</v>
      </c>
      <c r="L666" t="s">
        <v>72</v>
      </c>
      <c r="M666" t="s">
        <v>72</v>
      </c>
      <c r="N666" s="5"/>
      <c r="O666" t="str">
        <f t="shared" si="10"/>
        <v/>
      </c>
    </row>
    <row r="667" spans="1:15" x14ac:dyDescent="0.25">
      <c r="A667" t="s">
        <v>3576</v>
      </c>
      <c r="B667" t="s">
        <v>3577</v>
      </c>
      <c r="C667" t="s">
        <v>117</v>
      </c>
      <c r="D667">
        <v>2025</v>
      </c>
      <c r="E667" t="s">
        <v>56</v>
      </c>
      <c r="F667" t="s">
        <v>67</v>
      </c>
      <c r="G667" t="s">
        <v>3428</v>
      </c>
      <c r="H667" t="s">
        <v>3578</v>
      </c>
      <c r="I667" t="s">
        <v>3579</v>
      </c>
      <c r="J667" t="s">
        <v>71</v>
      </c>
      <c r="K667" t="s">
        <v>18</v>
      </c>
      <c r="L667" t="s">
        <v>72</v>
      </c>
      <c r="M667" t="s">
        <v>72</v>
      </c>
      <c r="N667" s="5"/>
      <c r="O667" t="str">
        <f t="shared" si="10"/>
        <v/>
      </c>
    </row>
    <row r="668" spans="1:15" x14ac:dyDescent="0.25">
      <c r="A668" t="s">
        <v>3580</v>
      </c>
      <c r="B668" t="s">
        <v>3581</v>
      </c>
      <c r="C668" t="s">
        <v>83</v>
      </c>
      <c r="D668">
        <v>2025</v>
      </c>
      <c r="E668" t="s">
        <v>56</v>
      </c>
      <c r="F668" t="s">
        <v>67</v>
      </c>
      <c r="G668" t="s">
        <v>188</v>
      </c>
      <c r="H668" t="s">
        <v>3582</v>
      </c>
      <c r="I668" t="s">
        <v>3583</v>
      </c>
      <c r="J668" t="s">
        <v>87</v>
      </c>
      <c r="K668" t="s">
        <v>19</v>
      </c>
      <c r="L668" t="s">
        <v>72</v>
      </c>
      <c r="M668" t="s">
        <v>72</v>
      </c>
      <c r="N668" s="5"/>
      <c r="O668" t="str">
        <f t="shared" si="10"/>
        <v/>
      </c>
    </row>
    <row r="669" spans="1:15" x14ac:dyDescent="0.25">
      <c r="A669" t="s">
        <v>3584</v>
      </c>
      <c r="B669" t="s">
        <v>3585</v>
      </c>
      <c r="C669" t="s">
        <v>3586</v>
      </c>
      <c r="D669">
        <v>2025</v>
      </c>
      <c r="E669" t="s">
        <v>56</v>
      </c>
      <c r="F669" t="s">
        <v>57</v>
      </c>
      <c r="G669" t="s">
        <v>1076</v>
      </c>
      <c r="H669" t="s">
        <v>3587</v>
      </c>
      <c r="I669" t="s">
        <v>3588</v>
      </c>
      <c r="J669" t="s">
        <v>71</v>
      </c>
      <c r="K669" t="s">
        <v>18</v>
      </c>
      <c r="L669" t="s">
        <v>72</v>
      </c>
      <c r="M669" t="s">
        <v>72</v>
      </c>
      <c r="N669" s="5"/>
      <c r="O669" t="str">
        <f t="shared" si="10"/>
        <v/>
      </c>
    </row>
    <row r="670" spans="1:15" x14ac:dyDescent="0.25">
      <c r="A670" t="s">
        <v>3589</v>
      </c>
      <c r="B670" t="s">
        <v>3590</v>
      </c>
      <c r="C670" t="s">
        <v>384</v>
      </c>
      <c r="D670">
        <v>2025</v>
      </c>
      <c r="E670" t="s">
        <v>56</v>
      </c>
      <c r="F670" t="s">
        <v>57</v>
      </c>
      <c r="G670" t="s">
        <v>3591</v>
      </c>
      <c r="H670" t="s">
        <v>3592</v>
      </c>
      <c r="I670" t="s">
        <v>3593</v>
      </c>
      <c r="J670" t="s">
        <v>61</v>
      </c>
      <c r="K670" t="s">
        <v>62</v>
      </c>
      <c r="L670" t="s">
        <v>63</v>
      </c>
      <c r="M670" t="s">
        <v>63</v>
      </c>
      <c r="N670" s="5"/>
      <c r="O670" t="str">
        <f t="shared" si="10"/>
        <v/>
      </c>
    </row>
    <row r="671" spans="1:15" x14ac:dyDescent="0.25">
      <c r="A671" t="s">
        <v>3594</v>
      </c>
      <c r="B671" t="s">
        <v>3595</v>
      </c>
      <c r="C671" t="s">
        <v>962</v>
      </c>
      <c r="D671">
        <v>2025</v>
      </c>
      <c r="E671" t="s">
        <v>56</v>
      </c>
      <c r="F671" t="s">
        <v>67</v>
      </c>
      <c r="G671" t="s">
        <v>3596</v>
      </c>
      <c r="H671" t="s">
        <v>3597</v>
      </c>
      <c r="I671" t="s">
        <v>3598</v>
      </c>
      <c r="J671" t="s">
        <v>61</v>
      </c>
      <c r="K671" t="s">
        <v>62</v>
      </c>
      <c r="L671" t="s">
        <v>63</v>
      </c>
      <c r="M671" t="s">
        <v>63</v>
      </c>
      <c r="N671" s="5"/>
      <c r="O671" t="str">
        <f t="shared" si="10"/>
        <v/>
      </c>
    </row>
    <row r="672" spans="1:15" x14ac:dyDescent="0.25">
      <c r="A672" t="s">
        <v>3599</v>
      </c>
      <c r="B672" t="s">
        <v>3600</v>
      </c>
      <c r="C672" t="s">
        <v>3601</v>
      </c>
      <c r="D672">
        <v>2025</v>
      </c>
      <c r="E672" t="s">
        <v>56</v>
      </c>
      <c r="F672" t="s">
        <v>67</v>
      </c>
      <c r="G672" t="s">
        <v>3602</v>
      </c>
      <c r="H672" t="s">
        <v>3603</v>
      </c>
      <c r="I672" t="s">
        <v>3604</v>
      </c>
      <c r="J672" t="s">
        <v>71</v>
      </c>
      <c r="K672" t="s">
        <v>18</v>
      </c>
      <c r="L672" t="s">
        <v>72</v>
      </c>
      <c r="M672" t="s">
        <v>72</v>
      </c>
      <c r="N672" s="5"/>
      <c r="O672" t="str">
        <f t="shared" si="10"/>
        <v/>
      </c>
    </row>
    <row r="673" spans="1:15" x14ac:dyDescent="0.25">
      <c r="A673" t="s">
        <v>3605</v>
      </c>
      <c r="B673" t="s">
        <v>3606</v>
      </c>
      <c r="C673" t="s">
        <v>1527</v>
      </c>
      <c r="D673">
        <v>2025</v>
      </c>
      <c r="E673" t="s">
        <v>56</v>
      </c>
      <c r="F673" t="s">
        <v>57</v>
      </c>
      <c r="G673" t="s">
        <v>3607</v>
      </c>
      <c r="H673" t="s">
        <v>3608</v>
      </c>
      <c r="I673" t="s">
        <v>3609</v>
      </c>
      <c r="J673" t="s">
        <v>71</v>
      </c>
      <c r="K673" t="s">
        <v>18</v>
      </c>
      <c r="L673" t="s">
        <v>72</v>
      </c>
      <c r="M673" t="s">
        <v>72</v>
      </c>
      <c r="N673" s="5"/>
      <c r="O673" t="str">
        <f t="shared" si="10"/>
        <v/>
      </c>
    </row>
    <row r="674" spans="1:15" x14ac:dyDescent="0.25">
      <c r="A674" t="s">
        <v>3610</v>
      </c>
      <c r="B674" t="s">
        <v>3611</v>
      </c>
      <c r="C674" t="s">
        <v>3612</v>
      </c>
      <c r="D674">
        <v>2025</v>
      </c>
      <c r="E674" t="s">
        <v>56</v>
      </c>
      <c r="F674" t="s">
        <v>57</v>
      </c>
      <c r="G674" t="s">
        <v>3613</v>
      </c>
      <c r="H674" t="s">
        <v>3614</v>
      </c>
      <c r="I674" t="s">
        <v>3615</v>
      </c>
      <c r="J674" t="s">
        <v>87</v>
      </c>
      <c r="K674" t="s">
        <v>19</v>
      </c>
      <c r="L674" t="s">
        <v>72</v>
      </c>
      <c r="M674" t="s">
        <v>72</v>
      </c>
      <c r="N674" s="5"/>
      <c r="O674" t="str">
        <f t="shared" si="10"/>
        <v/>
      </c>
    </row>
    <row r="675" spans="1:15" x14ac:dyDescent="0.25">
      <c r="A675" t="s">
        <v>3616</v>
      </c>
      <c r="B675" t="s">
        <v>3617</v>
      </c>
      <c r="C675" t="s">
        <v>3618</v>
      </c>
      <c r="D675">
        <v>2025</v>
      </c>
      <c r="E675" t="s">
        <v>56</v>
      </c>
      <c r="F675" t="s">
        <v>67</v>
      </c>
      <c r="G675" t="s">
        <v>3619</v>
      </c>
      <c r="H675" t="s">
        <v>3620</v>
      </c>
      <c r="I675" t="s">
        <v>3621</v>
      </c>
      <c r="J675" t="s">
        <v>71</v>
      </c>
      <c r="K675" t="s">
        <v>18</v>
      </c>
      <c r="L675" t="s">
        <v>72</v>
      </c>
      <c r="M675" t="s">
        <v>72</v>
      </c>
      <c r="N675" s="5"/>
      <c r="O675" t="str">
        <f t="shared" si="10"/>
        <v/>
      </c>
    </row>
    <row r="676" spans="1:15" x14ac:dyDescent="0.25">
      <c r="A676" t="s">
        <v>3622</v>
      </c>
      <c r="B676" t="s">
        <v>3623</v>
      </c>
      <c r="C676" t="s">
        <v>3624</v>
      </c>
      <c r="D676">
        <v>2025</v>
      </c>
      <c r="E676" t="s">
        <v>56</v>
      </c>
      <c r="F676" t="s">
        <v>57</v>
      </c>
      <c r="G676" t="s">
        <v>3625</v>
      </c>
      <c r="H676" t="s">
        <v>3626</v>
      </c>
      <c r="I676" t="s">
        <v>3627</v>
      </c>
      <c r="J676" t="s">
        <v>71</v>
      </c>
      <c r="K676" t="s">
        <v>18</v>
      </c>
      <c r="L676" t="s">
        <v>72</v>
      </c>
      <c r="M676" t="s">
        <v>72</v>
      </c>
      <c r="N676" s="5"/>
      <c r="O676" t="str">
        <f t="shared" si="10"/>
        <v/>
      </c>
    </row>
    <row r="677" spans="1:15" x14ac:dyDescent="0.25">
      <c r="A677" t="s">
        <v>3628</v>
      </c>
      <c r="B677" t="s">
        <v>3629</v>
      </c>
      <c r="C677" t="s">
        <v>3630</v>
      </c>
      <c r="D677">
        <v>2025</v>
      </c>
      <c r="E677" t="s">
        <v>56</v>
      </c>
      <c r="F677" t="s">
        <v>57</v>
      </c>
      <c r="G677" t="s">
        <v>3631</v>
      </c>
      <c r="H677" t="s">
        <v>3632</v>
      </c>
      <c r="I677" t="s">
        <v>3633</v>
      </c>
      <c r="J677" t="s">
        <v>79</v>
      </c>
      <c r="K677" t="s">
        <v>80</v>
      </c>
      <c r="L677" t="s">
        <v>72</v>
      </c>
      <c r="M677" t="s">
        <v>72</v>
      </c>
      <c r="N677" s="5"/>
      <c r="O677" t="str">
        <f t="shared" si="10"/>
        <v/>
      </c>
    </row>
    <row r="678" spans="1:15" x14ac:dyDescent="0.25">
      <c r="A678" t="s">
        <v>3634</v>
      </c>
      <c r="B678" t="s">
        <v>3635</v>
      </c>
      <c r="C678" t="s">
        <v>1692</v>
      </c>
      <c r="D678">
        <v>2025</v>
      </c>
      <c r="E678" t="s">
        <v>56</v>
      </c>
      <c r="F678" t="s">
        <v>57</v>
      </c>
      <c r="G678" t="s">
        <v>859</v>
      </c>
      <c r="H678" t="s">
        <v>3636</v>
      </c>
      <c r="I678" t="s">
        <v>3637</v>
      </c>
      <c r="J678" t="s">
        <v>71</v>
      </c>
      <c r="K678" t="s">
        <v>18</v>
      </c>
      <c r="L678" t="s">
        <v>72</v>
      </c>
      <c r="M678" t="s">
        <v>72</v>
      </c>
      <c r="N678" s="5"/>
      <c r="O678" t="str">
        <f t="shared" si="10"/>
        <v/>
      </c>
    </row>
    <row r="679" spans="1:15" x14ac:dyDescent="0.25">
      <c r="A679" t="s">
        <v>3638</v>
      </c>
      <c r="B679" t="s">
        <v>3639</v>
      </c>
      <c r="C679" t="s">
        <v>95</v>
      </c>
      <c r="D679">
        <v>2025</v>
      </c>
      <c r="E679" t="s">
        <v>56</v>
      </c>
      <c r="F679" t="s">
        <v>67</v>
      </c>
      <c r="G679" t="s">
        <v>151</v>
      </c>
      <c r="H679" t="s">
        <v>3640</v>
      </c>
      <c r="I679" t="s">
        <v>3641</v>
      </c>
      <c r="J679" t="s">
        <v>71</v>
      </c>
      <c r="K679" t="s">
        <v>18</v>
      </c>
      <c r="L679" t="s">
        <v>72</v>
      </c>
      <c r="M679" t="s">
        <v>72</v>
      </c>
      <c r="N679" s="5"/>
      <c r="O679" t="str">
        <f t="shared" si="10"/>
        <v/>
      </c>
    </row>
    <row r="680" spans="1:15" x14ac:dyDescent="0.25">
      <c r="A680" t="s">
        <v>3642</v>
      </c>
      <c r="B680" t="s">
        <v>3643</v>
      </c>
      <c r="C680" t="s">
        <v>3644</v>
      </c>
      <c r="D680">
        <v>2025</v>
      </c>
      <c r="E680" t="s">
        <v>56</v>
      </c>
      <c r="F680" t="s">
        <v>57</v>
      </c>
      <c r="G680" t="s">
        <v>418</v>
      </c>
      <c r="H680" t="s">
        <v>3645</v>
      </c>
      <c r="I680" t="s">
        <v>3646</v>
      </c>
      <c r="J680" t="s">
        <v>98</v>
      </c>
      <c r="K680" t="s">
        <v>99</v>
      </c>
      <c r="L680" t="s">
        <v>63</v>
      </c>
      <c r="M680" t="s">
        <v>72</v>
      </c>
      <c r="N680" s="5"/>
      <c r="O680" t="str">
        <f t="shared" si="10"/>
        <v/>
      </c>
    </row>
    <row r="681" spans="1:15" x14ac:dyDescent="0.25">
      <c r="A681" t="s">
        <v>3647</v>
      </c>
      <c r="B681" t="s">
        <v>3648</v>
      </c>
      <c r="C681" t="s">
        <v>3649</v>
      </c>
      <c r="D681">
        <v>2025</v>
      </c>
      <c r="E681" t="s">
        <v>56</v>
      </c>
      <c r="F681" t="s">
        <v>67</v>
      </c>
      <c r="G681" t="s">
        <v>3650</v>
      </c>
      <c r="H681" t="s">
        <v>3651</v>
      </c>
      <c r="I681" t="s">
        <v>3652</v>
      </c>
      <c r="J681" t="s">
        <v>71</v>
      </c>
      <c r="K681" t="s">
        <v>18</v>
      </c>
      <c r="L681" t="s">
        <v>72</v>
      </c>
      <c r="M681" t="s">
        <v>72</v>
      </c>
      <c r="N681" s="5"/>
      <c r="O681" t="str">
        <f t="shared" si="10"/>
        <v/>
      </c>
    </row>
    <row r="682" spans="1:15" x14ac:dyDescent="0.25">
      <c r="A682" t="s">
        <v>3653</v>
      </c>
      <c r="B682" t="s">
        <v>3654</v>
      </c>
      <c r="C682" t="s">
        <v>962</v>
      </c>
      <c r="D682">
        <v>2025</v>
      </c>
      <c r="E682" t="s">
        <v>56</v>
      </c>
      <c r="F682" t="s">
        <v>57</v>
      </c>
      <c r="G682" t="s">
        <v>963</v>
      </c>
      <c r="H682" t="s">
        <v>3655</v>
      </c>
      <c r="I682" t="s">
        <v>3656</v>
      </c>
      <c r="J682" t="s">
        <v>98</v>
      </c>
      <c r="K682" t="s">
        <v>99</v>
      </c>
      <c r="L682" t="s">
        <v>63</v>
      </c>
      <c r="M682" t="s">
        <v>72</v>
      </c>
      <c r="N682" s="5"/>
      <c r="O682" t="str">
        <f t="shared" si="10"/>
        <v/>
      </c>
    </row>
    <row r="683" spans="1:15" x14ac:dyDescent="0.25">
      <c r="A683" t="s">
        <v>3657</v>
      </c>
      <c r="B683" t="s">
        <v>3658</v>
      </c>
      <c r="C683" t="s">
        <v>3659</v>
      </c>
      <c r="D683">
        <v>2025</v>
      </c>
      <c r="E683" t="s">
        <v>56</v>
      </c>
      <c r="F683" t="s">
        <v>57</v>
      </c>
      <c r="G683" t="s">
        <v>825</v>
      </c>
      <c r="H683" t="s">
        <v>3660</v>
      </c>
      <c r="I683" t="s">
        <v>3661</v>
      </c>
      <c r="J683" t="s">
        <v>71</v>
      </c>
      <c r="K683" t="s">
        <v>18</v>
      </c>
      <c r="L683" t="s">
        <v>72</v>
      </c>
      <c r="M683" t="s">
        <v>72</v>
      </c>
      <c r="N683" s="5"/>
      <c r="O683" t="str">
        <f t="shared" si="10"/>
        <v/>
      </c>
    </row>
    <row r="684" spans="1:15" x14ac:dyDescent="0.25">
      <c r="A684" t="s">
        <v>3662</v>
      </c>
      <c r="B684" t="s">
        <v>3663</v>
      </c>
      <c r="C684" t="s">
        <v>1595</v>
      </c>
      <c r="D684">
        <v>2025</v>
      </c>
      <c r="E684" t="s">
        <v>56</v>
      </c>
      <c r="F684" t="s">
        <v>57</v>
      </c>
      <c r="G684" t="s">
        <v>3664</v>
      </c>
      <c r="H684" t="s">
        <v>3665</v>
      </c>
      <c r="I684" t="s">
        <v>3666</v>
      </c>
      <c r="J684" t="s">
        <v>165</v>
      </c>
      <c r="K684" t="s">
        <v>166</v>
      </c>
      <c r="L684" t="s">
        <v>63</v>
      </c>
      <c r="M684" t="s">
        <v>72</v>
      </c>
      <c r="N684" s="5"/>
      <c r="O684" t="str">
        <f t="shared" si="10"/>
        <v/>
      </c>
    </row>
    <row r="685" spans="1:15" x14ac:dyDescent="0.25">
      <c r="A685" t="s">
        <v>3667</v>
      </c>
      <c r="B685" t="s">
        <v>3668</v>
      </c>
      <c r="C685" t="s">
        <v>1538</v>
      </c>
      <c r="D685">
        <v>2025</v>
      </c>
      <c r="E685" t="s">
        <v>56</v>
      </c>
      <c r="F685" t="s">
        <v>57</v>
      </c>
      <c r="G685" t="s">
        <v>3669</v>
      </c>
      <c r="H685" t="s">
        <v>3670</v>
      </c>
      <c r="I685" t="s">
        <v>3671</v>
      </c>
      <c r="J685" t="s">
        <v>79</v>
      </c>
      <c r="K685" t="s">
        <v>80</v>
      </c>
      <c r="L685" t="s">
        <v>72</v>
      </c>
      <c r="M685" t="s">
        <v>72</v>
      </c>
      <c r="N685" s="5"/>
      <c r="O685" t="str">
        <f t="shared" si="10"/>
        <v/>
      </c>
    </row>
    <row r="686" spans="1:15" x14ac:dyDescent="0.25">
      <c r="A686" t="s">
        <v>3672</v>
      </c>
      <c r="B686" t="s">
        <v>3673</v>
      </c>
      <c r="C686" t="s">
        <v>95</v>
      </c>
      <c r="D686">
        <v>2025</v>
      </c>
      <c r="E686" t="s">
        <v>56</v>
      </c>
      <c r="F686" t="s">
        <v>57</v>
      </c>
      <c r="G686" t="s">
        <v>1803</v>
      </c>
      <c r="H686" t="s">
        <v>3674</v>
      </c>
      <c r="I686" t="s">
        <v>3675</v>
      </c>
      <c r="J686" t="s">
        <v>61</v>
      </c>
      <c r="K686" t="s">
        <v>62</v>
      </c>
      <c r="L686" t="s">
        <v>63</v>
      </c>
      <c r="M686" t="s">
        <v>63</v>
      </c>
      <c r="N686" s="5"/>
      <c r="O686" t="str">
        <f t="shared" si="10"/>
        <v/>
      </c>
    </row>
    <row r="687" spans="1:15" x14ac:dyDescent="0.25">
      <c r="A687" t="s">
        <v>3676</v>
      </c>
      <c r="B687" t="s">
        <v>3677</v>
      </c>
      <c r="C687" t="s">
        <v>3678</v>
      </c>
      <c r="D687">
        <v>2025</v>
      </c>
      <c r="E687" t="s">
        <v>56</v>
      </c>
      <c r="F687" t="s">
        <v>67</v>
      </c>
      <c r="G687" t="s">
        <v>3679</v>
      </c>
      <c r="H687" t="s">
        <v>3680</v>
      </c>
      <c r="I687" t="s">
        <v>3681</v>
      </c>
      <c r="J687" t="s">
        <v>71</v>
      </c>
      <c r="K687" t="s">
        <v>18</v>
      </c>
      <c r="L687" t="s">
        <v>72</v>
      </c>
      <c r="M687" t="s">
        <v>72</v>
      </c>
      <c r="N687" s="5"/>
      <c r="O687" t="str">
        <f t="shared" si="10"/>
        <v/>
      </c>
    </row>
    <row r="688" spans="1:15" x14ac:dyDescent="0.25">
      <c r="A688" t="s">
        <v>3682</v>
      </c>
      <c r="B688" t="s">
        <v>3683</v>
      </c>
      <c r="C688" t="s">
        <v>3684</v>
      </c>
      <c r="D688">
        <v>2025</v>
      </c>
      <c r="E688" t="s">
        <v>56</v>
      </c>
      <c r="F688" t="s">
        <v>57</v>
      </c>
      <c r="G688" t="s">
        <v>750</v>
      </c>
      <c r="H688" t="s">
        <v>3685</v>
      </c>
      <c r="I688" t="s">
        <v>3686</v>
      </c>
      <c r="J688" t="s">
        <v>165</v>
      </c>
      <c r="K688" t="s">
        <v>166</v>
      </c>
      <c r="L688" t="s">
        <v>63</v>
      </c>
      <c r="M688" t="s">
        <v>72</v>
      </c>
      <c r="N688" s="5"/>
      <c r="O688" t="str">
        <f t="shared" si="10"/>
        <v/>
      </c>
    </row>
    <row r="689" spans="1:15" x14ac:dyDescent="0.25">
      <c r="A689" t="s">
        <v>3687</v>
      </c>
      <c r="B689" t="s">
        <v>3688</v>
      </c>
      <c r="C689" t="s">
        <v>874</v>
      </c>
      <c r="D689">
        <v>2025</v>
      </c>
      <c r="E689" t="s">
        <v>56</v>
      </c>
      <c r="F689" t="s">
        <v>67</v>
      </c>
      <c r="G689" t="s">
        <v>3689</v>
      </c>
      <c r="H689" t="s">
        <v>3690</v>
      </c>
      <c r="I689" t="s">
        <v>3691</v>
      </c>
      <c r="J689" t="s">
        <v>71</v>
      </c>
      <c r="K689" t="s">
        <v>18</v>
      </c>
      <c r="L689" t="s">
        <v>72</v>
      </c>
      <c r="M689" t="s">
        <v>72</v>
      </c>
      <c r="N689" s="5"/>
      <c r="O689" t="str">
        <f t="shared" si="10"/>
        <v/>
      </c>
    </row>
    <row r="690" spans="1:15" x14ac:dyDescent="0.25">
      <c r="A690" t="s">
        <v>3692</v>
      </c>
      <c r="B690" t="s">
        <v>3693</v>
      </c>
      <c r="C690" t="s">
        <v>661</v>
      </c>
      <c r="D690">
        <v>2025</v>
      </c>
      <c r="E690" t="s">
        <v>56</v>
      </c>
      <c r="F690" t="s">
        <v>67</v>
      </c>
      <c r="G690" t="s">
        <v>1130</v>
      </c>
      <c r="H690" t="s">
        <v>3694</v>
      </c>
      <c r="I690" t="s">
        <v>3695</v>
      </c>
      <c r="J690" t="s">
        <v>71</v>
      </c>
      <c r="K690" t="s">
        <v>18</v>
      </c>
      <c r="L690" t="s">
        <v>72</v>
      </c>
      <c r="M690" t="s">
        <v>72</v>
      </c>
      <c r="N690" s="5"/>
      <c r="O690" t="str">
        <f t="shared" si="10"/>
        <v/>
      </c>
    </row>
    <row r="691" spans="1:15" x14ac:dyDescent="0.25">
      <c r="A691" t="s">
        <v>3696</v>
      </c>
      <c r="B691" t="s">
        <v>3697</v>
      </c>
      <c r="C691" t="s">
        <v>3698</v>
      </c>
      <c r="D691">
        <v>2025</v>
      </c>
      <c r="E691" t="s">
        <v>56</v>
      </c>
      <c r="F691" t="s">
        <v>67</v>
      </c>
      <c r="G691" t="s">
        <v>285</v>
      </c>
      <c r="H691" t="s">
        <v>3699</v>
      </c>
      <c r="I691" t="s">
        <v>3700</v>
      </c>
      <c r="J691" t="s">
        <v>71</v>
      </c>
      <c r="K691" t="s">
        <v>18</v>
      </c>
      <c r="L691" t="s">
        <v>72</v>
      </c>
      <c r="M691" t="s">
        <v>72</v>
      </c>
      <c r="N691" s="5"/>
      <c r="O691" t="str">
        <f t="shared" si="10"/>
        <v/>
      </c>
    </row>
    <row r="692" spans="1:15" x14ac:dyDescent="0.25">
      <c r="A692" t="s">
        <v>3701</v>
      </c>
      <c r="B692" t="s">
        <v>3702</v>
      </c>
      <c r="C692" t="s">
        <v>3703</v>
      </c>
      <c r="D692">
        <v>2025</v>
      </c>
      <c r="E692" t="s">
        <v>56</v>
      </c>
      <c r="F692" t="s">
        <v>67</v>
      </c>
      <c r="G692" t="s">
        <v>3704</v>
      </c>
      <c r="H692" t="s">
        <v>3705</v>
      </c>
      <c r="I692" t="s">
        <v>3706</v>
      </c>
      <c r="J692" t="s">
        <v>87</v>
      </c>
      <c r="K692" t="s">
        <v>19</v>
      </c>
      <c r="L692" t="s">
        <v>72</v>
      </c>
      <c r="M692" t="s">
        <v>72</v>
      </c>
      <c r="N692" s="5"/>
      <c r="O692" t="str">
        <f t="shared" si="10"/>
        <v/>
      </c>
    </row>
    <row r="693" spans="1:15" x14ac:dyDescent="0.25">
      <c r="A693" t="s">
        <v>3707</v>
      </c>
      <c r="B693" t="s">
        <v>3708</v>
      </c>
      <c r="C693" t="s">
        <v>3709</v>
      </c>
      <c r="D693">
        <v>2025</v>
      </c>
      <c r="E693" t="s">
        <v>56</v>
      </c>
      <c r="F693" t="s">
        <v>57</v>
      </c>
      <c r="G693" t="s">
        <v>3710</v>
      </c>
      <c r="H693" t="s">
        <v>3711</v>
      </c>
      <c r="I693" t="s">
        <v>3712</v>
      </c>
      <c r="J693" t="s">
        <v>165</v>
      </c>
      <c r="K693" t="s">
        <v>166</v>
      </c>
      <c r="L693" t="s">
        <v>63</v>
      </c>
      <c r="M693" t="s">
        <v>72</v>
      </c>
      <c r="N693" s="5"/>
      <c r="O693" t="str">
        <f t="shared" si="10"/>
        <v/>
      </c>
    </row>
    <row r="694" spans="1:15" x14ac:dyDescent="0.25">
      <c r="A694" t="s">
        <v>3713</v>
      </c>
      <c r="B694" t="s">
        <v>3714</v>
      </c>
      <c r="C694" t="s">
        <v>3715</v>
      </c>
      <c r="D694">
        <v>2025</v>
      </c>
      <c r="E694" t="s">
        <v>56</v>
      </c>
      <c r="F694" t="s">
        <v>67</v>
      </c>
      <c r="G694" t="s">
        <v>3716</v>
      </c>
      <c r="H694" t="s">
        <v>3717</v>
      </c>
      <c r="I694" t="s">
        <v>3718</v>
      </c>
      <c r="J694" t="s">
        <v>71</v>
      </c>
      <c r="K694" t="s">
        <v>18</v>
      </c>
      <c r="L694" t="s">
        <v>72</v>
      </c>
      <c r="M694" t="s">
        <v>72</v>
      </c>
      <c r="N694" s="5"/>
      <c r="O694" t="str">
        <f t="shared" si="10"/>
        <v/>
      </c>
    </row>
    <row r="695" spans="1:15" x14ac:dyDescent="0.25">
      <c r="A695" t="s">
        <v>3719</v>
      </c>
      <c r="B695" t="s">
        <v>3720</v>
      </c>
      <c r="C695" t="s">
        <v>3721</v>
      </c>
      <c r="D695">
        <v>2025</v>
      </c>
      <c r="E695" t="s">
        <v>56</v>
      </c>
      <c r="F695" t="s">
        <v>57</v>
      </c>
      <c r="G695" t="s">
        <v>3722</v>
      </c>
      <c r="H695" t="s">
        <v>3723</v>
      </c>
      <c r="I695" t="s">
        <v>3724</v>
      </c>
      <c r="J695" t="s">
        <v>71</v>
      </c>
      <c r="K695" t="s">
        <v>18</v>
      </c>
      <c r="L695" t="s">
        <v>72</v>
      </c>
      <c r="M695" t="s">
        <v>72</v>
      </c>
      <c r="N695" s="5"/>
      <c r="O695" t="str">
        <f t="shared" si="10"/>
        <v/>
      </c>
    </row>
    <row r="696" spans="1:15" x14ac:dyDescent="0.25">
      <c r="A696" t="s">
        <v>3725</v>
      </c>
      <c r="B696" t="s">
        <v>3726</v>
      </c>
      <c r="C696" t="s">
        <v>3727</v>
      </c>
      <c r="D696">
        <v>2025</v>
      </c>
      <c r="E696" t="s">
        <v>56</v>
      </c>
      <c r="F696" t="s">
        <v>67</v>
      </c>
      <c r="G696" t="s">
        <v>3728</v>
      </c>
      <c r="H696" t="s">
        <v>3729</v>
      </c>
      <c r="I696" t="s">
        <v>3730</v>
      </c>
      <c r="J696" t="s">
        <v>71</v>
      </c>
      <c r="K696" t="s">
        <v>18</v>
      </c>
      <c r="L696" t="s">
        <v>72</v>
      </c>
      <c r="M696" t="s">
        <v>72</v>
      </c>
      <c r="N696" s="5"/>
      <c r="O696" t="str">
        <f t="shared" si="10"/>
        <v/>
      </c>
    </row>
    <row r="697" spans="1:15" x14ac:dyDescent="0.25">
      <c r="A697" t="s">
        <v>3731</v>
      </c>
      <c r="B697" t="s">
        <v>3732</v>
      </c>
      <c r="C697" t="s">
        <v>3733</v>
      </c>
      <c r="D697">
        <v>2025</v>
      </c>
      <c r="E697" t="s">
        <v>56</v>
      </c>
      <c r="F697" t="s">
        <v>67</v>
      </c>
      <c r="G697" t="s">
        <v>3734</v>
      </c>
      <c r="H697" t="s">
        <v>3735</v>
      </c>
      <c r="I697" t="s">
        <v>3736</v>
      </c>
      <c r="J697" t="s">
        <v>87</v>
      </c>
      <c r="K697" t="s">
        <v>19</v>
      </c>
      <c r="L697" t="s">
        <v>72</v>
      </c>
      <c r="M697" t="s">
        <v>72</v>
      </c>
      <c r="N697" s="5"/>
      <c r="O697" t="str">
        <f t="shared" si="10"/>
        <v/>
      </c>
    </row>
    <row r="698" spans="1:15" x14ac:dyDescent="0.25">
      <c r="A698" t="s">
        <v>3737</v>
      </c>
      <c r="B698" t="s">
        <v>3738</v>
      </c>
      <c r="C698" t="s">
        <v>3739</v>
      </c>
      <c r="D698">
        <v>2025</v>
      </c>
      <c r="E698" t="s">
        <v>56</v>
      </c>
      <c r="F698" t="s">
        <v>57</v>
      </c>
      <c r="G698" t="s">
        <v>3740</v>
      </c>
      <c r="H698" t="s">
        <v>3741</v>
      </c>
      <c r="I698" t="s">
        <v>3742</v>
      </c>
      <c r="J698" t="s">
        <v>71</v>
      </c>
      <c r="K698" t="s">
        <v>18</v>
      </c>
      <c r="L698" t="s">
        <v>72</v>
      </c>
      <c r="M698" t="s">
        <v>72</v>
      </c>
      <c r="N698" s="5"/>
      <c r="O698" t="str">
        <f t="shared" si="10"/>
        <v/>
      </c>
    </row>
    <row r="699" spans="1:15" x14ac:dyDescent="0.25">
      <c r="A699" t="s">
        <v>3743</v>
      </c>
      <c r="B699" t="s">
        <v>3744</v>
      </c>
      <c r="C699" t="s">
        <v>3745</v>
      </c>
      <c r="D699">
        <v>2025</v>
      </c>
      <c r="E699" t="s">
        <v>56</v>
      </c>
      <c r="F699" t="s">
        <v>67</v>
      </c>
      <c r="G699" t="s">
        <v>3288</v>
      </c>
      <c r="H699" t="s">
        <v>3746</v>
      </c>
      <c r="I699" t="s">
        <v>3747</v>
      </c>
      <c r="J699" t="s">
        <v>71</v>
      </c>
      <c r="K699" t="s">
        <v>18</v>
      </c>
      <c r="L699" t="s">
        <v>72</v>
      </c>
      <c r="M699" t="s">
        <v>72</v>
      </c>
      <c r="N699" s="5"/>
      <c r="O699" t="str">
        <f t="shared" si="10"/>
        <v/>
      </c>
    </row>
    <row r="700" spans="1:15" x14ac:dyDescent="0.25">
      <c r="A700" t="s">
        <v>3748</v>
      </c>
      <c r="B700" t="s">
        <v>3749</v>
      </c>
      <c r="C700" t="s">
        <v>3750</v>
      </c>
      <c r="D700">
        <v>2025</v>
      </c>
      <c r="E700" t="s">
        <v>56</v>
      </c>
      <c r="F700" t="s">
        <v>57</v>
      </c>
      <c r="G700" t="s">
        <v>3751</v>
      </c>
      <c r="H700" t="s">
        <v>3752</v>
      </c>
      <c r="I700" t="s">
        <v>3753</v>
      </c>
      <c r="J700" t="s">
        <v>87</v>
      </c>
      <c r="K700" t="s">
        <v>19</v>
      </c>
      <c r="L700" t="s">
        <v>72</v>
      </c>
      <c r="M700" t="s">
        <v>72</v>
      </c>
      <c r="N700" s="5"/>
      <c r="O700" t="str">
        <f t="shared" si="10"/>
        <v/>
      </c>
    </row>
    <row r="701" spans="1:15" x14ac:dyDescent="0.25">
      <c r="A701" t="s">
        <v>3754</v>
      </c>
      <c r="B701" t="s">
        <v>3755</v>
      </c>
      <c r="C701" t="s">
        <v>571</v>
      </c>
      <c r="D701">
        <v>2025</v>
      </c>
      <c r="E701" t="s">
        <v>56</v>
      </c>
      <c r="F701" t="s">
        <v>57</v>
      </c>
      <c r="G701" t="s">
        <v>1803</v>
      </c>
      <c r="H701" t="s">
        <v>3756</v>
      </c>
      <c r="I701" t="s">
        <v>3757</v>
      </c>
      <c r="J701" t="s">
        <v>61</v>
      </c>
      <c r="K701" t="s">
        <v>62</v>
      </c>
      <c r="L701" t="s">
        <v>63</v>
      </c>
      <c r="M701" t="s">
        <v>63</v>
      </c>
      <c r="N701" s="5"/>
      <c r="O701" t="str">
        <f t="shared" si="10"/>
        <v/>
      </c>
    </row>
    <row r="702" spans="1:15" x14ac:dyDescent="0.25">
      <c r="A702" t="s">
        <v>3758</v>
      </c>
      <c r="B702" t="s">
        <v>3759</v>
      </c>
      <c r="C702" t="s">
        <v>325</v>
      </c>
      <c r="D702">
        <v>2025</v>
      </c>
      <c r="E702" t="s">
        <v>56</v>
      </c>
      <c r="F702" t="s">
        <v>57</v>
      </c>
      <c r="G702" t="s">
        <v>1304</v>
      </c>
      <c r="H702" t="s">
        <v>3760</v>
      </c>
      <c r="I702" t="s">
        <v>3761</v>
      </c>
      <c r="J702" t="s">
        <v>61</v>
      </c>
      <c r="K702" t="s">
        <v>62</v>
      </c>
      <c r="L702" t="s">
        <v>63</v>
      </c>
      <c r="M702" t="s">
        <v>63</v>
      </c>
      <c r="N702" s="5"/>
      <c r="O702" t="str">
        <f t="shared" si="10"/>
        <v/>
      </c>
    </row>
    <row r="703" spans="1:15" x14ac:dyDescent="0.25">
      <c r="A703" t="s">
        <v>3762</v>
      </c>
      <c r="B703" t="s">
        <v>3763</v>
      </c>
      <c r="C703" t="s">
        <v>3764</v>
      </c>
      <c r="D703">
        <v>2025</v>
      </c>
      <c r="E703" t="s">
        <v>56</v>
      </c>
      <c r="F703" t="s">
        <v>57</v>
      </c>
      <c r="G703" t="s">
        <v>766</v>
      </c>
      <c r="H703" t="s">
        <v>3765</v>
      </c>
      <c r="I703" t="s">
        <v>3766</v>
      </c>
      <c r="J703" t="s">
        <v>61</v>
      </c>
      <c r="K703" t="s">
        <v>62</v>
      </c>
      <c r="L703" t="s">
        <v>63</v>
      </c>
      <c r="M703" t="s">
        <v>63</v>
      </c>
      <c r="N703" s="5"/>
      <c r="O703" t="str">
        <f t="shared" si="10"/>
        <v/>
      </c>
    </row>
    <row r="704" spans="1:15" x14ac:dyDescent="0.25">
      <c r="A704" t="s">
        <v>3767</v>
      </c>
      <c r="B704" t="s">
        <v>3768</v>
      </c>
      <c r="C704" t="s">
        <v>205</v>
      </c>
      <c r="D704">
        <v>2025</v>
      </c>
      <c r="E704" t="s">
        <v>56</v>
      </c>
      <c r="F704" t="s">
        <v>57</v>
      </c>
      <c r="G704" t="s">
        <v>766</v>
      </c>
      <c r="H704" t="s">
        <v>3769</v>
      </c>
      <c r="I704" t="s">
        <v>3770</v>
      </c>
      <c r="J704" t="s">
        <v>61</v>
      </c>
      <c r="K704" t="s">
        <v>62</v>
      </c>
      <c r="L704" t="s">
        <v>63</v>
      </c>
      <c r="M704" t="s">
        <v>63</v>
      </c>
      <c r="N704" s="5"/>
      <c r="O704" t="str">
        <f t="shared" si="10"/>
        <v/>
      </c>
    </row>
    <row r="705" spans="1:15" x14ac:dyDescent="0.25">
      <c r="A705" t="s">
        <v>3771</v>
      </c>
      <c r="B705" t="s">
        <v>3772</v>
      </c>
      <c r="C705" t="s">
        <v>3773</v>
      </c>
      <c r="D705">
        <v>2025</v>
      </c>
      <c r="E705" t="s">
        <v>56</v>
      </c>
      <c r="F705" t="s">
        <v>67</v>
      </c>
      <c r="G705" t="s">
        <v>2951</v>
      </c>
      <c r="H705" t="s">
        <v>3774</v>
      </c>
      <c r="I705" t="s">
        <v>3775</v>
      </c>
      <c r="J705" t="s">
        <v>71</v>
      </c>
      <c r="K705" t="s">
        <v>18</v>
      </c>
      <c r="L705" t="s">
        <v>72</v>
      </c>
      <c r="M705" t="s">
        <v>72</v>
      </c>
      <c r="N705" s="5"/>
      <c r="O705" t="str">
        <f t="shared" si="10"/>
        <v/>
      </c>
    </row>
    <row r="706" spans="1:15" x14ac:dyDescent="0.25">
      <c r="A706" t="s">
        <v>3776</v>
      </c>
      <c r="B706" t="s">
        <v>3772</v>
      </c>
      <c r="C706" t="s">
        <v>3777</v>
      </c>
      <c r="D706">
        <v>2025</v>
      </c>
      <c r="E706" t="s">
        <v>56</v>
      </c>
      <c r="F706" t="s">
        <v>67</v>
      </c>
      <c r="G706" t="s">
        <v>2956</v>
      </c>
      <c r="H706" t="s">
        <v>3774</v>
      </c>
      <c r="I706" t="s">
        <v>3778</v>
      </c>
      <c r="J706" t="s">
        <v>71</v>
      </c>
      <c r="K706" t="s">
        <v>18</v>
      </c>
      <c r="L706" t="s">
        <v>72</v>
      </c>
      <c r="M706" t="s">
        <v>72</v>
      </c>
      <c r="N706" s="5"/>
      <c r="O706" t="str">
        <f t="shared" ref="O706:O769" si="11">IF(N706="","",IF(N706=J706,1,0))</f>
        <v/>
      </c>
    </row>
    <row r="707" spans="1:15" x14ac:dyDescent="0.25">
      <c r="A707" t="s">
        <v>3779</v>
      </c>
      <c r="B707" t="s">
        <v>3780</v>
      </c>
      <c r="C707" t="s">
        <v>3781</v>
      </c>
      <c r="D707">
        <v>2025</v>
      </c>
      <c r="E707" t="s">
        <v>56</v>
      </c>
      <c r="F707" t="s">
        <v>67</v>
      </c>
      <c r="G707" t="s">
        <v>3782</v>
      </c>
      <c r="H707" t="s">
        <v>3783</v>
      </c>
      <c r="I707" t="s">
        <v>3784</v>
      </c>
      <c r="J707" t="s">
        <v>71</v>
      </c>
      <c r="K707" t="s">
        <v>18</v>
      </c>
      <c r="L707" t="s">
        <v>72</v>
      </c>
      <c r="M707" t="s">
        <v>72</v>
      </c>
      <c r="N707" s="5"/>
      <c r="O707" t="str">
        <f t="shared" si="11"/>
        <v/>
      </c>
    </row>
    <row r="708" spans="1:15" x14ac:dyDescent="0.25">
      <c r="A708" t="s">
        <v>3785</v>
      </c>
      <c r="B708" t="s">
        <v>3786</v>
      </c>
      <c r="C708" t="s">
        <v>428</v>
      </c>
      <c r="D708">
        <v>2025</v>
      </c>
      <c r="E708" t="s">
        <v>56</v>
      </c>
      <c r="F708" t="s">
        <v>67</v>
      </c>
      <c r="G708" t="s">
        <v>3787</v>
      </c>
      <c r="H708" t="s">
        <v>3788</v>
      </c>
      <c r="I708" t="s">
        <v>3789</v>
      </c>
      <c r="J708" t="s">
        <v>87</v>
      </c>
      <c r="K708" t="s">
        <v>19</v>
      </c>
      <c r="L708" t="s">
        <v>72</v>
      </c>
      <c r="M708" t="s">
        <v>72</v>
      </c>
      <c r="N708" s="5"/>
      <c r="O708" t="str">
        <f t="shared" si="11"/>
        <v/>
      </c>
    </row>
    <row r="709" spans="1:15" x14ac:dyDescent="0.25">
      <c r="A709" t="s">
        <v>3790</v>
      </c>
      <c r="B709" t="s">
        <v>3791</v>
      </c>
      <c r="C709" t="s">
        <v>1845</v>
      </c>
      <c r="D709">
        <v>2025</v>
      </c>
      <c r="E709" t="s">
        <v>56</v>
      </c>
      <c r="F709" t="s">
        <v>67</v>
      </c>
      <c r="G709" t="s">
        <v>3552</v>
      </c>
      <c r="H709" t="s">
        <v>3792</v>
      </c>
      <c r="I709" t="s">
        <v>3793</v>
      </c>
      <c r="J709" t="s">
        <v>71</v>
      </c>
      <c r="K709" t="s">
        <v>18</v>
      </c>
      <c r="L709" t="s">
        <v>72</v>
      </c>
      <c r="M709" t="s">
        <v>72</v>
      </c>
      <c r="N709" s="5"/>
      <c r="O709" t="str">
        <f t="shared" si="11"/>
        <v/>
      </c>
    </row>
    <row r="710" spans="1:15" x14ac:dyDescent="0.25">
      <c r="A710" t="s">
        <v>3794</v>
      </c>
      <c r="B710" t="s">
        <v>3795</v>
      </c>
      <c r="C710" t="s">
        <v>3796</v>
      </c>
      <c r="D710">
        <v>2025</v>
      </c>
      <c r="E710" t="s">
        <v>56</v>
      </c>
      <c r="F710" t="s">
        <v>67</v>
      </c>
      <c r="G710" t="s">
        <v>3797</v>
      </c>
      <c r="H710" t="s">
        <v>3798</v>
      </c>
      <c r="I710" t="s">
        <v>3799</v>
      </c>
      <c r="J710" t="s">
        <v>71</v>
      </c>
      <c r="K710" t="s">
        <v>18</v>
      </c>
      <c r="L710" t="s">
        <v>72</v>
      </c>
      <c r="M710" t="s">
        <v>72</v>
      </c>
      <c r="N710" s="5"/>
      <c r="O710" t="str">
        <f t="shared" si="11"/>
        <v/>
      </c>
    </row>
    <row r="711" spans="1:15" x14ac:dyDescent="0.25">
      <c r="A711" t="s">
        <v>3800</v>
      </c>
      <c r="B711" t="s">
        <v>3801</v>
      </c>
      <c r="C711" t="s">
        <v>3802</v>
      </c>
      <c r="D711">
        <v>2025</v>
      </c>
      <c r="E711" t="s">
        <v>56</v>
      </c>
      <c r="F711" t="s">
        <v>67</v>
      </c>
      <c r="G711" t="s">
        <v>3803</v>
      </c>
      <c r="H711" t="s">
        <v>3804</v>
      </c>
      <c r="I711" t="s">
        <v>3805</v>
      </c>
      <c r="J711" t="s">
        <v>71</v>
      </c>
      <c r="K711" t="s">
        <v>18</v>
      </c>
      <c r="L711" t="s">
        <v>72</v>
      </c>
      <c r="M711" t="s">
        <v>72</v>
      </c>
      <c r="N711" s="5"/>
      <c r="O711" t="str">
        <f t="shared" si="11"/>
        <v/>
      </c>
    </row>
    <row r="712" spans="1:15" x14ac:dyDescent="0.25">
      <c r="A712" t="s">
        <v>3806</v>
      </c>
      <c r="B712" t="s">
        <v>3807</v>
      </c>
      <c r="C712" t="s">
        <v>222</v>
      </c>
      <c r="D712">
        <v>2025</v>
      </c>
      <c r="E712" t="s">
        <v>56</v>
      </c>
      <c r="F712" t="s">
        <v>67</v>
      </c>
      <c r="G712" t="s">
        <v>3808</v>
      </c>
      <c r="H712" t="s">
        <v>3809</v>
      </c>
      <c r="I712" t="s">
        <v>3810</v>
      </c>
      <c r="J712" t="s">
        <v>71</v>
      </c>
      <c r="K712" t="s">
        <v>18</v>
      </c>
      <c r="L712" t="s">
        <v>72</v>
      </c>
      <c r="M712" t="s">
        <v>72</v>
      </c>
      <c r="N712" s="5"/>
      <c r="O712" t="str">
        <f t="shared" si="11"/>
        <v/>
      </c>
    </row>
    <row r="713" spans="1:15" x14ac:dyDescent="0.25">
      <c r="A713" t="s">
        <v>3811</v>
      </c>
      <c r="B713" t="s">
        <v>3812</v>
      </c>
      <c r="C713" t="s">
        <v>1264</v>
      </c>
      <c r="D713">
        <v>2025</v>
      </c>
      <c r="E713" t="s">
        <v>56</v>
      </c>
      <c r="F713" t="s">
        <v>67</v>
      </c>
      <c r="G713" t="s">
        <v>3813</v>
      </c>
      <c r="H713" t="s">
        <v>3814</v>
      </c>
      <c r="I713" t="s">
        <v>3815</v>
      </c>
      <c r="J713" t="s">
        <v>71</v>
      </c>
      <c r="K713" t="s">
        <v>18</v>
      </c>
      <c r="L713" t="s">
        <v>72</v>
      </c>
      <c r="M713" t="s">
        <v>72</v>
      </c>
      <c r="N713" s="5"/>
      <c r="O713" t="str">
        <f t="shared" si="11"/>
        <v/>
      </c>
    </row>
    <row r="714" spans="1:15" x14ac:dyDescent="0.25">
      <c r="A714" t="s">
        <v>3816</v>
      </c>
      <c r="B714" t="s">
        <v>3812</v>
      </c>
      <c r="C714" t="s">
        <v>1269</v>
      </c>
      <c r="D714">
        <v>2025</v>
      </c>
      <c r="E714" t="s">
        <v>56</v>
      </c>
      <c r="F714" t="s">
        <v>67</v>
      </c>
      <c r="G714" t="s">
        <v>3817</v>
      </c>
      <c r="H714" t="s">
        <v>3814</v>
      </c>
      <c r="I714" t="s">
        <v>3818</v>
      </c>
      <c r="J714" t="s">
        <v>71</v>
      </c>
      <c r="K714" t="s">
        <v>18</v>
      </c>
      <c r="L714" t="s">
        <v>72</v>
      </c>
      <c r="M714" t="s">
        <v>72</v>
      </c>
      <c r="N714" s="5"/>
      <c r="O714" t="str">
        <f t="shared" si="11"/>
        <v/>
      </c>
    </row>
    <row r="715" spans="1:15" x14ac:dyDescent="0.25">
      <c r="A715" t="s">
        <v>3819</v>
      </c>
      <c r="B715" t="s">
        <v>3820</v>
      </c>
      <c r="C715" t="s">
        <v>3821</v>
      </c>
      <c r="D715">
        <v>2025</v>
      </c>
      <c r="E715" t="s">
        <v>56</v>
      </c>
      <c r="F715" t="s">
        <v>67</v>
      </c>
      <c r="G715" t="s">
        <v>3822</v>
      </c>
      <c r="H715" t="s">
        <v>3823</v>
      </c>
      <c r="I715" t="s">
        <v>3824</v>
      </c>
      <c r="J715" t="s">
        <v>71</v>
      </c>
      <c r="K715" t="s">
        <v>18</v>
      </c>
      <c r="L715" t="s">
        <v>72</v>
      </c>
      <c r="M715" t="s">
        <v>72</v>
      </c>
      <c r="N715" s="5"/>
      <c r="O715" t="str">
        <f t="shared" si="11"/>
        <v/>
      </c>
    </row>
    <row r="716" spans="1:15" x14ac:dyDescent="0.25">
      <c r="A716" t="s">
        <v>3825</v>
      </c>
      <c r="B716" t="s">
        <v>3826</v>
      </c>
      <c r="C716" t="s">
        <v>3827</v>
      </c>
      <c r="D716">
        <v>2025</v>
      </c>
      <c r="E716" t="s">
        <v>56</v>
      </c>
      <c r="F716" t="s">
        <v>67</v>
      </c>
      <c r="G716" t="s">
        <v>3828</v>
      </c>
      <c r="H716" t="s">
        <v>3823</v>
      </c>
      <c r="I716" t="s">
        <v>3829</v>
      </c>
      <c r="J716" t="s">
        <v>71</v>
      </c>
      <c r="K716" t="s">
        <v>18</v>
      </c>
      <c r="L716" t="s">
        <v>72</v>
      </c>
      <c r="M716" t="s">
        <v>72</v>
      </c>
      <c r="N716" s="5"/>
      <c r="O716" t="str">
        <f t="shared" si="11"/>
        <v/>
      </c>
    </row>
    <row r="717" spans="1:15" x14ac:dyDescent="0.25">
      <c r="A717" t="s">
        <v>3830</v>
      </c>
      <c r="B717" t="s">
        <v>3831</v>
      </c>
      <c r="C717" t="s">
        <v>3832</v>
      </c>
      <c r="D717">
        <v>2025</v>
      </c>
      <c r="E717" t="s">
        <v>56</v>
      </c>
      <c r="F717" t="s">
        <v>67</v>
      </c>
      <c r="G717" t="s">
        <v>3833</v>
      </c>
      <c r="H717" t="s">
        <v>3834</v>
      </c>
      <c r="I717" t="s">
        <v>3835</v>
      </c>
      <c r="J717" t="s">
        <v>71</v>
      </c>
      <c r="K717" t="s">
        <v>18</v>
      </c>
      <c r="L717" t="s">
        <v>72</v>
      </c>
      <c r="M717" t="s">
        <v>72</v>
      </c>
      <c r="N717" s="5"/>
      <c r="O717" t="str">
        <f t="shared" si="11"/>
        <v/>
      </c>
    </row>
    <row r="718" spans="1:15" x14ac:dyDescent="0.25">
      <c r="A718" t="s">
        <v>3836</v>
      </c>
      <c r="B718" t="s">
        <v>3837</v>
      </c>
      <c r="C718" t="s">
        <v>3838</v>
      </c>
      <c r="D718">
        <v>2025</v>
      </c>
      <c r="E718" t="s">
        <v>56</v>
      </c>
      <c r="F718" t="s">
        <v>67</v>
      </c>
      <c r="G718" t="s">
        <v>3839</v>
      </c>
      <c r="H718" t="s">
        <v>3840</v>
      </c>
      <c r="I718" t="s">
        <v>3841</v>
      </c>
      <c r="J718" t="s">
        <v>87</v>
      </c>
      <c r="K718" t="s">
        <v>19</v>
      </c>
      <c r="L718" t="s">
        <v>72</v>
      </c>
      <c r="M718" t="s">
        <v>72</v>
      </c>
      <c r="N718" s="5"/>
      <c r="O718" t="str">
        <f t="shared" si="11"/>
        <v/>
      </c>
    </row>
    <row r="719" spans="1:15" x14ac:dyDescent="0.25">
      <c r="A719" t="s">
        <v>3842</v>
      </c>
      <c r="B719" t="s">
        <v>3843</v>
      </c>
      <c r="C719" t="s">
        <v>3844</v>
      </c>
      <c r="D719">
        <v>2025</v>
      </c>
      <c r="E719" t="s">
        <v>56</v>
      </c>
      <c r="F719" t="s">
        <v>67</v>
      </c>
      <c r="G719" t="s">
        <v>3845</v>
      </c>
      <c r="H719" t="s">
        <v>3846</v>
      </c>
      <c r="I719" t="s">
        <v>3847</v>
      </c>
      <c r="J719" t="s">
        <v>71</v>
      </c>
      <c r="K719" t="s">
        <v>18</v>
      </c>
      <c r="L719" t="s">
        <v>72</v>
      </c>
      <c r="M719" t="s">
        <v>72</v>
      </c>
      <c r="N719" s="5"/>
      <c r="O719" t="str">
        <f t="shared" si="11"/>
        <v/>
      </c>
    </row>
    <row r="720" spans="1:15" x14ac:dyDescent="0.25">
      <c r="A720" t="s">
        <v>3848</v>
      </c>
      <c r="B720" t="s">
        <v>3849</v>
      </c>
      <c r="C720" t="s">
        <v>3850</v>
      </c>
      <c r="D720">
        <v>2025</v>
      </c>
      <c r="E720" t="s">
        <v>56</v>
      </c>
      <c r="F720" t="s">
        <v>57</v>
      </c>
      <c r="G720" t="s">
        <v>2972</v>
      </c>
      <c r="H720" t="s">
        <v>3851</v>
      </c>
      <c r="I720" t="s">
        <v>3852</v>
      </c>
      <c r="J720" t="s">
        <v>71</v>
      </c>
      <c r="K720" t="s">
        <v>18</v>
      </c>
      <c r="L720" t="s">
        <v>72</v>
      </c>
      <c r="M720" t="s">
        <v>72</v>
      </c>
      <c r="N720" s="5"/>
      <c r="O720" t="str">
        <f t="shared" si="11"/>
        <v/>
      </c>
    </row>
    <row r="721" spans="1:15" x14ac:dyDescent="0.25">
      <c r="A721" t="s">
        <v>3853</v>
      </c>
      <c r="B721" t="s">
        <v>3854</v>
      </c>
      <c r="C721" t="s">
        <v>3855</v>
      </c>
      <c r="D721">
        <v>2025</v>
      </c>
      <c r="E721" t="s">
        <v>56</v>
      </c>
      <c r="F721" t="s">
        <v>67</v>
      </c>
      <c r="G721" t="s">
        <v>3856</v>
      </c>
      <c r="H721" t="s">
        <v>3857</v>
      </c>
      <c r="I721" t="s">
        <v>3858</v>
      </c>
      <c r="J721" t="s">
        <v>71</v>
      </c>
      <c r="K721" t="s">
        <v>18</v>
      </c>
      <c r="L721" t="s">
        <v>72</v>
      </c>
      <c r="M721" t="s">
        <v>72</v>
      </c>
      <c r="N721" s="5"/>
      <c r="O721" t="str">
        <f t="shared" si="11"/>
        <v/>
      </c>
    </row>
    <row r="722" spans="1:15" x14ac:dyDescent="0.25">
      <c r="A722" t="s">
        <v>3859</v>
      </c>
      <c r="B722" t="s">
        <v>3860</v>
      </c>
      <c r="C722" t="s">
        <v>3861</v>
      </c>
      <c r="D722">
        <v>2025</v>
      </c>
      <c r="E722" t="s">
        <v>56</v>
      </c>
      <c r="F722" t="s">
        <v>57</v>
      </c>
      <c r="G722" t="s">
        <v>3862</v>
      </c>
      <c r="H722" t="s">
        <v>3863</v>
      </c>
      <c r="I722" t="s">
        <v>3864</v>
      </c>
      <c r="J722" t="s">
        <v>71</v>
      </c>
      <c r="K722" t="s">
        <v>18</v>
      </c>
      <c r="L722" t="s">
        <v>72</v>
      </c>
      <c r="M722" t="s">
        <v>72</v>
      </c>
      <c r="N722" s="5"/>
      <c r="O722" t="str">
        <f t="shared" si="11"/>
        <v/>
      </c>
    </row>
    <row r="723" spans="1:15" x14ac:dyDescent="0.25">
      <c r="A723" t="s">
        <v>3865</v>
      </c>
      <c r="B723" t="s">
        <v>3866</v>
      </c>
      <c r="C723" t="s">
        <v>3867</v>
      </c>
      <c r="D723">
        <v>2025</v>
      </c>
      <c r="E723" t="s">
        <v>56</v>
      </c>
      <c r="F723" t="s">
        <v>67</v>
      </c>
      <c r="G723" t="s">
        <v>3868</v>
      </c>
      <c r="H723" t="s">
        <v>3869</v>
      </c>
      <c r="I723" t="s">
        <v>3870</v>
      </c>
      <c r="J723" t="s">
        <v>71</v>
      </c>
      <c r="K723" t="s">
        <v>18</v>
      </c>
      <c r="L723" t="s">
        <v>72</v>
      </c>
      <c r="M723" t="s">
        <v>72</v>
      </c>
      <c r="N723" s="5"/>
      <c r="O723" t="str">
        <f t="shared" si="11"/>
        <v/>
      </c>
    </row>
    <row r="724" spans="1:15" x14ac:dyDescent="0.25">
      <c r="A724" t="s">
        <v>3871</v>
      </c>
      <c r="B724" t="s">
        <v>3866</v>
      </c>
      <c r="C724" t="s">
        <v>3872</v>
      </c>
      <c r="D724">
        <v>2025</v>
      </c>
      <c r="E724" t="s">
        <v>56</v>
      </c>
      <c r="F724" t="s">
        <v>67</v>
      </c>
      <c r="G724" t="s">
        <v>3873</v>
      </c>
      <c r="H724" t="s">
        <v>3869</v>
      </c>
      <c r="I724" t="s">
        <v>3874</v>
      </c>
      <c r="J724" t="s">
        <v>71</v>
      </c>
      <c r="K724" t="s">
        <v>18</v>
      </c>
      <c r="L724" t="s">
        <v>72</v>
      </c>
      <c r="M724" t="s">
        <v>72</v>
      </c>
      <c r="N724" s="5"/>
      <c r="O724" t="str">
        <f t="shared" si="11"/>
        <v/>
      </c>
    </row>
    <row r="725" spans="1:15" x14ac:dyDescent="0.25">
      <c r="A725" t="s">
        <v>3875</v>
      </c>
      <c r="B725" t="s">
        <v>3876</v>
      </c>
      <c r="C725" t="s">
        <v>3877</v>
      </c>
      <c r="D725">
        <v>2025</v>
      </c>
      <c r="E725" t="s">
        <v>56</v>
      </c>
      <c r="F725" t="s">
        <v>67</v>
      </c>
      <c r="G725" t="s">
        <v>3878</v>
      </c>
      <c r="H725" t="s">
        <v>3879</v>
      </c>
      <c r="I725" t="s">
        <v>3880</v>
      </c>
      <c r="J725" t="s">
        <v>71</v>
      </c>
      <c r="K725" t="s">
        <v>18</v>
      </c>
      <c r="L725" t="s">
        <v>72</v>
      </c>
      <c r="M725" t="s">
        <v>72</v>
      </c>
      <c r="N725" s="5"/>
      <c r="O725" t="str">
        <f t="shared" si="11"/>
        <v/>
      </c>
    </row>
    <row r="726" spans="1:15" x14ac:dyDescent="0.25">
      <c r="A726" t="s">
        <v>3881</v>
      </c>
      <c r="B726" t="s">
        <v>3882</v>
      </c>
      <c r="C726" t="s">
        <v>3883</v>
      </c>
      <c r="D726">
        <v>2025</v>
      </c>
      <c r="E726" t="s">
        <v>56</v>
      </c>
      <c r="F726" t="s">
        <v>57</v>
      </c>
      <c r="G726" t="s">
        <v>3884</v>
      </c>
      <c r="H726" t="s">
        <v>3885</v>
      </c>
      <c r="I726" t="s">
        <v>3886</v>
      </c>
      <c r="J726" t="s">
        <v>79</v>
      </c>
      <c r="K726" t="s">
        <v>80</v>
      </c>
      <c r="L726" t="s">
        <v>72</v>
      </c>
      <c r="M726" t="s">
        <v>72</v>
      </c>
      <c r="N726" s="5"/>
      <c r="O726" t="str">
        <f t="shared" si="11"/>
        <v/>
      </c>
    </row>
    <row r="727" spans="1:15" x14ac:dyDescent="0.25">
      <c r="A727" t="s">
        <v>3887</v>
      </c>
      <c r="B727" t="s">
        <v>3888</v>
      </c>
      <c r="C727" t="s">
        <v>921</v>
      </c>
      <c r="D727">
        <v>2025</v>
      </c>
      <c r="E727" t="s">
        <v>56</v>
      </c>
      <c r="F727" t="s">
        <v>67</v>
      </c>
      <c r="G727" t="s">
        <v>3567</v>
      </c>
      <c r="H727" t="s">
        <v>3889</v>
      </c>
      <c r="I727" t="s">
        <v>3890</v>
      </c>
      <c r="J727" t="s">
        <v>87</v>
      </c>
      <c r="K727" t="s">
        <v>19</v>
      </c>
      <c r="L727" t="s">
        <v>72</v>
      </c>
      <c r="M727" t="s">
        <v>72</v>
      </c>
      <c r="N727" s="5"/>
      <c r="O727" t="str">
        <f t="shared" si="11"/>
        <v/>
      </c>
    </row>
    <row r="728" spans="1:15" x14ac:dyDescent="0.25">
      <c r="A728" t="s">
        <v>3891</v>
      </c>
      <c r="B728" t="s">
        <v>3892</v>
      </c>
      <c r="C728" t="s">
        <v>3893</v>
      </c>
      <c r="D728">
        <v>2025</v>
      </c>
      <c r="E728" t="s">
        <v>56</v>
      </c>
      <c r="F728" t="s">
        <v>67</v>
      </c>
      <c r="G728" t="s">
        <v>3894</v>
      </c>
      <c r="H728" t="s">
        <v>3895</v>
      </c>
      <c r="I728" t="s">
        <v>3896</v>
      </c>
      <c r="J728" t="s">
        <v>71</v>
      </c>
      <c r="K728" t="s">
        <v>18</v>
      </c>
      <c r="L728" t="s">
        <v>72</v>
      </c>
      <c r="M728" t="s">
        <v>72</v>
      </c>
      <c r="N728" s="5"/>
      <c r="O728" t="str">
        <f t="shared" si="11"/>
        <v/>
      </c>
    </row>
    <row r="729" spans="1:15" x14ac:dyDescent="0.25">
      <c r="A729" t="s">
        <v>3897</v>
      </c>
      <c r="B729" t="s">
        <v>3898</v>
      </c>
      <c r="C729" t="s">
        <v>3899</v>
      </c>
      <c r="D729">
        <v>2025</v>
      </c>
      <c r="E729" t="s">
        <v>56</v>
      </c>
      <c r="F729" t="s">
        <v>67</v>
      </c>
      <c r="G729" t="s">
        <v>3900</v>
      </c>
      <c r="H729" t="s">
        <v>3901</v>
      </c>
      <c r="I729" t="s">
        <v>3902</v>
      </c>
      <c r="J729" t="s">
        <v>87</v>
      </c>
      <c r="K729" t="s">
        <v>19</v>
      </c>
      <c r="L729" t="s">
        <v>72</v>
      </c>
      <c r="M729" t="s">
        <v>72</v>
      </c>
      <c r="N729" s="5"/>
      <c r="O729" t="str">
        <f t="shared" si="11"/>
        <v/>
      </c>
    </row>
    <row r="730" spans="1:15" x14ac:dyDescent="0.25">
      <c r="A730" t="s">
        <v>3903</v>
      </c>
      <c r="B730" t="s">
        <v>3904</v>
      </c>
      <c r="C730" t="s">
        <v>3905</v>
      </c>
      <c r="D730">
        <v>2025</v>
      </c>
      <c r="E730" t="s">
        <v>56</v>
      </c>
      <c r="F730" t="s">
        <v>67</v>
      </c>
      <c r="G730" t="s">
        <v>3906</v>
      </c>
      <c r="H730" t="s">
        <v>3907</v>
      </c>
      <c r="I730" t="s">
        <v>3908</v>
      </c>
      <c r="J730" t="s">
        <v>71</v>
      </c>
      <c r="K730" t="s">
        <v>18</v>
      </c>
      <c r="L730" t="s">
        <v>72</v>
      </c>
      <c r="M730" t="s">
        <v>72</v>
      </c>
      <c r="N730" s="5"/>
      <c r="O730" t="str">
        <f t="shared" si="11"/>
        <v/>
      </c>
    </row>
    <row r="731" spans="1:15" x14ac:dyDescent="0.25">
      <c r="A731" t="s">
        <v>3909</v>
      </c>
      <c r="B731" t="s">
        <v>3910</v>
      </c>
      <c r="C731" t="s">
        <v>3911</v>
      </c>
      <c r="D731">
        <v>2025</v>
      </c>
      <c r="E731" t="s">
        <v>56</v>
      </c>
      <c r="F731" t="s">
        <v>67</v>
      </c>
      <c r="G731" t="s">
        <v>3912</v>
      </c>
      <c r="H731" t="s">
        <v>3913</v>
      </c>
      <c r="I731" t="s">
        <v>3914</v>
      </c>
      <c r="J731" t="s">
        <v>71</v>
      </c>
      <c r="K731" t="s">
        <v>18</v>
      </c>
      <c r="L731" t="s">
        <v>72</v>
      </c>
      <c r="M731" t="s">
        <v>72</v>
      </c>
      <c r="N731" s="5"/>
      <c r="O731" t="str">
        <f t="shared" si="11"/>
        <v/>
      </c>
    </row>
    <row r="732" spans="1:15" x14ac:dyDescent="0.25">
      <c r="A732" t="s">
        <v>3915</v>
      </c>
      <c r="B732" t="s">
        <v>3916</v>
      </c>
      <c r="C732" t="s">
        <v>3917</v>
      </c>
      <c r="D732">
        <v>2025</v>
      </c>
      <c r="E732" t="s">
        <v>56</v>
      </c>
      <c r="F732" t="s">
        <v>67</v>
      </c>
      <c r="G732" t="s">
        <v>986</v>
      </c>
      <c r="H732" t="s">
        <v>3918</v>
      </c>
      <c r="I732" t="s">
        <v>3919</v>
      </c>
      <c r="J732" t="s">
        <v>71</v>
      </c>
      <c r="K732" t="s">
        <v>18</v>
      </c>
      <c r="L732" t="s">
        <v>72</v>
      </c>
      <c r="M732" t="s">
        <v>72</v>
      </c>
      <c r="N732" s="5"/>
      <c r="O732" t="str">
        <f t="shared" si="11"/>
        <v/>
      </c>
    </row>
    <row r="733" spans="1:15" x14ac:dyDescent="0.25">
      <c r="A733" t="s">
        <v>3920</v>
      </c>
      <c r="B733" t="s">
        <v>3921</v>
      </c>
      <c r="C733" t="s">
        <v>2671</v>
      </c>
      <c r="D733">
        <v>2025</v>
      </c>
      <c r="E733" t="s">
        <v>56</v>
      </c>
      <c r="F733" t="s">
        <v>67</v>
      </c>
      <c r="G733" t="s">
        <v>3288</v>
      </c>
      <c r="H733" t="s">
        <v>3922</v>
      </c>
      <c r="I733" t="s">
        <v>3923</v>
      </c>
      <c r="J733" t="s">
        <v>71</v>
      </c>
      <c r="K733" t="s">
        <v>18</v>
      </c>
      <c r="L733" t="s">
        <v>72</v>
      </c>
      <c r="M733" t="s">
        <v>72</v>
      </c>
      <c r="N733" s="5"/>
      <c r="O733" t="str">
        <f t="shared" si="11"/>
        <v/>
      </c>
    </row>
    <row r="734" spans="1:15" x14ac:dyDescent="0.25">
      <c r="A734" t="s">
        <v>3924</v>
      </c>
      <c r="B734" t="s">
        <v>3925</v>
      </c>
      <c r="C734" t="s">
        <v>3926</v>
      </c>
      <c r="D734">
        <v>2025</v>
      </c>
      <c r="E734" t="s">
        <v>56</v>
      </c>
      <c r="F734" t="s">
        <v>67</v>
      </c>
      <c r="G734" t="s">
        <v>3927</v>
      </c>
      <c r="H734" t="s">
        <v>3928</v>
      </c>
      <c r="I734" t="s">
        <v>3929</v>
      </c>
      <c r="J734" t="s">
        <v>87</v>
      </c>
      <c r="K734" t="s">
        <v>19</v>
      </c>
      <c r="L734" t="s">
        <v>72</v>
      </c>
      <c r="M734" t="s">
        <v>72</v>
      </c>
      <c r="N734" s="5"/>
      <c r="O734" t="str">
        <f t="shared" si="11"/>
        <v/>
      </c>
    </row>
    <row r="735" spans="1:15" x14ac:dyDescent="0.25">
      <c r="A735" t="s">
        <v>3930</v>
      </c>
      <c r="B735" t="s">
        <v>3931</v>
      </c>
      <c r="C735" t="s">
        <v>2108</v>
      </c>
      <c r="D735">
        <v>2025</v>
      </c>
      <c r="E735" t="s">
        <v>56</v>
      </c>
      <c r="F735" t="s">
        <v>57</v>
      </c>
      <c r="G735" t="s">
        <v>1623</v>
      </c>
      <c r="H735" t="s">
        <v>3932</v>
      </c>
      <c r="I735" t="s">
        <v>3933</v>
      </c>
      <c r="J735" t="s">
        <v>71</v>
      </c>
      <c r="K735" t="s">
        <v>18</v>
      </c>
      <c r="L735" t="s">
        <v>72</v>
      </c>
      <c r="M735" t="s">
        <v>72</v>
      </c>
      <c r="N735" s="5"/>
      <c r="O735" t="str">
        <f t="shared" si="11"/>
        <v/>
      </c>
    </row>
    <row r="736" spans="1:15" x14ac:dyDescent="0.25">
      <c r="A736" t="s">
        <v>3934</v>
      </c>
      <c r="B736" t="s">
        <v>3935</v>
      </c>
      <c r="C736" t="s">
        <v>428</v>
      </c>
      <c r="D736">
        <v>2025</v>
      </c>
      <c r="E736" t="s">
        <v>56</v>
      </c>
      <c r="F736" t="s">
        <v>67</v>
      </c>
      <c r="G736" t="s">
        <v>3936</v>
      </c>
      <c r="H736" t="s">
        <v>3937</v>
      </c>
      <c r="I736" t="s">
        <v>3938</v>
      </c>
      <c r="J736" t="s">
        <v>71</v>
      </c>
      <c r="K736" t="s">
        <v>18</v>
      </c>
      <c r="L736" t="s">
        <v>72</v>
      </c>
      <c r="M736" t="s">
        <v>72</v>
      </c>
      <c r="N736" s="5"/>
      <c r="O736" t="str">
        <f t="shared" si="11"/>
        <v/>
      </c>
    </row>
    <row r="737" spans="1:15" x14ac:dyDescent="0.25">
      <c r="A737" t="s">
        <v>3939</v>
      </c>
      <c r="B737" t="s">
        <v>3940</v>
      </c>
      <c r="C737" t="s">
        <v>571</v>
      </c>
      <c r="D737">
        <v>2025</v>
      </c>
      <c r="E737" t="s">
        <v>56</v>
      </c>
      <c r="F737" t="s">
        <v>67</v>
      </c>
      <c r="G737" t="s">
        <v>188</v>
      </c>
      <c r="H737" t="s">
        <v>3941</v>
      </c>
      <c r="I737" t="s">
        <v>3942</v>
      </c>
      <c r="J737" t="s">
        <v>71</v>
      </c>
      <c r="K737" t="s">
        <v>18</v>
      </c>
      <c r="L737" t="s">
        <v>72</v>
      </c>
      <c r="M737" t="s">
        <v>72</v>
      </c>
      <c r="N737" s="5"/>
      <c r="O737" t="str">
        <f t="shared" si="11"/>
        <v/>
      </c>
    </row>
    <row r="738" spans="1:15" x14ac:dyDescent="0.25">
      <c r="A738" t="s">
        <v>3943</v>
      </c>
      <c r="B738" t="s">
        <v>3944</v>
      </c>
      <c r="C738" t="s">
        <v>3945</v>
      </c>
      <c r="D738">
        <v>2025</v>
      </c>
      <c r="E738" t="s">
        <v>56</v>
      </c>
      <c r="F738" t="s">
        <v>57</v>
      </c>
      <c r="G738" t="s">
        <v>279</v>
      </c>
      <c r="H738" t="s">
        <v>3946</v>
      </c>
      <c r="I738" t="s">
        <v>3947</v>
      </c>
      <c r="J738" t="s">
        <v>87</v>
      </c>
      <c r="K738" t="s">
        <v>19</v>
      </c>
      <c r="L738" t="s">
        <v>72</v>
      </c>
      <c r="M738" t="s">
        <v>72</v>
      </c>
      <c r="N738" s="5"/>
      <c r="O738" t="str">
        <f t="shared" si="11"/>
        <v/>
      </c>
    </row>
    <row r="739" spans="1:15" x14ac:dyDescent="0.25">
      <c r="A739" t="s">
        <v>3948</v>
      </c>
      <c r="B739" t="s">
        <v>3949</v>
      </c>
      <c r="C739" t="s">
        <v>2432</v>
      </c>
      <c r="D739">
        <v>2025</v>
      </c>
      <c r="E739" t="s">
        <v>56</v>
      </c>
      <c r="F739" t="s">
        <v>67</v>
      </c>
      <c r="G739" t="s">
        <v>3950</v>
      </c>
      <c r="H739" t="s">
        <v>3951</v>
      </c>
      <c r="I739" t="s">
        <v>3952</v>
      </c>
      <c r="J739" t="s">
        <v>71</v>
      </c>
      <c r="K739" t="s">
        <v>18</v>
      </c>
      <c r="L739" t="s">
        <v>72</v>
      </c>
      <c r="M739" t="s">
        <v>72</v>
      </c>
      <c r="N739" s="5"/>
      <c r="O739" t="str">
        <f t="shared" si="11"/>
        <v/>
      </c>
    </row>
    <row r="740" spans="1:15" x14ac:dyDescent="0.25">
      <c r="A740" t="s">
        <v>3953</v>
      </c>
      <c r="B740" t="s">
        <v>3949</v>
      </c>
      <c r="C740" t="s">
        <v>3095</v>
      </c>
      <c r="D740">
        <v>2025</v>
      </c>
      <c r="E740" t="s">
        <v>56</v>
      </c>
      <c r="F740" t="s">
        <v>67</v>
      </c>
      <c r="G740" t="s">
        <v>3954</v>
      </c>
      <c r="H740" t="s">
        <v>3951</v>
      </c>
      <c r="I740" t="s">
        <v>3955</v>
      </c>
      <c r="J740" t="s">
        <v>71</v>
      </c>
      <c r="K740" t="s">
        <v>18</v>
      </c>
      <c r="L740" t="s">
        <v>72</v>
      </c>
      <c r="M740" t="s">
        <v>72</v>
      </c>
      <c r="N740" s="5"/>
      <c r="O740" t="str">
        <f t="shared" si="11"/>
        <v/>
      </c>
    </row>
    <row r="741" spans="1:15" x14ac:dyDescent="0.25">
      <c r="A741" t="s">
        <v>3956</v>
      </c>
      <c r="B741" t="s">
        <v>3957</v>
      </c>
      <c r="C741" t="s">
        <v>1238</v>
      </c>
      <c r="D741">
        <v>2025</v>
      </c>
      <c r="E741" t="s">
        <v>56</v>
      </c>
      <c r="F741" t="s">
        <v>67</v>
      </c>
      <c r="G741" t="s">
        <v>2990</v>
      </c>
      <c r="H741" t="s">
        <v>3958</v>
      </c>
      <c r="I741" t="s">
        <v>3959</v>
      </c>
      <c r="J741" t="s">
        <v>98</v>
      </c>
      <c r="K741" t="s">
        <v>99</v>
      </c>
      <c r="L741" t="s">
        <v>63</v>
      </c>
      <c r="M741" t="s">
        <v>72</v>
      </c>
      <c r="N741" s="5"/>
      <c r="O741" t="str">
        <f t="shared" si="11"/>
        <v/>
      </c>
    </row>
    <row r="742" spans="1:15" x14ac:dyDescent="0.25">
      <c r="A742" t="s">
        <v>3960</v>
      </c>
      <c r="B742" t="s">
        <v>3961</v>
      </c>
      <c r="C742" t="s">
        <v>3962</v>
      </c>
      <c r="D742">
        <v>2025</v>
      </c>
      <c r="E742" t="s">
        <v>56</v>
      </c>
      <c r="F742" t="s">
        <v>67</v>
      </c>
      <c r="G742" t="s">
        <v>3963</v>
      </c>
      <c r="H742" t="s">
        <v>3964</v>
      </c>
      <c r="I742" t="s">
        <v>3965</v>
      </c>
      <c r="J742" t="s">
        <v>71</v>
      </c>
      <c r="K742" t="s">
        <v>18</v>
      </c>
      <c r="L742" t="s">
        <v>72</v>
      </c>
      <c r="M742" t="s">
        <v>72</v>
      </c>
      <c r="N742" s="5"/>
      <c r="O742" t="str">
        <f t="shared" si="11"/>
        <v/>
      </c>
    </row>
    <row r="743" spans="1:15" x14ac:dyDescent="0.25">
      <c r="A743" t="s">
        <v>3966</v>
      </c>
      <c r="B743" t="s">
        <v>3967</v>
      </c>
      <c r="C743" t="s">
        <v>144</v>
      </c>
      <c r="D743">
        <v>2025</v>
      </c>
      <c r="E743" t="s">
        <v>56</v>
      </c>
      <c r="F743" t="s">
        <v>57</v>
      </c>
      <c r="G743" t="s">
        <v>3968</v>
      </c>
      <c r="H743" t="s">
        <v>3969</v>
      </c>
      <c r="I743" t="s">
        <v>3970</v>
      </c>
      <c r="J743" t="s">
        <v>87</v>
      </c>
      <c r="K743" t="s">
        <v>19</v>
      </c>
      <c r="L743" t="s">
        <v>72</v>
      </c>
      <c r="M743" t="s">
        <v>72</v>
      </c>
      <c r="N743" s="5"/>
      <c r="O743" t="str">
        <f t="shared" si="11"/>
        <v/>
      </c>
    </row>
    <row r="744" spans="1:15" x14ac:dyDescent="0.25">
      <c r="A744" t="s">
        <v>3971</v>
      </c>
      <c r="B744" t="s">
        <v>3972</v>
      </c>
      <c r="C744" t="s">
        <v>3973</v>
      </c>
      <c r="D744">
        <v>2025</v>
      </c>
      <c r="E744" t="s">
        <v>56</v>
      </c>
      <c r="F744" t="s">
        <v>67</v>
      </c>
      <c r="G744" t="s">
        <v>3288</v>
      </c>
      <c r="H744" t="s">
        <v>3974</v>
      </c>
      <c r="I744" t="s">
        <v>3975</v>
      </c>
      <c r="J744" t="s">
        <v>71</v>
      </c>
      <c r="K744" t="s">
        <v>18</v>
      </c>
      <c r="L744" t="s">
        <v>72</v>
      </c>
      <c r="M744" t="s">
        <v>72</v>
      </c>
      <c r="N744" s="5"/>
      <c r="O744" t="str">
        <f t="shared" si="11"/>
        <v/>
      </c>
    </row>
    <row r="745" spans="1:15" x14ac:dyDescent="0.25">
      <c r="A745" t="s">
        <v>3976</v>
      </c>
      <c r="B745" t="s">
        <v>3977</v>
      </c>
      <c r="C745" t="s">
        <v>3978</v>
      </c>
      <c r="D745">
        <v>2025</v>
      </c>
      <c r="E745" t="s">
        <v>56</v>
      </c>
      <c r="F745" t="s">
        <v>57</v>
      </c>
      <c r="G745" t="s">
        <v>3979</v>
      </c>
      <c r="H745" t="s">
        <v>3980</v>
      </c>
      <c r="I745" t="s">
        <v>3981</v>
      </c>
      <c r="J745" t="s">
        <v>71</v>
      </c>
      <c r="K745" t="s">
        <v>18</v>
      </c>
      <c r="L745" t="s">
        <v>72</v>
      </c>
      <c r="M745" t="s">
        <v>72</v>
      </c>
      <c r="N745" s="5"/>
      <c r="O745" t="str">
        <f t="shared" si="11"/>
        <v/>
      </c>
    </row>
    <row r="746" spans="1:15" x14ac:dyDescent="0.25">
      <c r="A746" t="s">
        <v>3982</v>
      </c>
      <c r="B746" t="s">
        <v>3983</v>
      </c>
      <c r="C746" t="s">
        <v>3984</v>
      </c>
      <c r="D746">
        <v>2025</v>
      </c>
      <c r="E746" t="s">
        <v>56</v>
      </c>
      <c r="F746" t="s">
        <v>67</v>
      </c>
      <c r="G746" t="s">
        <v>3985</v>
      </c>
      <c r="H746" t="s">
        <v>3986</v>
      </c>
      <c r="I746" t="s">
        <v>3987</v>
      </c>
      <c r="J746" t="s">
        <v>71</v>
      </c>
      <c r="K746" t="s">
        <v>18</v>
      </c>
      <c r="L746" t="s">
        <v>72</v>
      </c>
      <c r="M746" t="s">
        <v>72</v>
      </c>
      <c r="N746" s="5"/>
      <c r="O746" t="str">
        <f t="shared" si="11"/>
        <v/>
      </c>
    </row>
    <row r="747" spans="1:15" x14ac:dyDescent="0.25">
      <c r="A747" t="s">
        <v>3988</v>
      </c>
      <c r="B747" t="s">
        <v>3989</v>
      </c>
      <c r="C747" t="s">
        <v>3990</v>
      </c>
      <c r="D747">
        <v>2025</v>
      </c>
      <c r="E747" t="s">
        <v>56</v>
      </c>
      <c r="F747" t="s">
        <v>67</v>
      </c>
      <c r="G747" t="s">
        <v>3991</v>
      </c>
      <c r="H747" t="s">
        <v>3992</v>
      </c>
      <c r="I747" t="s">
        <v>3993</v>
      </c>
      <c r="J747" t="s">
        <v>71</v>
      </c>
      <c r="K747" t="s">
        <v>18</v>
      </c>
      <c r="L747" t="s">
        <v>72</v>
      </c>
      <c r="M747" t="s">
        <v>72</v>
      </c>
      <c r="N747" s="5"/>
      <c r="O747" t="str">
        <f t="shared" si="11"/>
        <v/>
      </c>
    </row>
    <row r="748" spans="1:15" x14ac:dyDescent="0.25">
      <c r="A748" t="s">
        <v>3994</v>
      </c>
      <c r="B748" t="s">
        <v>3995</v>
      </c>
      <c r="C748" t="s">
        <v>2361</v>
      </c>
      <c r="D748">
        <v>2025</v>
      </c>
      <c r="E748" t="s">
        <v>56</v>
      </c>
      <c r="F748" t="s">
        <v>67</v>
      </c>
      <c r="G748" t="s">
        <v>3996</v>
      </c>
      <c r="H748" t="s">
        <v>3997</v>
      </c>
      <c r="I748" t="s">
        <v>3998</v>
      </c>
      <c r="J748" t="s">
        <v>71</v>
      </c>
      <c r="K748" t="s">
        <v>18</v>
      </c>
      <c r="L748" t="s">
        <v>72</v>
      </c>
      <c r="M748" t="s">
        <v>72</v>
      </c>
      <c r="N748" s="5"/>
      <c r="O748" t="str">
        <f t="shared" si="11"/>
        <v/>
      </c>
    </row>
    <row r="749" spans="1:15" x14ac:dyDescent="0.25">
      <c r="A749" t="s">
        <v>3999</v>
      </c>
      <c r="B749" t="s">
        <v>4000</v>
      </c>
      <c r="C749" t="s">
        <v>4001</v>
      </c>
      <c r="D749">
        <v>2025</v>
      </c>
      <c r="E749" t="s">
        <v>56</v>
      </c>
      <c r="F749" t="s">
        <v>67</v>
      </c>
      <c r="G749" t="s">
        <v>3288</v>
      </c>
      <c r="H749" t="s">
        <v>4002</v>
      </c>
      <c r="I749" t="s">
        <v>4003</v>
      </c>
      <c r="J749" t="s">
        <v>71</v>
      </c>
      <c r="K749" t="s">
        <v>18</v>
      </c>
      <c r="L749" t="s">
        <v>72</v>
      </c>
      <c r="M749" t="s">
        <v>72</v>
      </c>
      <c r="N749" s="5"/>
      <c r="O749" t="str">
        <f t="shared" si="11"/>
        <v/>
      </c>
    </row>
    <row r="750" spans="1:15" x14ac:dyDescent="0.25">
      <c r="A750" t="s">
        <v>4004</v>
      </c>
      <c r="B750" t="s">
        <v>4005</v>
      </c>
      <c r="C750" t="s">
        <v>4006</v>
      </c>
      <c r="D750">
        <v>2025</v>
      </c>
      <c r="E750" t="s">
        <v>56</v>
      </c>
      <c r="F750" t="s">
        <v>67</v>
      </c>
      <c r="G750" t="s">
        <v>4007</v>
      </c>
      <c r="I750" t="s">
        <v>4008</v>
      </c>
      <c r="J750" t="s">
        <v>71</v>
      </c>
      <c r="K750" t="s">
        <v>18</v>
      </c>
      <c r="L750" t="s">
        <v>72</v>
      </c>
      <c r="M750" t="s">
        <v>72</v>
      </c>
      <c r="N750" s="5"/>
      <c r="O750" t="str">
        <f t="shared" si="11"/>
        <v/>
      </c>
    </row>
    <row r="751" spans="1:15" x14ac:dyDescent="0.25">
      <c r="A751" t="s">
        <v>4009</v>
      </c>
      <c r="B751" t="s">
        <v>4010</v>
      </c>
      <c r="C751" t="s">
        <v>4011</v>
      </c>
      <c r="D751">
        <v>2025</v>
      </c>
      <c r="E751" t="s">
        <v>56</v>
      </c>
      <c r="F751" t="s">
        <v>67</v>
      </c>
      <c r="G751" t="s">
        <v>3139</v>
      </c>
      <c r="H751" t="s">
        <v>4012</v>
      </c>
      <c r="I751" t="s">
        <v>4013</v>
      </c>
      <c r="J751" t="s">
        <v>71</v>
      </c>
      <c r="K751" t="s">
        <v>18</v>
      </c>
      <c r="L751" t="s">
        <v>72</v>
      </c>
      <c r="M751" t="s">
        <v>72</v>
      </c>
      <c r="N751" s="5"/>
      <c r="O751" t="str">
        <f t="shared" si="11"/>
        <v/>
      </c>
    </row>
    <row r="752" spans="1:15" x14ac:dyDescent="0.25">
      <c r="A752" t="s">
        <v>4014</v>
      </c>
      <c r="B752" t="s">
        <v>4015</v>
      </c>
      <c r="C752" t="s">
        <v>4016</v>
      </c>
      <c r="D752">
        <v>2025</v>
      </c>
      <c r="E752" t="s">
        <v>56</v>
      </c>
      <c r="F752" t="s">
        <v>67</v>
      </c>
      <c r="G752" t="s">
        <v>151</v>
      </c>
      <c r="H752" t="s">
        <v>4017</v>
      </c>
      <c r="I752" t="s">
        <v>4018</v>
      </c>
      <c r="J752" t="s">
        <v>87</v>
      </c>
      <c r="K752" t="s">
        <v>19</v>
      </c>
      <c r="L752" t="s">
        <v>72</v>
      </c>
      <c r="M752" t="s">
        <v>72</v>
      </c>
      <c r="N752" s="5"/>
      <c r="O752" t="str">
        <f t="shared" si="11"/>
        <v/>
      </c>
    </row>
    <row r="753" spans="1:15" x14ac:dyDescent="0.25">
      <c r="A753" t="s">
        <v>4019</v>
      </c>
      <c r="B753" t="s">
        <v>4020</v>
      </c>
      <c r="C753" t="s">
        <v>544</v>
      </c>
      <c r="D753">
        <v>2025</v>
      </c>
      <c r="E753" t="s">
        <v>56</v>
      </c>
      <c r="F753" t="s">
        <v>67</v>
      </c>
      <c r="G753" t="s">
        <v>4021</v>
      </c>
      <c r="H753" t="s">
        <v>4022</v>
      </c>
      <c r="I753" t="s">
        <v>4023</v>
      </c>
      <c r="J753" t="s">
        <v>71</v>
      </c>
      <c r="K753" t="s">
        <v>18</v>
      </c>
      <c r="L753" t="s">
        <v>72</v>
      </c>
      <c r="M753" t="s">
        <v>72</v>
      </c>
      <c r="N753" s="5"/>
      <c r="O753" t="str">
        <f t="shared" si="11"/>
        <v/>
      </c>
    </row>
    <row r="754" spans="1:15" x14ac:dyDescent="0.25">
      <c r="A754" t="s">
        <v>4024</v>
      </c>
      <c r="B754" t="s">
        <v>4025</v>
      </c>
      <c r="C754" t="s">
        <v>4026</v>
      </c>
      <c r="D754">
        <v>2025</v>
      </c>
      <c r="E754" t="s">
        <v>56</v>
      </c>
      <c r="F754" t="s">
        <v>57</v>
      </c>
      <c r="G754" t="s">
        <v>4027</v>
      </c>
      <c r="H754" t="s">
        <v>4028</v>
      </c>
      <c r="I754" t="s">
        <v>4029</v>
      </c>
      <c r="J754" t="s">
        <v>87</v>
      </c>
      <c r="K754" t="s">
        <v>19</v>
      </c>
      <c r="L754" t="s">
        <v>72</v>
      </c>
      <c r="M754" t="s">
        <v>72</v>
      </c>
      <c r="N754" s="5"/>
      <c r="O754" t="str">
        <f t="shared" si="11"/>
        <v/>
      </c>
    </row>
    <row r="755" spans="1:15" x14ac:dyDescent="0.25">
      <c r="A755" t="s">
        <v>4030</v>
      </c>
      <c r="B755" t="s">
        <v>4031</v>
      </c>
      <c r="C755" t="s">
        <v>4032</v>
      </c>
      <c r="D755">
        <v>2025</v>
      </c>
      <c r="E755" t="s">
        <v>56</v>
      </c>
      <c r="F755" t="s">
        <v>67</v>
      </c>
      <c r="G755" t="s">
        <v>3552</v>
      </c>
      <c r="H755" t="s">
        <v>4033</v>
      </c>
      <c r="I755" t="s">
        <v>4034</v>
      </c>
      <c r="J755" t="s">
        <v>71</v>
      </c>
      <c r="K755" t="s">
        <v>18</v>
      </c>
      <c r="L755" t="s">
        <v>72</v>
      </c>
      <c r="M755" t="s">
        <v>72</v>
      </c>
      <c r="N755" s="5"/>
      <c r="O755" t="str">
        <f t="shared" si="11"/>
        <v/>
      </c>
    </row>
    <row r="756" spans="1:15" x14ac:dyDescent="0.25">
      <c r="A756" t="s">
        <v>4035</v>
      </c>
      <c r="B756" t="s">
        <v>4036</v>
      </c>
      <c r="C756" t="s">
        <v>4037</v>
      </c>
      <c r="D756">
        <v>2025</v>
      </c>
      <c r="E756" t="s">
        <v>56</v>
      </c>
      <c r="F756" t="s">
        <v>67</v>
      </c>
      <c r="G756" t="s">
        <v>4038</v>
      </c>
      <c r="H756" t="s">
        <v>4039</v>
      </c>
      <c r="I756" t="s">
        <v>4040</v>
      </c>
      <c r="J756" t="s">
        <v>71</v>
      </c>
      <c r="K756" t="s">
        <v>18</v>
      </c>
      <c r="L756" t="s">
        <v>72</v>
      </c>
      <c r="M756" t="s">
        <v>72</v>
      </c>
      <c r="N756" s="5"/>
      <c r="O756" t="str">
        <f t="shared" si="11"/>
        <v/>
      </c>
    </row>
    <row r="757" spans="1:15" x14ac:dyDescent="0.25">
      <c r="A757" t="s">
        <v>4041</v>
      </c>
      <c r="B757" t="s">
        <v>4042</v>
      </c>
      <c r="C757" t="s">
        <v>4043</v>
      </c>
      <c r="D757">
        <v>2025</v>
      </c>
      <c r="E757" t="s">
        <v>56</v>
      </c>
      <c r="F757" t="s">
        <v>57</v>
      </c>
      <c r="G757" t="s">
        <v>4044</v>
      </c>
      <c r="H757" t="s">
        <v>4045</v>
      </c>
      <c r="I757" t="s">
        <v>4046</v>
      </c>
      <c r="J757" t="s">
        <v>71</v>
      </c>
      <c r="K757" t="s">
        <v>18</v>
      </c>
      <c r="L757" t="s">
        <v>72</v>
      </c>
      <c r="M757" t="s">
        <v>72</v>
      </c>
      <c r="N757" s="5"/>
      <c r="O757" t="str">
        <f t="shared" si="11"/>
        <v/>
      </c>
    </row>
    <row r="758" spans="1:15" x14ac:dyDescent="0.25">
      <c r="A758" t="s">
        <v>4047</v>
      </c>
      <c r="B758" t="s">
        <v>4048</v>
      </c>
      <c r="C758" t="s">
        <v>4049</v>
      </c>
      <c r="D758">
        <v>2025</v>
      </c>
      <c r="E758" t="s">
        <v>56</v>
      </c>
      <c r="F758" t="s">
        <v>57</v>
      </c>
      <c r="G758" t="s">
        <v>418</v>
      </c>
      <c r="H758" t="s">
        <v>4050</v>
      </c>
      <c r="I758" t="s">
        <v>4051</v>
      </c>
      <c r="J758" t="s">
        <v>79</v>
      </c>
      <c r="K758" t="s">
        <v>80</v>
      </c>
      <c r="L758" t="s">
        <v>72</v>
      </c>
      <c r="M758" t="s">
        <v>72</v>
      </c>
      <c r="N758" s="5"/>
      <c r="O758" t="str">
        <f t="shared" si="11"/>
        <v/>
      </c>
    </row>
    <row r="759" spans="1:15" x14ac:dyDescent="0.25">
      <c r="A759" t="s">
        <v>4052</v>
      </c>
      <c r="B759" t="s">
        <v>4053</v>
      </c>
      <c r="C759" t="s">
        <v>4054</v>
      </c>
      <c r="D759">
        <v>2025</v>
      </c>
      <c r="E759" t="s">
        <v>56</v>
      </c>
      <c r="F759" t="s">
        <v>67</v>
      </c>
      <c r="G759" t="s">
        <v>3234</v>
      </c>
      <c r="H759" t="s">
        <v>4055</v>
      </c>
      <c r="I759" t="s">
        <v>4056</v>
      </c>
      <c r="J759" t="s">
        <v>71</v>
      </c>
      <c r="K759" t="s">
        <v>18</v>
      </c>
      <c r="L759" t="s">
        <v>72</v>
      </c>
      <c r="M759" t="s">
        <v>72</v>
      </c>
      <c r="N759" s="5"/>
      <c r="O759" t="str">
        <f t="shared" si="11"/>
        <v/>
      </c>
    </row>
    <row r="760" spans="1:15" x14ac:dyDescent="0.25">
      <c r="A760" t="s">
        <v>4057</v>
      </c>
      <c r="B760" t="s">
        <v>4058</v>
      </c>
      <c r="C760" t="s">
        <v>566</v>
      </c>
      <c r="D760">
        <v>2025</v>
      </c>
      <c r="E760" t="s">
        <v>56</v>
      </c>
      <c r="F760" t="s">
        <v>67</v>
      </c>
      <c r="G760" t="s">
        <v>679</v>
      </c>
      <c r="H760" t="s">
        <v>4059</v>
      </c>
      <c r="I760" t="s">
        <v>4060</v>
      </c>
      <c r="J760" t="s">
        <v>71</v>
      </c>
      <c r="K760" t="s">
        <v>18</v>
      </c>
      <c r="L760" t="s">
        <v>72</v>
      </c>
      <c r="M760" t="s">
        <v>72</v>
      </c>
      <c r="N760" s="5"/>
      <c r="O760" t="str">
        <f t="shared" si="11"/>
        <v/>
      </c>
    </row>
    <row r="761" spans="1:15" x14ac:dyDescent="0.25">
      <c r="A761" t="s">
        <v>4061</v>
      </c>
      <c r="B761" t="s">
        <v>4062</v>
      </c>
      <c r="C761" t="s">
        <v>4063</v>
      </c>
      <c r="D761">
        <v>2025</v>
      </c>
      <c r="E761" t="s">
        <v>56</v>
      </c>
      <c r="F761" t="s">
        <v>67</v>
      </c>
      <c r="G761" t="s">
        <v>4064</v>
      </c>
      <c r="H761" t="s">
        <v>4065</v>
      </c>
      <c r="I761" t="s">
        <v>4066</v>
      </c>
      <c r="J761" t="s">
        <v>79</v>
      </c>
      <c r="K761" t="s">
        <v>80</v>
      </c>
      <c r="L761" t="s">
        <v>72</v>
      </c>
      <c r="M761" t="s">
        <v>72</v>
      </c>
      <c r="N761" s="5"/>
      <c r="O761" t="str">
        <f t="shared" si="11"/>
        <v/>
      </c>
    </row>
    <row r="762" spans="1:15" x14ac:dyDescent="0.25">
      <c r="A762" t="s">
        <v>4067</v>
      </c>
      <c r="B762" t="s">
        <v>4068</v>
      </c>
      <c r="C762" t="s">
        <v>4049</v>
      </c>
      <c r="D762">
        <v>2025</v>
      </c>
      <c r="E762" t="s">
        <v>56</v>
      </c>
      <c r="F762" t="s">
        <v>57</v>
      </c>
      <c r="G762" t="s">
        <v>750</v>
      </c>
      <c r="H762" t="s">
        <v>4069</v>
      </c>
      <c r="I762" t="s">
        <v>4070</v>
      </c>
      <c r="J762" t="s">
        <v>79</v>
      </c>
      <c r="K762" t="s">
        <v>80</v>
      </c>
      <c r="L762" t="s">
        <v>72</v>
      </c>
      <c r="M762" t="s">
        <v>72</v>
      </c>
      <c r="N762" s="5"/>
      <c r="O762" t="str">
        <f t="shared" si="11"/>
        <v/>
      </c>
    </row>
    <row r="763" spans="1:15" x14ac:dyDescent="0.25">
      <c r="A763" t="s">
        <v>4071</v>
      </c>
      <c r="B763" t="s">
        <v>4072</v>
      </c>
      <c r="C763" t="s">
        <v>3745</v>
      </c>
      <c r="D763">
        <v>2025</v>
      </c>
      <c r="E763" t="s">
        <v>56</v>
      </c>
      <c r="F763" t="s">
        <v>57</v>
      </c>
      <c r="G763" t="s">
        <v>739</v>
      </c>
      <c r="H763" t="s">
        <v>4073</v>
      </c>
      <c r="I763" t="s">
        <v>4074</v>
      </c>
      <c r="J763" t="s">
        <v>87</v>
      </c>
      <c r="K763" t="s">
        <v>19</v>
      </c>
      <c r="L763" t="s">
        <v>72</v>
      </c>
      <c r="M763" t="s">
        <v>72</v>
      </c>
      <c r="N763" s="5"/>
      <c r="O763" t="str">
        <f t="shared" si="11"/>
        <v/>
      </c>
    </row>
    <row r="764" spans="1:15" x14ac:dyDescent="0.25">
      <c r="A764" t="s">
        <v>4075</v>
      </c>
      <c r="B764" t="s">
        <v>4076</v>
      </c>
      <c r="C764" t="s">
        <v>4077</v>
      </c>
      <c r="D764">
        <v>2025</v>
      </c>
      <c r="E764" t="s">
        <v>56</v>
      </c>
      <c r="F764" t="s">
        <v>57</v>
      </c>
      <c r="G764" t="s">
        <v>418</v>
      </c>
      <c r="H764" t="s">
        <v>4078</v>
      </c>
      <c r="I764" t="s">
        <v>4079</v>
      </c>
      <c r="J764" t="s">
        <v>61</v>
      </c>
      <c r="K764" t="s">
        <v>62</v>
      </c>
      <c r="L764" t="s">
        <v>63</v>
      </c>
      <c r="M764" t="s">
        <v>63</v>
      </c>
      <c r="N764" s="5"/>
      <c r="O764" t="str">
        <f t="shared" si="11"/>
        <v/>
      </c>
    </row>
    <row r="765" spans="1:15" x14ac:dyDescent="0.25">
      <c r="A765" t="s">
        <v>4080</v>
      </c>
      <c r="B765" t="s">
        <v>4081</v>
      </c>
      <c r="C765" t="s">
        <v>4082</v>
      </c>
      <c r="D765">
        <v>2025</v>
      </c>
      <c r="E765" t="s">
        <v>56</v>
      </c>
      <c r="F765" t="s">
        <v>57</v>
      </c>
      <c r="G765" t="s">
        <v>766</v>
      </c>
      <c r="H765" t="s">
        <v>4083</v>
      </c>
      <c r="I765" t="s">
        <v>4084</v>
      </c>
      <c r="J765" t="s">
        <v>79</v>
      </c>
      <c r="K765" t="s">
        <v>80</v>
      </c>
      <c r="L765" t="s">
        <v>72</v>
      </c>
      <c r="M765" t="s">
        <v>72</v>
      </c>
      <c r="N765" s="5"/>
      <c r="O765" t="str">
        <f t="shared" si="11"/>
        <v/>
      </c>
    </row>
    <row r="766" spans="1:15" x14ac:dyDescent="0.25">
      <c r="A766" t="s">
        <v>4085</v>
      </c>
      <c r="B766" t="s">
        <v>4086</v>
      </c>
      <c r="C766" t="s">
        <v>3962</v>
      </c>
      <c r="D766">
        <v>2025</v>
      </c>
      <c r="E766" t="s">
        <v>56</v>
      </c>
      <c r="F766" t="s">
        <v>67</v>
      </c>
      <c r="G766" t="s">
        <v>3689</v>
      </c>
      <c r="H766" t="s">
        <v>4087</v>
      </c>
      <c r="I766" t="s">
        <v>4088</v>
      </c>
      <c r="J766" t="s">
        <v>71</v>
      </c>
      <c r="K766" t="s">
        <v>18</v>
      </c>
      <c r="L766" t="s">
        <v>72</v>
      </c>
      <c r="M766" t="s">
        <v>72</v>
      </c>
      <c r="N766" s="5"/>
      <c r="O766" t="str">
        <f t="shared" si="11"/>
        <v/>
      </c>
    </row>
    <row r="767" spans="1:15" x14ac:dyDescent="0.25">
      <c r="A767" t="s">
        <v>4089</v>
      </c>
      <c r="B767" t="s">
        <v>4086</v>
      </c>
      <c r="C767" t="s">
        <v>4090</v>
      </c>
      <c r="D767">
        <v>2025</v>
      </c>
      <c r="E767" t="s">
        <v>56</v>
      </c>
      <c r="F767" t="s">
        <v>67</v>
      </c>
      <c r="G767" t="s">
        <v>4091</v>
      </c>
      <c r="H767" t="s">
        <v>4087</v>
      </c>
      <c r="I767" t="s">
        <v>4092</v>
      </c>
      <c r="J767" t="s">
        <v>71</v>
      </c>
      <c r="K767" t="s">
        <v>18</v>
      </c>
      <c r="L767" t="s">
        <v>72</v>
      </c>
      <c r="M767" t="s">
        <v>72</v>
      </c>
      <c r="N767" s="5"/>
      <c r="O767" t="str">
        <f t="shared" si="11"/>
        <v/>
      </c>
    </row>
    <row r="768" spans="1:15" x14ac:dyDescent="0.25">
      <c r="A768" t="s">
        <v>4093</v>
      </c>
      <c r="B768" t="s">
        <v>4094</v>
      </c>
      <c r="C768" t="s">
        <v>4095</v>
      </c>
      <c r="D768">
        <v>2025</v>
      </c>
      <c r="E768" t="s">
        <v>56</v>
      </c>
      <c r="F768" t="s">
        <v>57</v>
      </c>
      <c r="G768" t="s">
        <v>766</v>
      </c>
      <c r="H768" t="s">
        <v>4096</v>
      </c>
      <c r="I768" t="s">
        <v>4097</v>
      </c>
      <c r="J768" t="s">
        <v>79</v>
      </c>
      <c r="K768" t="s">
        <v>80</v>
      </c>
      <c r="L768" t="s">
        <v>72</v>
      </c>
      <c r="M768" t="s">
        <v>72</v>
      </c>
      <c r="N768" s="5"/>
      <c r="O768" t="str">
        <f t="shared" si="11"/>
        <v/>
      </c>
    </row>
    <row r="769" spans="1:15" x14ac:dyDescent="0.25">
      <c r="A769" t="s">
        <v>4098</v>
      </c>
      <c r="B769" t="s">
        <v>4099</v>
      </c>
      <c r="C769" t="s">
        <v>4100</v>
      </c>
      <c r="D769">
        <v>2025</v>
      </c>
      <c r="E769" t="s">
        <v>56</v>
      </c>
      <c r="F769" t="s">
        <v>57</v>
      </c>
      <c r="G769" t="s">
        <v>4101</v>
      </c>
      <c r="H769" t="s">
        <v>4102</v>
      </c>
      <c r="I769" t="s">
        <v>4103</v>
      </c>
      <c r="J769" t="s">
        <v>87</v>
      </c>
      <c r="K769" t="s">
        <v>19</v>
      </c>
      <c r="L769" t="s">
        <v>72</v>
      </c>
      <c r="M769" t="s">
        <v>72</v>
      </c>
      <c r="N769" s="5"/>
      <c r="O769" t="str">
        <f t="shared" si="11"/>
        <v/>
      </c>
    </row>
    <row r="770" spans="1:15" x14ac:dyDescent="0.25">
      <c r="A770" t="s">
        <v>4104</v>
      </c>
      <c r="B770" t="s">
        <v>4105</v>
      </c>
      <c r="C770" t="s">
        <v>117</v>
      </c>
      <c r="D770">
        <v>2025</v>
      </c>
      <c r="E770" t="s">
        <v>56</v>
      </c>
      <c r="F770" t="s">
        <v>57</v>
      </c>
      <c r="G770" t="s">
        <v>766</v>
      </c>
      <c r="H770" t="s">
        <v>4106</v>
      </c>
      <c r="I770" t="s">
        <v>4107</v>
      </c>
      <c r="J770" t="s">
        <v>98</v>
      </c>
      <c r="K770" t="s">
        <v>99</v>
      </c>
      <c r="L770" t="s">
        <v>63</v>
      </c>
      <c r="M770" t="s">
        <v>72</v>
      </c>
      <c r="N770" s="5"/>
      <c r="O770" t="str">
        <f t="shared" ref="O770:O833" si="12">IF(N770="","",IF(N770=J770,1,0))</f>
        <v/>
      </c>
    </row>
    <row r="771" spans="1:15" x14ac:dyDescent="0.25">
      <c r="A771" t="s">
        <v>4108</v>
      </c>
      <c r="B771" t="s">
        <v>4109</v>
      </c>
      <c r="C771" t="s">
        <v>4110</v>
      </c>
      <c r="D771">
        <v>2025</v>
      </c>
      <c r="E771" t="s">
        <v>56</v>
      </c>
      <c r="F771" t="s">
        <v>67</v>
      </c>
      <c r="G771" t="s">
        <v>84</v>
      </c>
      <c r="H771" t="s">
        <v>4111</v>
      </c>
      <c r="I771" t="s">
        <v>4112</v>
      </c>
      <c r="J771" t="s">
        <v>79</v>
      </c>
      <c r="K771" t="s">
        <v>80</v>
      </c>
      <c r="L771" t="s">
        <v>72</v>
      </c>
      <c r="M771" t="s">
        <v>72</v>
      </c>
      <c r="N771" s="5"/>
      <c r="O771" t="str">
        <f t="shared" si="12"/>
        <v/>
      </c>
    </row>
    <row r="772" spans="1:15" x14ac:dyDescent="0.25">
      <c r="A772" t="s">
        <v>4113</v>
      </c>
      <c r="B772" t="s">
        <v>4114</v>
      </c>
      <c r="C772" t="s">
        <v>4115</v>
      </c>
      <c r="D772">
        <v>2025</v>
      </c>
      <c r="E772" t="s">
        <v>56</v>
      </c>
      <c r="F772" t="s">
        <v>57</v>
      </c>
      <c r="G772" t="s">
        <v>4116</v>
      </c>
      <c r="H772" t="s">
        <v>4117</v>
      </c>
      <c r="I772" t="s">
        <v>4118</v>
      </c>
      <c r="J772" t="s">
        <v>79</v>
      </c>
      <c r="K772" t="s">
        <v>80</v>
      </c>
      <c r="L772" t="s">
        <v>72</v>
      </c>
      <c r="M772" t="s">
        <v>72</v>
      </c>
      <c r="N772" s="5"/>
      <c r="O772" t="str">
        <f t="shared" si="12"/>
        <v/>
      </c>
    </row>
    <row r="773" spans="1:15" x14ac:dyDescent="0.25">
      <c r="A773" t="s">
        <v>4119</v>
      </c>
      <c r="B773" t="s">
        <v>4120</v>
      </c>
      <c r="C773" t="s">
        <v>1601</v>
      </c>
      <c r="D773">
        <v>2025</v>
      </c>
      <c r="E773" t="s">
        <v>56</v>
      </c>
      <c r="F773" t="s">
        <v>67</v>
      </c>
      <c r="G773" t="s">
        <v>84</v>
      </c>
      <c r="H773" t="s">
        <v>4121</v>
      </c>
      <c r="I773" t="s">
        <v>4122</v>
      </c>
      <c r="J773" t="s">
        <v>87</v>
      </c>
      <c r="K773" t="s">
        <v>19</v>
      </c>
      <c r="L773" t="s">
        <v>72</v>
      </c>
      <c r="M773" t="s">
        <v>72</v>
      </c>
      <c r="N773" s="5"/>
      <c r="O773" t="str">
        <f t="shared" si="12"/>
        <v/>
      </c>
    </row>
    <row r="774" spans="1:15" x14ac:dyDescent="0.25">
      <c r="A774" t="s">
        <v>4123</v>
      </c>
      <c r="B774" t="s">
        <v>4124</v>
      </c>
      <c r="C774" t="s">
        <v>95</v>
      </c>
      <c r="D774">
        <v>2025</v>
      </c>
      <c r="E774" t="s">
        <v>56</v>
      </c>
      <c r="F774" t="s">
        <v>67</v>
      </c>
      <c r="G774" t="s">
        <v>4125</v>
      </c>
      <c r="H774" t="s">
        <v>4126</v>
      </c>
      <c r="I774" t="s">
        <v>4127</v>
      </c>
      <c r="J774" t="s">
        <v>87</v>
      </c>
      <c r="K774" t="s">
        <v>19</v>
      </c>
      <c r="L774" t="s">
        <v>72</v>
      </c>
      <c r="M774" t="s">
        <v>72</v>
      </c>
      <c r="N774" s="5"/>
      <c r="O774" t="str">
        <f t="shared" si="12"/>
        <v/>
      </c>
    </row>
    <row r="775" spans="1:15" x14ac:dyDescent="0.25">
      <c r="A775" t="s">
        <v>4128</v>
      </c>
      <c r="B775" t="s">
        <v>4129</v>
      </c>
      <c r="C775" t="s">
        <v>4130</v>
      </c>
      <c r="D775">
        <v>2025</v>
      </c>
      <c r="E775" t="s">
        <v>56</v>
      </c>
      <c r="F775" t="s">
        <v>67</v>
      </c>
      <c r="G775" t="s">
        <v>2870</v>
      </c>
      <c r="H775" t="s">
        <v>4131</v>
      </c>
      <c r="I775" t="s">
        <v>4132</v>
      </c>
      <c r="J775" t="s">
        <v>87</v>
      </c>
      <c r="K775" t="s">
        <v>19</v>
      </c>
      <c r="L775" t="s">
        <v>72</v>
      </c>
      <c r="M775" t="s">
        <v>72</v>
      </c>
      <c r="N775" s="5"/>
      <c r="O775" t="str">
        <f t="shared" si="12"/>
        <v/>
      </c>
    </row>
    <row r="776" spans="1:15" x14ac:dyDescent="0.25">
      <c r="A776" t="s">
        <v>4133</v>
      </c>
      <c r="B776" t="s">
        <v>4134</v>
      </c>
      <c r="C776" t="s">
        <v>4135</v>
      </c>
      <c r="D776">
        <v>2025</v>
      </c>
      <c r="E776" t="s">
        <v>56</v>
      </c>
      <c r="F776" t="s">
        <v>67</v>
      </c>
      <c r="G776" t="s">
        <v>84</v>
      </c>
      <c r="H776" t="s">
        <v>4131</v>
      </c>
      <c r="I776" t="s">
        <v>4136</v>
      </c>
      <c r="J776" t="s">
        <v>87</v>
      </c>
      <c r="K776" t="s">
        <v>19</v>
      </c>
      <c r="L776" t="s">
        <v>72</v>
      </c>
      <c r="M776" t="s">
        <v>72</v>
      </c>
      <c r="N776" s="5"/>
      <c r="O776" t="str">
        <f t="shared" si="12"/>
        <v/>
      </c>
    </row>
    <row r="777" spans="1:15" x14ac:dyDescent="0.25">
      <c r="A777" t="s">
        <v>4137</v>
      </c>
      <c r="B777" t="s">
        <v>4138</v>
      </c>
      <c r="C777" t="s">
        <v>4139</v>
      </c>
      <c r="D777">
        <v>2025</v>
      </c>
      <c r="E777" t="s">
        <v>56</v>
      </c>
      <c r="F777" t="s">
        <v>57</v>
      </c>
      <c r="G777" t="s">
        <v>4140</v>
      </c>
      <c r="H777" t="s">
        <v>4141</v>
      </c>
      <c r="I777" t="s">
        <v>4142</v>
      </c>
      <c r="J777" t="s">
        <v>87</v>
      </c>
      <c r="K777" t="s">
        <v>19</v>
      </c>
      <c r="L777" t="s">
        <v>72</v>
      </c>
      <c r="M777" t="s">
        <v>72</v>
      </c>
      <c r="N777" s="5"/>
      <c r="O777" t="str">
        <f t="shared" si="12"/>
        <v/>
      </c>
    </row>
    <row r="778" spans="1:15" x14ac:dyDescent="0.25">
      <c r="A778" t="s">
        <v>4143</v>
      </c>
      <c r="B778" t="s">
        <v>4144</v>
      </c>
      <c r="C778" t="s">
        <v>4145</v>
      </c>
      <c r="D778">
        <v>2025</v>
      </c>
      <c r="E778" t="s">
        <v>56</v>
      </c>
      <c r="F778" t="s">
        <v>57</v>
      </c>
      <c r="G778" t="s">
        <v>584</v>
      </c>
      <c r="H778" t="s">
        <v>4146</v>
      </c>
      <c r="I778" t="s">
        <v>4147</v>
      </c>
      <c r="J778" t="s">
        <v>71</v>
      </c>
      <c r="K778" t="s">
        <v>18</v>
      </c>
      <c r="L778" t="s">
        <v>72</v>
      </c>
      <c r="M778" t="s">
        <v>72</v>
      </c>
      <c r="N778" s="5"/>
      <c r="O778" t="str">
        <f t="shared" si="12"/>
        <v/>
      </c>
    </row>
    <row r="779" spans="1:15" x14ac:dyDescent="0.25">
      <c r="A779" t="s">
        <v>4148</v>
      </c>
      <c r="B779" t="s">
        <v>4149</v>
      </c>
      <c r="C779" t="s">
        <v>661</v>
      </c>
      <c r="D779">
        <v>2025</v>
      </c>
      <c r="E779" t="s">
        <v>56</v>
      </c>
      <c r="F779" t="s">
        <v>57</v>
      </c>
      <c r="G779" t="s">
        <v>302</v>
      </c>
      <c r="H779" t="s">
        <v>4150</v>
      </c>
      <c r="I779" t="s">
        <v>4151</v>
      </c>
      <c r="J779" t="s">
        <v>165</v>
      </c>
      <c r="K779" t="s">
        <v>166</v>
      </c>
      <c r="L779" t="s">
        <v>63</v>
      </c>
      <c r="M779" t="s">
        <v>72</v>
      </c>
      <c r="N779" s="5"/>
      <c r="O779" t="str">
        <f t="shared" si="12"/>
        <v/>
      </c>
    </row>
    <row r="780" spans="1:15" x14ac:dyDescent="0.25">
      <c r="A780" t="s">
        <v>4152</v>
      </c>
      <c r="B780" t="s">
        <v>4153</v>
      </c>
      <c r="C780" t="s">
        <v>4154</v>
      </c>
      <c r="D780">
        <v>2025</v>
      </c>
      <c r="E780" t="s">
        <v>56</v>
      </c>
      <c r="F780" t="s">
        <v>57</v>
      </c>
      <c r="G780" t="s">
        <v>279</v>
      </c>
      <c r="H780" t="s">
        <v>4155</v>
      </c>
      <c r="I780" t="s">
        <v>4156</v>
      </c>
      <c r="J780" t="s">
        <v>98</v>
      </c>
      <c r="K780" t="s">
        <v>99</v>
      </c>
      <c r="L780" t="s">
        <v>63</v>
      </c>
      <c r="M780" t="s">
        <v>72</v>
      </c>
      <c r="N780" s="5"/>
      <c r="O780" t="str">
        <f t="shared" si="12"/>
        <v/>
      </c>
    </row>
    <row r="781" spans="1:15" x14ac:dyDescent="0.25">
      <c r="A781" t="s">
        <v>4157</v>
      </c>
      <c r="B781" t="s">
        <v>4153</v>
      </c>
      <c r="C781" t="s">
        <v>4158</v>
      </c>
      <c r="D781">
        <v>2025</v>
      </c>
      <c r="E781" t="s">
        <v>56</v>
      </c>
      <c r="F781" t="s">
        <v>57</v>
      </c>
      <c r="G781" t="s">
        <v>4159</v>
      </c>
      <c r="H781" t="s">
        <v>4155</v>
      </c>
      <c r="I781" t="s">
        <v>4160</v>
      </c>
      <c r="J781" t="s">
        <v>4161</v>
      </c>
      <c r="K781" t="s">
        <v>4162</v>
      </c>
      <c r="L781" t="s">
        <v>72</v>
      </c>
      <c r="M781" t="s">
        <v>72</v>
      </c>
      <c r="N781" s="5"/>
      <c r="O781" t="str">
        <f t="shared" si="12"/>
        <v/>
      </c>
    </row>
    <row r="782" spans="1:15" x14ac:dyDescent="0.25">
      <c r="A782" t="s">
        <v>4163</v>
      </c>
      <c r="B782" t="s">
        <v>4164</v>
      </c>
      <c r="C782" t="s">
        <v>841</v>
      </c>
      <c r="D782">
        <v>2025</v>
      </c>
      <c r="E782" t="s">
        <v>56</v>
      </c>
      <c r="F782" t="s">
        <v>67</v>
      </c>
      <c r="G782" t="s">
        <v>4165</v>
      </c>
      <c r="H782" t="s">
        <v>4166</v>
      </c>
      <c r="I782" t="s">
        <v>4167</v>
      </c>
      <c r="J782" t="s">
        <v>79</v>
      </c>
      <c r="K782" t="s">
        <v>80</v>
      </c>
      <c r="L782" t="s">
        <v>72</v>
      </c>
      <c r="M782" t="s">
        <v>72</v>
      </c>
      <c r="N782" s="5"/>
      <c r="O782" t="str">
        <f t="shared" si="12"/>
        <v/>
      </c>
    </row>
    <row r="783" spans="1:15" x14ac:dyDescent="0.25">
      <c r="A783" t="s">
        <v>4168</v>
      </c>
      <c r="B783" t="s">
        <v>4169</v>
      </c>
      <c r="C783" t="s">
        <v>4170</v>
      </c>
      <c r="D783">
        <v>2025</v>
      </c>
      <c r="E783" t="s">
        <v>56</v>
      </c>
      <c r="F783" t="s">
        <v>67</v>
      </c>
      <c r="G783" t="s">
        <v>4171</v>
      </c>
      <c r="H783" t="s">
        <v>4172</v>
      </c>
      <c r="I783" t="s">
        <v>4173</v>
      </c>
      <c r="J783" t="s">
        <v>79</v>
      </c>
      <c r="K783" t="s">
        <v>80</v>
      </c>
      <c r="L783" t="s">
        <v>72</v>
      </c>
      <c r="M783" t="s">
        <v>72</v>
      </c>
      <c r="N783" s="5"/>
      <c r="O783" t="str">
        <f t="shared" si="12"/>
        <v/>
      </c>
    </row>
    <row r="784" spans="1:15" x14ac:dyDescent="0.25">
      <c r="A784" t="s">
        <v>4174</v>
      </c>
      <c r="B784" t="s">
        <v>4175</v>
      </c>
      <c r="C784" t="s">
        <v>1293</v>
      </c>
      <c r="D784">
        <v>2025</v>
      </c>
      <c r="E784" t="s">
        <v>56</v>
      </c>
      <c r="F784" t="s">
        <v>67</v>
      </c>
      <c r="G784" t="s">
        <v>4176</v>
      </c>
      <c r="H784" t="s">
        <v>4177</v>
      </c>
      <c r="I784" t="s">
        <v>4178</v>
      </c>
      <c r="J784" t="s">
        <v>71</v>
      </c>
      <c r="K784" t="s">
        <v>18</v>
      </c>
      <c r="L784" t="s">
        <v>72</v>
      </c>
      <c r="M784" t="s">
        <v>72</v>
      </c>
      <c r="N784" s="5"/>
      <c r="O784" t="str">
        <f t="shared" si="12"/>
        <v/>
      </c>
    </row>
    <row r="785" spans="1:15" x14ac:dyDescent="0.25">
      <c r="A785" t="s">
        <v>4179</v>
      </c>
      <c r="B785" t="s">
        <v>4180</v>
      </c>
      <c r="C785" t="s">
        <v>1054</v>
      </c>
      <c r="D785">
        <v>2025</v>
      </c>
      <c r="E785" t="s">
        <v>56</v>
      </c>
      <c r="F785" t="s">
        <v>67</v>
      </c>
      <c r="G785" t="s">
        <v>679</v>
      </c>
      <c r="H785" t="s">
        <v>4181</v>
      </c>
      <c r="I785" t="s">
        <v>4182</v>
      </c>
      <c r="J785" t="s">
        <v>71</v>
      </c>
      <c r="K785" t="s">
        <v>18</v>
      </c>
      <c r="L785" t="s">
        <v>72</v>
      </c>
      <c r="M785" t="s">
        <v>72</v>
      </c>
      <c r="N785" s="5"/>
      <c r="O785" t="str">
        <f t="shared" si="12"/>
        <v/>
      </c>
    </row>
    <row r="786" spans="1:15" x14ac:dyDescent="0.25">
      <c r="A786" t="s">
        <v>4183</v>
      </c>
      <c r="B786" t="s">
        <v>4184</v>
      </c>
      <c r="C786" t="s">
        <v>4185</v>
      </c>
      <c r="D786">
        <v>2025</v>
      </c>
      <c r="E786" t="s">
        <v>56</v>
      </c>
      <c r="F786" t="s">
        <v>67</v>
      </c>
      <c r="G786" t="s">
        <v>3567</v>
      </c>
      <c r="H786" t="s">
        <v>4186</v>
      </c>
      <c r="I786" t="s">
        <v>4187</v>
      </c>
      <c r="J786" t="s">
        <v>71</v>
      </c>
      <c r="K786" t="s">
        <v>18</v>
      </c>
      <c r="L786" t="s">
        <v>72</v>
      </c>
      <c r="M786" t="s">
        <v>72</v>
      </c>
      <c r="N786" s="5"/>
      <c r="O786" t="str">
        <f t="shared" si="12"/>
        <v/>
      </c>
    </row>
    <row r="787" spans="1:15" x14ac:dyDescent="0.25">
      <c r="A787" t="s">
        <v>4188</v>
      </c>
      <c r="B787" t="s">
        <v>4189</v>
      </c>
      <c r="C787" t="s">
        <v>95</v>
      </c>
      <c r="D787">
        <v>2025</v>
      </c>
      <c r="E787" t="s">
        <v>56</v>
      </c>
      <c r="F787" t="s">
        <v>57</v>
      </c>
      <c r="G787" t="s">
        <v>302</v>
      </c>
      <c r="H787" t="s">
        <v>4190</v>
      </c>
      <c r="I787" t="s">
        <v>4191</v>
      </c>
      <c r="J787" t="s">
        <v>87</v>
      </c>
      <c r="K787" t="s">
        <v>19</v>
      </c>
      <c r="L787" t="s">
        <v>72</v>
      </c>
      <c r="M787" t="s">
        <v>72</v>
      </c>
      <c r="N787" s="5"/>
      <c r="O787" t="str">
        <f t="shared" si="12"/>
        <v/>
      </c>
    </row>
    <row r="788" spans="1:15" x14ac:dyDescent="0.25">
      <c r="A788" t="s">
        <v>4192</v>
      </c>
      <c r="B788" t="s">
        <v>4193</v>
      </c>
      <c r="C788" t="s">
        <v>571</v>
      </c>
      <c r="D788">
        <v>2025</v>
      </c>
      <c r="E788" t="s">
        <v>56</v>
      </c>
      <c r="F788" t="s">
        <v>67</v>
      </c>
      <c r="G788" t="s">
        <v>3428</v>
      </c>
      <c r="H788" t="s">
        <v>4194</v>
      </c>
      <c r="I788" t="s">
        <v>4195</v>
      </c>
      <c r="J788" t="s">
        <v>71</v>
      </c>
      <c r="K788" t="s">
        <v>18</v>
      </c>
      <c r="L788" t="s">
        <v>72</v>
      </c>
      <c r="M788" t="s">
        <v>72</v>
      </c>
      <c r="N788" s="5"/>
      <c r="O788" t="str">
        <f t="shared" si="12"/>
        <v/>
      </c>
    </row>
    <row r="789" spans="1:15" x14ac:dyDescent="0.25">
      <c r="A789" t="s">
        <v>4196</v>
      </c>
      <c r="B789" t="s">
        <v>4197</v>
      </c>
      <c r="C789" t="s">
        <v>1516</v>
      </c>
      <c r="D789">
        <v>2025</v>
      </c>
      <c r="E789" t="s">
        <v>56</v>
      </c>
      <c r="F789" t="s">
        <v>67</v>
      </c>
      <c r="G789" t="s">
        <v>3428</v>
      </c>
      <c r="H789" t="s">
        <v>4198</v>
      </c>
      <c r="I789" t="s">
        <v>4199</v>
      </c>
      <c r="J789" t="s">
        <v>71</v>
      </c>
      <c r="K789" t="s">
        <v>18</v>
      </c>
      <c r="L789" t="s">
        <v>72</v>
      </c>
      <c r="M789" t="s">
        <v>72</v>
      </c>
      <c r="N789" s="5"/>
      <c r="O789" t="str">
        <f t="shared" si="12"/>
        <v/>
      </c>
    </row>
    <row r="790" spans="1:15" x14ac:dyDescent="0.25">
      <c r="A790" t="s">
        <v>4200</v>
      </c>
      <c r="B790" t="s">
        <v>4201</v>
      </c>
      <c r="C790" t="s">
        <v>2617</v>
      </c>
      <c r="D790">
        <v>2025</v>
      </c>
      <c r="E790" t="s">
        <v>56</v>
      </c>
      <c r="F790" t="s">
        <v>67</v>
      </c>
      <c r="G790" t="s">
        <v>4165</v>
      </c>
      <c r="H790" t="s">
        <v>4202</v>
      </c>
      <c r="I790" t="s">
        <v>4203</v>
      </c>
      <c r="J790" t="s">
        <v>79</v>
      </c>
      <c r="K790" t="s">
        <v>80</v>
      </c>
      <c r="L790" t="s">
        <v>72</v>
      </c>
      <c r="M790" t="s">
        <v>72</v>
      </c>
      <c r="N790" s="5"/>
      <c r="O790" t="str">
        <f t="shared" si="12"/>
        <v/>
      </c>
    </row>
    <row r="791" spans="1:15" x14ac:dyDescent="0.25">
      <c r="A791" t="s">
        <v>4204</v>
      </c>
      <c r="B791" t="s">
        <v>4205</v>
      </c>
      <c r="C791" t="s">
        <v>555</v>
      </c>
      <c r="D791">
        <v>2025</v>
      </c>
      <c r="E791" t="s">
        <v>56</v>
      </c>
      <c r="F791" t="s">
        <v>67</v>
      </c>
      <c r="G791" t="s">
        <v>3552</v>
      </c>
      <c r="H791" t="s">
        <v>4206</v>
      </c>
      <c r="I791" t="s">
        <v>4207</v>
      </c>
      <c r="J791" t="s">
        <v>71</v>
      </c>
      <c r="K791" t="s">
        <v>18</v>
      </c>
      <c r="L791" t="s">
        <v>72</v>
      </c>
      <c r="M791" t="s">
        <v>72</v>
      </c>
      <c r="N791" s="5"/>
      <c r="O791" t="str">
        <f t="shared" si="12"/>
        <v/>
      </c>
    </row>
    <row r="792" spans="1:15" x14ac:dyDescent="0.25">
      <c r="A792" t="s">
        <v>4208</v>
      </c>
      <c r="B792" t="s">
        <v>4209</v>
      </c>
      <c r="C792" t="s">
        <v>4210</v>
      </c>
      <c r="D792">
        <v>2025</v>
      </c>
      <c r="E792" t="s">
        <v>56</v>
      </c>
      <c r="F792" t="s">
        <v>67</v>
      </c>
      <c r="G792" t="s">
        <v>4211</v>
      </c>
      <c r="H792" t="s">
        <v>4212</v>
      </c>
      <c r="I792" t="s">
        <v>4213</v>
      </c>
      <c r="J792" t="s">
        <v>87</v>
      </c>
      <c r="K792" t="s">
        <v>19</v>
      </c>
      <c r="L792" t="s">
        <v>72</v>
      </c>
      <c r="M792" t="s">
        <v>72</v>
      </c>
      <c r="N792" s="5"/>
      <c r="O792" t="str">
        <f t="shared" si="12"/>
        <v/>
      </c>
    </row>
    <row r="793" spans="1:15" x14ac:dyDescent="0.25">
      <c r="A793" t="s">
        <v>4214</v>
      </c>
      <c r="B793" t="s">
        <v>4215</v>
      </c>
      <c r="C793" t="s">
        <v>4216</v>
      </c>
      <c r="D793">
        <v>2025</v>
      </c>
      <c r="E793" t="s">
        <v>56</v>
      </c>
      <c r="F793" t="s">
        <v>57</v>
      </c>
      <c r="G793" t="s">
        <v>750</v>
      </c>
      <c r="H793" t="s">
        <v>4217</v>
      </c>
      <c r="I793" t="s">
        <v>4218</v>
      </c>
      <c r="J793" t="s">
        <v>98</v>
      </c>
      <c r="K793" t="s">
        <v>99</v>
      </c>
      <c r="L793" t="s">
        <v>63</v>
      </c>
      <c r="M793" t="s">
        <v>72</v>
      </c>
      <c r="N793" s="5"/>
      <c r="O793" t="str">
        <f t="shared" si="12"/>
        <v/>
      </c>
    </row>
    <row r="794" spans="1:15" x14ac:dyDescent="0.25">
      <c r="A794" t="s">
        <v>4219</v>
      </c>
      <c r="B794" t="s">
        <v>4220</v>
      </c>
      <c r="C794" t="s">
        <v>4221</v>
      </c>
      <c r="D794">
        <v>2025</v>
      </c>
      <c r="E794" t="s">
        <v>56</v>
      </c>
      <c r="F794" t="s">
        <v>67</v>
      </c>
      <c r="G794" t="s">
        <v>4222</v>
      </c>
      <c r="H794" t="s">
        <v>4223</v>
      </c>
      <c r="I794" t="s">
        <v>4224</v>
      </c>
      <c r="J794" t="s">
        <v>79</v>
      </c>
      <c r="K794" t="s">
        <v>80</v>
      </c>
      <c r="L794" t="s">
        <v>72</v>
      </c>
      <c r="M794" t="s">
        <v>72</v>
      </c>
      <c r="N794" s="5"/>
      <c r="O794" t="str">
        <f t="shared" si="12"/>
        <v/>
      </c>
    </row>
    <row r="795" spans="1:15" x14ac:dyDescent="0.25">
      <c r="A795" t="s">
        <v>4225</v>
      </c>
      <c r="B795" t="s">
        <v>4226</v>
      </c>
      <c r="C795" t="s">
        <v>4054</v>
      </c>
      <c r="D795">
        <v>2025</v>
      </c>
      <c r="E795" t="s">
        <v>56</v>
      </c>
      <c r="F795" t="s">
        <v>67</v>
      </c>
      <c r="G795" t="s">
        <v>4227</v>
      </c>
      <c r="H795" t="s">
        <v>4228</v>
      </c>
      <c r="I795" t="s">
        <v>4229</v>
      </c>
      <c r="J795" t="s">
        <v>71</v>
      </c>
      <c r="K795" t="s">
        <v>18</v>
      </c>
      <c r="L795" t="s">
        <v>72</v>
      </c>
      <c r="M795" t="s">
        <v>72</v>
      </c>
      <c r="N795" s="5"/>
      <c r="O795" t="str">
        <f t="shared" si="12"/>
        <v/>
      </c>
    </row>
    <row r="796" spans="1:15" x14ac:dyDescent="0.25">
      <c r="A796" t="s">
        <v>4230</v>
      </c>
      <c r="B796" t="s">
        <v>4231</v>
      </c>
      <c r="C796" t="s">
        <v>4232</v>
      </c>
      <c r="D796">
        <v>2025</v>
      </c>
      <c r="E796" t="s">
        <v>56</v>
      </c>
      <c r="F796" t="s">
        <v>57</v>
      </c>
      <c r="G796" t="s">
        <v>750</v>
      </c>
      <c r="H796" t="s">
        <v>4233</v>
      </c>
      <c r="I796" t="s">
        <v>4234</v>
      </c>
      <c r="J796" t="s">
        <v>165</v>
      </c>
      <c r="K796" t="s">
        <v>166</v>
      </c>
      <c r="L796" t="s">
        <v>63</v>
      </c>
      <c r="M796" t="s">
        <v>72</v>
      </c>
      <c r="N796" s="5"/>
      <c r="O796" t="str">
        <f t="shared" si="12"/>
        <v/>
      </c>
    </row>
    <row r="797" spans="1:15" x14ac:dyDescent="0.25">
      <c r="A797" t="s">
        <v>4235</v>
      </c>
      <c r="B797" t="s">
        <v>4236</v>
      </c>
      <c r="C797" t="s">
        <v>4237</v>
      </c>
      <c r="D797">
        <v>2025</v>
      </c>
      <c r="E797" t="s">
        <v>56</v>
      </c>
      <c r="F797" t="s">
        <v>57</v>
      </c>
      <c r="G797" t="s">
        <v>4238</v>
      </c>
      <c r="H797" t="s">
        <v>4239</v>
      </c>
      <c r="I797" t="s">
        <v>4240</v>
      </c>
      <c r="J797" t="s">
        <v>79</v>
      </c>
      <c r="K797" t="s">
        <v>80</v>
      </c>
      <c r="L797" t="s">
        <v>72</v>
      </c>
      <c r="M797" t="s">
        <v>72</v>
      </c>
      <c r="N797" s="5"/>
      <c r="O797" t="str">
        <f t="shared" si="12"/>
        <v/>
      </c>
    </row>
    <row r="798" spans="1:15" x14ac:dyDescent="0.25">
      <c r="A798" t="s">
        <v>4241</v>
      </c>
      <c r="B798" t="s">
        <v>4242</v>
      </c>
      <c r="C798" t="s">
        <v>777</v>
      </c>
      <c r="D798">
        <v>2025</v>
      </c>
      <c r="E798" t="s">
        <v>56</v>
      </c>
      <c r="F798" t="s">
        <v>57</v>
      </c>
      <c r="G798" t="s">
        <v>4243</v>
      </c>
      <c r="H798" t="s">
        <v>4244</v>
      </c>
      <c r="I798" t="s">
        <v>4245</v>
      </c>
      <c r="J798" t="s">
        <v>71</v>
      </c>
      <c r="K798" t="s">
        <v>18</v>
      </c>
      <c r="L798" t="s">
        <v>72</v>
      </c>
      <c r="M798" t="s">
        <v>72</v>
      </c>
      <c r="N798" s="5"/>
      <c r="O798" t="str">
        <f t="shared" si="12"/>
        <v/>
      </c>
    </row>
    <row r="799" spans="1:15" x14ac:dyDescent="0.25">
      <c r="A799" t="s">
        <v>4246</v>
      </c>
      <c r="B799" t="s">
        <v>4247</v>
      </c>
      <c r="C799" t="s">
        <v>1733</v>
      </c>
      <c r="D799">
        <v>2025</v>
      </c>
      <c r="E799" t="s">
        <v>56</v>
      </c>
      <c r="F799" t="s">
        <v>57</v>
      </c>
      <c r="G799" t="s">
        <v>4248</v>
      </c>
      <c r="H799" t="s">
        <v>4249</v>
      </c>
      <c r="I799" t="s">
        <v>4250</v>
      </c>
      <c r="J799" t="s">
        <v>87</v>
      </c>
      <c r="K799" t="s">
        <v>19</v>
      </c>
      <c r="L799" t="s">
        <v>72</v>
      </c>
      <c r="M799" t="s">
        <v>72</v>
      </c>
      <c r="N799" s="5"/>
      <c r="O799" t="str">
        <f t="shared" si="12"/>
        <v/>
      </c>
    </row>
    <row r="800" spans="1:15" x14ac:dyDescent="0.25">
      <c r="A800" t="s">
        <v>4251</v>
      </c>
      <c r="B800" t="s">
        <v>4252</v>
      </c>
      <c r="C800" t="s">
        <v>4253</v>
      </c>
      <c r="D800">
        <v>2025</v>
      </c>
      <c r="E800" t="s">
        <v>56</v>
      </c>
      <c r="F800" t="s">
        <v>67</v>
      </c>
      <c r="G800" t="s">
        <v>4254</v>
      </c>
      <c r="H800" t="s">
        <v>4255</v>
      </c>
      <c r="I800" t="s">
        <v>4256</v>
      </c>
      <c r="J800" t="s">
        <v>71</v>
      </c>
      <c r="K800" t="s">
        <v>18</v>
      </c>
      <c r="L800" t="s">
        <v>72</v>
      </c>
      <c r="M800" t="s">
        <v>72</v>
      </c>
      <c r="N800" s="5"/>
      <c r="O800" t="str">
        <f t="shared" si="12"/>
        <v/>
      </c>
    </row>
    <row r="801" spans="1:15" x14ac:dyDescent="0.25">
      <c r="A801" t="s">
        <v>4257</v>
      </c>
      <c r="B801" t="s">
        <v>4258</v>
      </c>
      <c r="C801" t="s">
        <v>1722</v>
      </c>
      <c r="D801">
        <v>2025</v>
      </c>
      <c r="E801" t="s">
        <v>56</v>
      </c>
      <c r="F801" t="s">
        <v>67</v>
      </c>
      <c r="G801" t="s">
        <v>2990</v>
      </c>
      <c r="H801" t="s">
        <v>4259</v>
      </c>
      <c r="I801" t="s">
        <v>4260</v>
      </c>
      <c r="J801" t="s">
        <v>87</v>
      </c>
      <c r="K801" t="s">
        <v>19</v>
      </c>
      <c r="L801" t="s">
        <v>72</v>
      </c>
      <c r="M801" t="s">
        <v>72</v>
      </c>
      <c r="N801" s="5"/>
      <c r="O801" t="str">
        <f t="shared" si="12"/>
        <v/>
      </c>
    </row>
    <row r="802" spans="1:15" x14ac:dyDescent="0.25">
      <c r="A802" t="s">
        <v>4261</v>
      </c>
      <c r="B802" t="s">
        <v>4262</v>
      </c>
      <c r="C802" t="s">
        <v>144</v>
      </c>
      <c r="D802">
        <v>2025</v>
      </c>
      <c r="E802" t="s">
        <v>56</v>
      </c>
      <c r="F802" t="s">
        <v>67</v>
      </c>
      <c r="G802" t="s">
        <v>84</v>
      </c>
      <c r="H802" t="s">
        <v>4263</v>
      </c>
      <c r="I802" t="s">
        <v>4264</v>
      </c>
      <c r="J802" t="s">
        <v>87</v>
      </c>
      <c r="K802" t="s">
        <v>19</v>
      </c>
      <c r="L802" t="s">
        <v>72</v>
      </c>
      <c r="M802" t="s">
        <v>72</v>
      </c>
      <c r="N802" s="5"/>
      <c r="O802" t="str">
        <f t="shared" si="12"/>
        <v/>
      </c>
    </row>
    <row r="803" spans="1:15" x14ac:dyDescent="0.25">
      <c r="A803" t="s">
        <v>4265</v>
      </c>
      <c r="B803" t="s">
        <v>4266</v>
      </c>
      <c r="C803" t="s">
        <v>384</v>
      </c>
      <c r="D803">
        <v>2025</v>
      </c>
      <c r="E803" t="s">
        <v>56</v>
      </c>
      <c r="F803" t="s">
        <v>67</v>
      </c>
      <c r="G803" t="s">
        <v>679</v>
      </c>
      <c r="H803" t="s">
        <v>4267</v>
      </c>
      <c r="I803" t="s">
        <v>4268</v>
      </c>
      <c r="J803" t="s">
        <v>98</v>
      </c>
      <c r="K803" t="s">
        <v>99</v>
      </c>
      <c r="L803" t="s">
        <v>63</v>
      </c>
      <c r="M803" t="s">
        <v>72</v>
      </c>
      <c r="N803" s="5"/>
      <c r="O803" t="str">
        <f t="shared" si="12"/>
        <v/>
      </c>
    </row>
    <row r="804" spans="1:15" x14ac:dyDescent="0.25">
      <c r="A804" t="s">
        <v>4269</v>
      </c>
      <c r="B804" t="s">
        <v>4270</v>
      </c>
      <c r="C804" t="s">
        <v>4271</v>
      </c>
      <c r="D804">
        <v>2025</v>
      </c>
      <c r="E804" t="s">
        <v>56</v>
      </c>
      <c r="F804" t="s">
        <v>57</v>
      </c>
      <c r="G804" t="s">
        <v>4272</v>
      </c>
      <c r="H804" t="s">
        <v>4273</v>
      </c>
      <c r="I804" t="s">
        <v>4274</v>
      </c>
      <c r="J804" t="s">
        <v>71</v>
      </c>
      <c r="K804" t="s">
        <v>18</v>
      </c>
      <c r="L804" t="s">
        <v>72</v>
      </c>
      <c r="M804" t="s">
        <v>72</v>
      </c>
      <c r="N804" s="5"/>
      <c r="O804" t="str">
        <f t="shared" si="12"/>
        <v/>
      </c>
    </row>
    <row r="805" spans="1:15" x14ac:dyDescent="0.25">
      <c r="A805" t="s">
        <v>4275</v>
      </c>
      <c r="B805" t="s">
        <v>4276</v>
      </c>
      <c r="C805" t="s">
        <v>4277</v>
      </c>
      <c r="D805">
        <v>2025</v>
      </c>
      <c r="E805" t="s">
        <v>56</v>
      </c>
      <c r="F805" t="s">
        <v>57</v>
      </c>
      <c r="G805" t="s">
        <v>853</v>
      </c>
      <c r="H805" t="s">
        <v>4278</v>
      </c>
      <c r="I805" t="s">
        <v>4279</v>
      </c>
      <c r="J805" t="s">
        <v>71</v>
      </c>
      <c r="K805" t="s">
        <v>18</v>
      </c>
      <c r="L805" t="s">
        <v>72</v>
      </c>
      <c r="M805" t="s">
        <v>72</v>
      </c>
      <c r="N805" s="5"/>
      <c r="O805" t="str">
        <f t="shared" si="12"/>
        <v/>
      </c>
    </row>
    <row r="806" spans="1:15" x14ac:dyDescent="0.25">
      <c r="A806" t="s">
        <v>4280</v>
      </c>
      <c r="B806" t="s">
        <v>4281</v>
      </c>
      <c r="C806" t="s">
        <v>428</v>
      </c>
      <c r="D806">
        <v>2025</v>
      </c>
      <c r="E806" t="s">
        <v>56</v>
      </c>
      <c r="F806" t="s">
        <v>67</v>
      </c>
      <c r="G806" t="s">
        <v>4282</v>
      </c>
      <c r="H806" t="s">
        <v>4283</v>
      </c>
      <c r="I806" t="s">
        <v>4284</v>
      </c>
      <c r="J806" t="s">
        <v>79</v>
      </c>
      <c r="K806" t="s">
        <v>80</v>
      </c>
      <c r="L806" t="s">
        <v>72</v>
      </c>
      <c r="M806" t="s">
        <v>72</v>
      </c>
      <c r="N806" s="5"/>
      <c r="O806" t="str">
        <f t="shared" si="12"/>
        <v/>
      </c>
    </row>
    <row r="807" spans="1:15" x14ac:dyDescent="0.25">
      <c r="A807" t="s">
        <v>4285</v>
      </c>
      <c r="B807" t="s">
        <v>4286</v>
      </c>
      <c r="C807" t="s">
        <v>95</v>
      </c>
      <c r="D807">
        <v>2025</v>
      </c>
      <c r="E807" t="s">
        <v>56</v>
      </c>
      <c r="F807" t="s">
        <v>67</v>
      </c>
      <c r="G807" t="s">
        <v>4287</v>
      </c>
      <c r="H807" t="s">
        <v>4288</v>
      </c>
      <c r="I807" t="s">
        <v>4289</v>
      </c>
      <c r="J807" t="s">
        <v>98</v>
      </c>
      <c r="K807" t="s">
        <v>99</v>
      </c>
      <c r="L807" t="s">
        <v>63</v>
      </c>
      <c r="M807" t="s">
        <v>72</v>
      </c>
      <c r="N807" s="5"/>
      <c r="O807" t="str">
        <f t="shared" si="12"/>
        <v/>
      </c>
    </row>
    <row r="808" spans="1:15" x14ac:dyDescent="0.25">
      <c r="A808" t="s">
        <v>4290</v>
      </c>
      <c r="B808" t="s">
        <v>4291</v>
      </c>
      <c r="C808" t="s">
        <v>4292</v>
      </c>
      <c r="D808">
        <v>2025</v>
      </c>
      <c r="E808" t="s">
        <v>56</v>
      </c>
      <c r="F808" t="s">
        <v>67</v>
      </c>
      <c r="G808" t="s">
        <v>1130</v>
      </c>
      <c r="H808" t="s">
        <v>4293</v>
      </c>
      <c r="I808" t="s">
        <v>4294</v>
      </c>
      <c r="J808" t="s">
        <v>79</v>
      </c>
      <c r="K808" t="s">
        <v>80</v>
      </c>
      <c r="L808" t="s">
        <v>72</v>
      </c>
      <c r="M808" t="s">
        <v>72</v>
      </c>
      <c r="N808" s="5"/>
      <c r="O808" t="str">
        <f t="shared" si="12"/>
        <v/>
      </c>
    </row>
    <row r="809" spans="1:15" x14ac:dyDescent="0.25">
      <c r="A809" t="s">
        <v>4295</v>
      </c>
      <c r="B809" t="s">
        <v>4296</v>
      </c>
      <c r="C809" t="s">
        <v>4297</v>
      </c>
      <c r="D809">
        <v>2025</v>
      </c>
      <c r="E809" t="s">
        <v>56</v>
      </c>
      <c r="F809" t="s">
        <v>57</v>
      </c>
      <c r="G809" t="s">
        <v>418</v>
      </c>
      <c r="H809" t="s">
        <v>4298</v>
      </c>
      <c r="I809" t="s">
        <v>4299</v>
      </c>
      <c r="J809" t="s">
        <v>61</v>
      </c>
      <c r="K809" t="s">
        <v>62</v>
      </c>
      <c r="L809" t="s">
        <v>63</v>
      </c>
      <c r="M809" t="s">
        <v>63</v>
      </c>
      <c r="N809" s="5"/>
      <c r="O809" t="str">
        <f t="shared" si="12"/>
        <v/>
      </c>
    </row>
    <row r="810" spans="1:15" x14ac:dyDescent="0.25">
      <c r="A810" t="s">
        <v>4300</v>
      </c>
      <c r="B810" t="s">
        <v>4301</v>
      </c>
      <c r="C810" t="s">
        <v>4001</v>
      </c>
      <c r="D810">
        <v>2025</v>
      </c>
      <c r="E810" t="s">
        <v>56</v>
      </c>
      <c r="F810" t="s">
        <v>67</v>
      </c>
      <c r="G810" t="s">
        <v>4302</v>
      </c>
      <c r="H810" t="s">
        <v>4303</v>
      </c>
      <c r="I810" t="s">
        <v>4304</v>
      </c>
      <c r="J810" t="s">
        <v>71</v>
      </c>
      <c r="K810" t="s">
        <v>18</v>
      </c>
      <c r="L810" t="s">
        <v>72</v>
      </c>
      <c r="M810" t="s">
        <v>72</v>
      </c>
      <c r="N810" s="5"/>
      <c r="O810" t="str">
        <f t="shared" si="12"/>
        <v/>
      </c>
    </row>
    <row r="811" spans="1:15" x14ac:dyDescent="0.25">
      <c r="A811" t="s">
        <v>4305</v>
      </c>
      <c r="B811" t="s">
        <v>4306</v>
      </c>
      <c r="C811" t="s">
        <v>1181</v>
      </c>
      <c r="D811">
        <v>2025</v>
      </c>
      <c r="E811" t="s">
        <v>56</v>
      </c>
      <c r="F811" t="s">
        <v>67</v>
      </c>
      <c r="G811" t="s">
        <v>76</v>
      </c>
      <c r="H811" t="s">
        <v>4307</v>
      </c>
      <c r="I811" t="s">
        <v>4308</v>
      </c>
      <c r="J811" t="s">
        <v>79</v>
      </c>
      <c r="K811" t="s">
        <v>80</v>
      </c>
      <c r="L811" t="s">
        <v>72</v>
      </c>
      <c r="M811" t="s">
        <v>72</v>
      </c>
      <c r="N811" s="5"/>
      <c r="O811" t="str">
        <f t="shared" si="12"/>
        <v/>
      </c>
    </row>
    <row r="812" spans="1:15" x14ac:dyDescent="0.25">
      <c r="A812" t="s">
        <v>4309</v>
      </c>
      <c r="B812" t="s">
        <v>4310</v>
      </c>
      <c r="C812" t="s">
        <v>4311</v>
      </c>
      <c r="D812">
        <v>2025</v>
      </c>
      <c r="E812" t="s">
        <v>56</v>
      </c>
      <c r="F812" t="s">
        <v>67</v>
      </c>
      <c r="G812" t="s">
        <v>4312</v>
      </c>
      <c r="H812" t="s">
        <v>4313</v>
      </c>
      <c r="I812" t="s">
        <v>4314</v>
      </c>
      <c r="J812" t="s">
        <v>71</v>
      </c>
      <c r="K812" t="s">
        <v>18</v>
      </c>
      <c r="L812" t="s">
        <v>72</v>
      </c>
      <c r="M812" t="s">
        <v>72</v>
      </c>
      <c r="N812" s="5"/>
      <c r="O812" t="str">
        <f t="shared" si="12"/>
        <v/>
      </c>
    </row>
    <row r="813" spans="1:15" x14ac:dyDescent="0.25">
      <c r="A813" t="s">
        <v>4315</v>
      </c>
      <c r="B813" t="s">
        <v>4310</v>
      </c>
      <c r="C813" t="s">
        <v>4316</v>
      </c>
      <c r="D813">
        <v>2025</v>
      </c>
      <c r="E813" t="s">
        <v>56</v>
      </c>
      <c r="F813" t="s">
        <v>67</v>
      </c>
      <c r="G813" t="s">
        <v>4317</v>
      </c>
      <c r="H813" t="s">
        <v>4313</v>
      </c>
      <c r="I813" t="s">
        <v>4318</v>
      </c>
      <c r="J813" t="s">
        <v>71</v>
      </c>
      <c r="K813" t="s">
        <v>18</v>
      </c>
      <c r="L813" t="s">
        <v>72</v>
      </c>
      <c r="M813" t="s">
        <v>72</v>
      </c>
      <c r="N813" s="5"/>
      <c r="O813" t="str">
        <f t="shared" si="12"/>
        <v/>
      </c>
    </row>
    <row r="814" spans="1:15" x14ac:dyDescent="0.25">
      <c r="A814" t="s">
        <v>4319</v>
      </c>
      <c r="B814" t="s">
        <v>4320</v>
      </c>
      <c r="C814" t="s">
        <v>117</v>
      </c>
      <c r="D814">
        <v>2025</v>
      </c>
      <c r="E814" t="s">
        <v>56</v>
      </c>
      <c r="F814" t="s">
        <v>57</v>
      </c>
      <c r="G814" t="s">
        <v>4321</v>
      </c>
      <c r="H814" t="s">
        <v>4322</v>
      </c>
      <c r="I814" t="s">
        <v>4323</v>
      </c>
      <c r="J814" t="s">
        <v>61</v>
      </c>
      <c r="K814" t="s">
        <v>62</v>
      </c>
      <c r="L814" t="s">
        <v>63</v>
      </c>
      <c r="M814" t="s">
        <v>63</v>
      </c>
      <c r="N814" s="5"/>
      <c r="O814" t="str">
        <f t="shared" si="12"/>
        <v/>
      </c>
    </row>
    <row r="815" spans="1:15" x14ac:dyDescent="0.25">
      <c r="A815" t="s">
        <v>4324</v>
      </c>
      <c r="B815" t="s">
        <v>4325</v>
      </c>
      <c r="C815" t="s">
        <v>4326</v>
      </c>
      <c r="D815">
        <v>2025</v>
      </c>
      <c r="E815" t="s">
        <v>56</v>
      </c>
      <c r="F815" t="s">
        <v>67</v>
      </c>
      <c r="G815" t="s">
        <v>4327</v>
      </c>
      <c r="H815" t="s">
        <v>4328</v>
      </c>
      <c r="I815" t="s">
        <v>4329</v>
      </c>
      <c r="J815" t="s">
        <v>71</v>
      </c>
      <c r="K815" t="s">
        <v>18</v>
      </c>
      <c r="L815" t="s">
        <v>72</v>
      </c>
      <c r="M815" t="s">
        <v>72</v>
      </c>
      <c r="N815" s="5"/>
      <c r="O815" t="str">
        <f t="shared" si="12"/>
        <v/>
      </c>
    </row>
    <row r="816" spans="1:15" x14ac:dyDescent="0.25">
      <c r="A816" t="s">
        <v>4330</v>
      </c>
      <c r="B816" t="s">
        <v>4331</v>
      </c>
      <c r="C816" t="s">
        <v>4332</v>
      </c>
      <c r="D816">
        <v>2025</v>
      </c>
      <c r="E816" t="s">
        <v>56</v>
      </c>
      <c r="F816" t="s">
        <v>57</v>
      </c>
      <c r="G816" t="s">
        <v>4333</v>
      </c>
      <c r="H816" t="s">
        <v>4334</v>
      </c>
      <c r="I816" t="s">
        <v>4335</v>
      </c>
      <c r="J816" t="s">
        <v>79</v>
      </c>
      <c r="K816" t="s">
        <v>80</v>
      </c>
      <c r="L816" t="s">
        <v>72</v>
      </c>
      <c r="M816" t="s">
        <v>72</v>
      </c>
      <c r="N816" s="5"/>
      <c r="O816" t="str">
        <f t="shared" si="12"/>
        <v/>
      </c>
    </row>
    <row r="817" spans="1:15" x14ac:dyDescent="0.25">
      <c r="A817" t="s">
        <v>4336</v>
      </c>
      <c r="B817" t="s">
        <v>4337</v>
      </c>
      <c r="C817" t="s">
        <v>4338</v>
      </c>
      <c r="D817">
        <v>2025</v>
      </c>
      <c r="E817" t="s">
        <v>56</v>
      </c>
      <c r="F817" t="s">
        <v>57</v>
      </c>
      <c r="G817" t="s">
        <v>4339</v>
      </c>
      <c r="H817" t="s">
        <v>4340</v>
      </c>
      <c r="I817" t="s">
        <v>4341</v>
      </c>
      <c r="J817" t="s">
        <v>71</v>
      </c>
      <c r="K817" t="s">
        <v>18</v>
      </c>
      <c r="L817" t="s">
        <v>72</v>
      </c>
      <c r="M817" t="s">
        <v>72</v>
      </c>
      <c r="N817" s="5"/>
      <c r="O817" t="str">
        <f t="shared" si="12"/>
        <v/>
      </c>
    </row>
    <row r="818" spans="1:15" x14ac:dyDescent="0.25">
      <c r="A818" t="s">
        <v>4342</v>
      </c>
      <c r="B818" t="s">
        <v>4343</v>
      </c>
      <c r="C818" t="s">
        <v>4344</v>
      </c>
      <c r="D818">
        <v>2025</v>
      </c>
      <c r="E818" t="s">
        <v>56</v>
      </c>
      <c r="F818" t="s">
        <v>67</v>
      </c>
      <c r="G818" t="s">
        <v>3106</v>
      </c>
      <c r="H818" t="s">
        <v>4345</v>
      </c>
      <c r="I818" t="s">
        <v>4346</v>
      </c>
      <c r="J818" t="s">
        <v>71</v>
      </c>
      <c r="K818" t="s">
        <v>18</v>
      </c>
      <c r="L818" t="s">
        <v>72</v>
      </c>
      <c r="M818" t="s">
        <v>72</v>
      </c>
      <c r="N818" s="5"/>
      <c r="O818" t="str">
        <f t="shared" si="12"/>
        <v/>
      </c>
    </row>
    <row r="819" spans="1:15" x14ac:dyDescent="0.25">
      <c r="A819" t="s">
        <v>4347</v>
      </c>
      <c r="B819" t="s">
        <v>4348</v>
      </c>
      <c r="C819" t="s">
        <v>4349</v>
      </c>
      <c r="D819">
        <v>2025</v>
      </c>
      <c r="E819" t="s">
        <v>56</v>
      </c>
      <c r="F819" t="s">
        <v>67</v>
      </c>
      <c r="G819" t="s">
        <v>3111</v>
      </c>
      <c r="H819" t="s">
        <v>4345</v>
      </c>
      <c r="I819" t="s">
        <v>4350</v>
      </c>
      <c r="J819" t="s">
        <v>71</v>
      </c>
      <c r="K819" t="s">
        <v>18</v>
      </c>
      <c r="L819" t="s">
        <v>72</v>
      </c>
      <c r="M819" t="s">
        <v>72</v>
      </c>
      <c r="N819" s="5"/>
      <c r="O819" t="str">
        <f t="shared" si="12"/>
        <v/>
      </c>
    </row>
    <row r="820" spans="1:15" x14ac:dyDescent="0.25">
      <c r="A820" t="s">
        <v>4351</v>
      </c>
      <c r="B820" t="s">
        <v>4352</v>
      </c>
      <c r="C820" t="s">
        <v>2671</v>
      </c>
      <c r="D820">
        <v>2025</v>
      </c>
      <c r="E820" t="s">
        <v>56</v>
      </c>
      <c r="F820" t="s">
        <v>67</v>
      </c>
      <c r="G820" t="s">
        <v>4007</v>
      </c>
      <c r="I820" t="s">
        <v>4353</v>
      </c>
      <c r="J820" t="s">
        <v>71</v>
      </c>
      <c r="K820" t="s">
        <v>18</v>
      </c>
      <c r="L820" t="s">
        <v>72</v>
      </c>
      <c r="M820" t="s">
        <v>72</v>
      </c>
      <c r="N820" s="5"/>
      <c r="O820" t="str">
        <f t="shared" si="12"/>
        <v/>
      </c>
    </row>
    <row r="821" spans="1:15" x14ac:dyDescent="0.25">
      <c r="A821" t="s">
        <v>4354</v>
      </c>
      <c r="B821" t="s">
        <v>4355</v>
      </c>
      <c r="C821" t="s">
        <v>205</v>
      </c>
      <c r="D821">
        <v>2025</v>
      </c>
      <c r="E821" t="s">
        <v>56</v>
      </c>
      <c r="F821" t="s">
        <v>57</v>
      </c>
      <c r="G821" t="s">
        <v>1091</v>
      </c>
      <c r="H821" t="s">
        <v>4356</v>
      </c>
      <c r="I821" t="s">
        <v>4357</v>
      </c>
      <c r="J821" t="s">
        <v>87</v>
      </c>
      <c r="K821" t="s">
        <v>19</v>
      </c>
      <c r="L821" t="s">
        <v>72</v>
      </c>
      <c r="M821" t="s">
        <v>72</v>
      </c>
      <c r="N821" s="5"/>
      <c r="O821" t="str">
        <f t="shared" si="12"/>
        <v/>
      </c>
    </row>
    <row r="822" spans="1:15" x14ac:dyDescent="0.25">
      <c r="A822" t="s">
        <v>4358</v>
      </c>
      <c r="B822" t="s">
        <v>4359</v>
      </c>
      <c r="C822" t="s">
        <v>117</v>
      </c>
      <c r="D822">
        <v>2025</v>
      </c>
      <c r="E822" t="s">
        <v>56</v>
      </c>
      <c r="F822" t="s">
        <v>67</v>
      </c>
      <c r="G822" t="s">
        <v>1130</v>
      </c>
      <c r="H822" t="s">
        <v>4360</v>
      </c>
      <c r="I822" t="s">
        <v>4361</v>
      </c>
      <c r="J822" t="s">
        <v>71</v>
      </c>
      <c r="K822" t="s">
        <v>18</v>
      </c>
      <c r="L822" t="s">
        <v>72</v>
      </c>
      <c r="M822" t="s">
        <v>72</v>
      </c>
      <c r="N822" s="5"/>
      <c r="O822" t="str">
        <f t="shared" si="12"/>
        <v/>
      </c>
    </row>
    <row r="823" spans="1:15" x14ac:dyDescent="0.25">
      <c r="A823" t="s">
        <v>4362</v>
      </c>
      <c r="B823" t="s">
        <v>4363</v>
      </c>
      <c r="C823" t="s">
        <v>4364</v>
      </c>
      <c r="D823">
        <v>2025</v>
      </c>
      <c r="E823" t="s">
        <v>56</v>
      </c>
      <c r="F823" t="s">
        <v>57</v>
      </c>
      <c r="G823" t="s">
        <v>4365</v>
      </c>
      <c r="H823" t="s">
        <v>4366</v>
      </c>
      <c r="I823" t="s">
        <v>4367</v>
      </c>
      <c r="J823" t="s">
        <v>71</v>
      </c>
      <c r="K823" t="s">
        <v>18</v>
      </c>
      <c r="L823" t="s">
        <v>72</v>
      </c>
      <c r="M823" t="s">
        <v>72</v>
      </c>
      <c r="N823" s="5"/>
      <c r="O823" t="str">
        <f t="shared" si="12"/>
        <v/>
      </c>
    </row>
    <row r="824" spans="1:15" x14ac:dyDescent="0.25">
      <c r="A824" t="s">
        <v>4368</v>
      </c>
      <c r="B824" t="s">
        <v>4369</v>
      </c>
      <c r="C824" t="s">
        <v>1181</v>
      </c>
      <c r="D824">
        <v>2025</v>
      </c>
      <c r="E824" t="s">
        <v>56</v>
      </c>
      <c r="F824" t="s">
        <v>57</v>
      </c>
      <c r="G824" t="s">
        <v>4370</v>
      </c>
      <c r="H824" t="s">
        <v>4371</v>
      </c>
      <c r="I824" t="s">
        <v>4372</v>
      </c>
      <c r="J824" t="s">
        <v>79</v>
      </c>
      <c r="K824" t="s">
        <v>80</v>
      </c>
      <c r="L824" t="s">
        <v>72</v>
      </c>
      <c r="M824" t="s">
        <v>72</v>
      </c>
      <c r="N824" s="5"/>
      <c r="O824" t="str">
        <f t="shared" si="12"/>
        <v/>
      </c>
    </row>
    <row r="825" spans="1:15" x14ac:dyDescent="0.25">
      <c r="A825" t="s">
        <v>4373</v>
      </c>
      <c r="B825" t="s">
        <v>4374</v>
      </c>
      <c r="C825" t="s">
        <v>661</v>
      </c>
      <c r="D825">
        <v>2025</v>
      </c>
      <c r="E825" t="s">
        <v>56</v>
      </c>
      <c r="F825" t="s">
        <v>57</v>
      </c>
      <c r="G825" t="s">
        <v>4375</v>
      </c>
      <c r="H825" t="s">
        <v>4376</v>
      </c>
      <c r="I825" t="s">
        <v>4377</v>
      </c>
      <c r="J825" t="s">
        <v>87</v>
      </c>
      <c r="K825" t="s">
        <v>19</v>
      </c>
      <c r="L825" t="s">
        <v>72</v>
      </c>
      <c r="M825" t="s">
        <v>72</v>
      </c>
      <c r="N825" s="5"/>
      <c r="O825" t="str">
        <f t="shared" si="12"/>
        <v/>
      </c>
    </row>
    <row r="826" spans="1:15" x14ac:dyDescent="0.25">
      <c r="A826" t="s">
        <v>4378</v>
      </c>
      <c r="B826" t="s">
        <v>4379</v>
      </c>
      <c r="C826" t="s">
        <v>4380</v>
      </c>
      <c r="D826">
        <v>2025</v>
      </c>
      <c r="E826" t="s">
        <v>56</v>
      </c>
      <c r="F826" t="s">
        <v>67</v>
      </c>
      <c r="G826" t="s">
        <v>1130</v>
      </c>
      <c r="H826" t="s">
        <v>4381</v>
      </c>
      <c r="I826" t="s">
        <v>4382</v>
      </c>
      <c r="J826" t="s">
        <v>87</v>
      </c>
      <c r="K826" t="s">
        <v>19</v>
      </c>
      <c r="L826" t="s">
        <v>72</v>
      </c>
      <c r="M826" t="s">
        <v>72</v>
      </c>
      <c r="N826" s="5"/>
      <c r="O826" t="str">
        <f t="shared" si="12"/>
        <v/>
      </c>
    </row>
    <row r="827" spans="1:15" x14ac:dyDescent="0.25">
      <c r="A827" t="s">
        <v>4383</v>
      </c>
      <c r="B827" t="s">
        <v>4384</v>
      </c>
      <c r="C827" t="s">
        <v>661</v>
      </c>
      <c r="D827">
        <v>2025</v>
      </c>
      <c r="E827" t="s">
        <v>56</v>
      </c>
      <c r="F827" t="s">
        <v>67</v>
      </c>
      <c r="G827" t="s">
        <v>3803</v>
      </c>
      <c r="H827" t="s">
        <v>4385</v>
      </c>
      <c r="I827" t="s">
        <v>4386</v>
      </c>
      <c r="J827" t="s">
        <v>71</v>
      </c>
      <c r="K827" t="s">
        <v>18</v>
      </c>
      <c r="L827" t="s">
        <v>72</v>
      </c>
      <c r="M827" t="s">
        <v>72</v>
      </c>
      <c r="N827" s="5"/>
      <c r="O827" t="str">
        <f t="shared" si="12"/>
        <v/>
      </c>
    </row>
    <row r="828" spans="1:15" x14ac:dyDescent="0.25">
      <c r="A828" t="s">
        <v>4387</v>
      </c>
      <c r="B828" t="s">
        <v>4388</v>
      </c>
      <c r="C828" t="s">
        <v>4389</v>
      </c>
      <c r="D828">
        <v>2025</v>
      </c>
      <c r="E828" t="s">
        <v>56</v>
      </c>
      <c r="F828" t="s">
        <v>67</v>
      </c>
      <c r="G828" t="s">
        <v>4390</v>
      </c>
      <c r="H828" t="s">
        <v>4391</v>
      </c>
      <c r="I828" t="s">
        <v>4392</v>
      </c>
      <c r="J828" t="s">
        <v>71</v>
      </c>
      <c r="K828" t="s">
        <v>18</v>
      </c>
      <c r="L828" t="s">
        <v>72</v>
      </c>
      <c r="M828" t="s">
        <v>72</v>
      </c>
      <c r="N828" s="5"/>
      <c r="O828" t="str">
        <f t="shared" si="12"/>
        <v/>
      </c>
    </row>
    <row r="829" spans="1:15" x14ac:dyDescent="0.25">
      <c r="A829" t="s">
        <v>4393</v>
      </c>
      <c r="B829" t="s">
        <v>4388</v>
      </c>
      <c r="C829" t="s">
        <v>4394</v>
      </c>
      <c r="D829">
        <v>2025</v>
      </c>
      <c r="E829" t="s">
        <v>56</v>
      </c>
      <c r="F829" t="s">
        <v>67</v>
      </c>
      <c r="G829" t="s">
        <v>4395</v>
      </c>
      <c r="H829" t="s">
        <v>4391</v>
      </c>
      <c r="I829" t="s">
        <v>4396</v>
      </c>
      <c r="J829" t="s">
        <v>71</v>
      </c>
      <c r="K829" t="s">
        <v>18</v>
      </c>
      <c r="L829" t="s">
        <v>72</v>
      </c>
      <c r="M829" t="s">
        <v>72</v>
      </c>
      <c r="N829" s="5"/>
      <c r="O829" t="str">
        <f t="shared" si="12"/>
        <v/>
      </c>
    </row>
    <row r="830" spans="1:15" x14ac:dyDescent="0.25">
      <c r="A830" t="s">
        <v>4397</v>
      </c>
      <c r="B830" t="s">
        <v>4398</v>
      </c>
      <c r="C830" t="s">
        <v>4399</v>
      </c>
      <c r="D830">
        <v>2025</v>
      </c>
      <c r="E830" t="s">
        <v>56</v>
      </c>
      <c r="F830" t="s">
        <v>67</v>
      </c>
      <c r="G830" t="s">
        <v>1130</v>
      </c>
      <c r="H830" t="s">
        <v>4400</v>
      </c>
      <c r="I830" t="s">
        <v>4401</v>
      </c>
      <c r="J830" t="s">
        <v>71</v>
      </c>
      <c r="K830" t="s">
        <v>18</v>
      </c>
      <c r="L830" t="s">
        <v>72</v>
      </c>
      <c r="M830" t="s">
        <v>72</v>
      </c>
      <c r="N830" s="5"/>
      <c r="O830" t="str">
        <f t="shared" si="12"/>
        <v/>
      </c>
    </row>
    <row r="831" spans="1:15" x14ac:dyDescent="0.25">
      <c r="A831" t="s">
        <v>4402</v>
      </c>
      <c r="B831" t="s">
        <v>4403</v>
      </c>
      <c r="C831" t="s">
        <v>1232</v>
      </c>
      <c r="D831">
        <v>2025</v>
      </c>
      <c r="E831" t="s">
        <v>56</v>
      </c>
      <c r="F831" t="s">
        <v>67</v>
      </c>
      <c r="G831" t="s">
        <v>4404</v>
      </c>
      <c r="H831" t="s">
        <v>4405</v>
      </c>
      <c r="I831" t="s">
        <v>4406</v>
      </c>
      <c r="J831" t="s">
        <v>98</v>
      </c>
      <c r="K831" t="s">
        <v>99</v>
      </c>
      <c r="L831" t="s">
        <v>63</v>
      </c>
      <c r="M831" t="s">
        <v>72</v>
      </c>
      <c r="N831" s="5"/>
      <c r="O831" t="str">
        <f t="shared" si="12"/>
        <v/>
      </c>
    </row>
    <row r="832" spans="1:15" x14ac:dyDescent="0.25">
      <c r="A832" t="s">
        <v>4407</v>
      </c>
      <c r="B832" t="s">
        <v>4408</v>
      </c>
      <c r="C832" t="s">
        <v>4409</v>
      </c>
      <c r="D832">
        <v>2025</v>
      </c>
      <c r="E832" t="s">
        <v>56</v>
      </c>
      <c r="F832" t="s">
        <v>57</v>
      </c>
      <c r="G832" t="s">
        <v>4410</v>
      </c>
      <c r="H832" t="s">
        <v>4411</v>
      </c>
      <c r="I832" t="s">
        <v>4412</v>
      </c>
      <c r="J832" t="s">
        <v>71</v>
      </c>
      <c r="K832" t="s">
        <v>18</v>
      </c>
      <c r="L832" t="s">
        <v>72</v>
      </c>
      <c r="M832" t="s">
        <v>72</v>
      </c>
      <c r="N832" s="5"/>
      <c r="O832" t="str">
        <f t="shared" si="12"/>
        <v/>
      </c>
    </row>
    <row r="833" spans="1:15" x14ac:dyDescent="0.25">
      <c r="A833" t="s">
        <v>4413</v>
      </c>
      <c r="B833" t="s">
        <v>4414</v>
      </c>
      <c r="C833" t="s">
        <v>4415</v>
      </c>
      <c r="D833">
        <v>2025</v>
      </c>
      <c r="E833" t="s">
        <v>56</v>
      </c>
      <c r="F833" t="s">
        <v>67</v>
      </c>
      <c r="G833" t="s">
        <v>4416</v>
      </c>
      <c r="H833" t="s">
        <v>4417</v>
      </c>
      <c r="I833" t="s">
        <v>4418</v>
      </c>
      <c r="J833" t="s">
        <v>71</v>
      </c>
      <c r="K833" t="s">
        <v>18</v>
      </c>
      <c r="L833" t="s">
        <v>72</v>
      </c>
      <c r="M833" t="s">
        <v>72</v>
      </c>
      <c r="N833" s="5"/>
      <c r="O833" t="str">
        <f t="shared" si="12"/>
        <v/>
      </c>
    </row>
    <row r="834" spans="1:15" x14ac:dyDescent="0.25">
      <c r="A834" t="s">
        <v>4419</v>
      </c>
      <c r="B834" t="s">
        <v>4420</v>
      </c>
      <c r="C834" t="s">
        <v>4421</v>
      </c>
      <c r="D834">
        <v>2025</v>
      </c>
      <c r="E834" t="s">
        <v>56</v>
      </c>
      <c r="F834" t="s">
        <v>57</v>
      </c>
      <c r="G834" t="s">
        <v>788</v>
      </c>
      <c r="H834" t="s">
        <v>4422</v>
      </c>
      <c r="I834" t="s">
        <v>4423</v>
      </c>
      <c r="J834" t="s">
        <v>79</v>
      </c>
      <c r="K834" t="s">
        <v>80</v>
      </c>
      <c r="L834" t="s">
        <v>72</v>
      </c>
      <c r="M834" t="s">
        <v>72</v>
      </c>
      <c r="N834" s="5"/>
      <c r="O834" t="str">
        <f t="shared" ref="O834:O897" si="13">IF(N834="","",IF(N834=J834,1,0))</f>
        <v/>
      </c>
    </row>
    <row r="835" spans="1:15" x14ac:dyDescent="0.25">
      <c r="A835" t="s">
        <v>4424</v>
      </c>
      <c r="B835" t="s">
        <v>4425</v>
      </c>
      <c r="C835" t="s">
        <v>4426</v>
      </c>
      <c r="D835">
        <v>2025</v>
      </c>
      <c r="E835" t="s">
        <v>56</v>
      </c>
      <c r="F835" t="s">
        <v>67</v>
      </c>
      <c r="G835" t="s">
        <v>4427</v>
      </c>
      <c r="H835" t="s">
        <v>4428</v>
      </c>
      <c r="I835" t="s">
        <v>4429</v>
      </c>
      <c r="J835" t="s">
        <v>71</v>
      </c>
      <c r="K835" t="s">
        <v>18</v>
      </c>
      <c r="L835" t="s">
        <v>72</v>
      </c>
      <c r="M835" t="s">
        <v>72</v>
      </c>
      <c r="N835" s="5"/>
      <c r="O835" t="str">
        <f t="shared" si="13"/>
        <v/>
      </c>
    </row>
    <row r="836" spans="1:15" x14ac:dyDescent="0.25">
      <c r="A836" t="s">
        <v>4430</v>
      </c>
      <c r="B836" t="s">
        <v>4431</v>
      </c>
      <c r="C836" t="s">
        <v>4432</v>
      </c>
      <c r="D836">
        <v>2025</v>
      </c>
      <c r="E836" t="s">
        <v>56</v>
      </c>
      <c r="F836" t="s">
        <v>57</v>
      </c>
      <c r="G836" t="s">
        <v>4433</v>
      </c>
      <c r="H836" t="s">
        <v>4434</v>
      </c>
      <c r="I836" t="s">
        <v>4435</v>
      </c>
      <c r="J836" t="s">
        <v>79</v>
      </c>
      <c r="K836" t="s">
        <v>80</v>
      </c>
      <c r="L836" t="s">
        <v>72</v>
      </c>
      <c r="M836" t="s">
        <v>72</v>
      </c>
      <c r="N836" s="5"/>
      <c r="O836" t="str">
        <f t="shared" si="13"/>
        <v/>
      </c>
    </row>
    <row r="837" spans="1:15" x14ac:dyDescent="0.25">
      <c r="A837" t="s">
        <v>4436</v>
      </c>
      <c r="B837" t="s">
        <v>4437</v>
      </c>
      <c r="C837" t="s">
        <v>4432</v>
      </c>
      <c r="D837">
        <v>2025</v>
      </c>
      <c r="E837" t="s">
        <v>56</v>
      </c>
      <c r="F837" t="s">
        <v>57</v>
      </c>
      <c r="G837" t="s">
        <v>4438</v>
      </c>
      <c r="H837" t="s">
        <v>4434</v>
      </c>
      <c r="I837" t="s">
        <v>4439</v>
      </c>
      <c r="J837" t="s">
        <v>79</v>
      </c>
      <c r="K837" t="s">
        <v>80</v>
      </c>
      <c r="L837" t="s">
        <v>72</v>
      </c>
      <c r="M837" t="s">
        <v>72</v>
      </c>
      <c r="N837" s="5"/>
      <c r="O837" t="str">
        <f t="shared" si="13"/>
        <v/>
      </c>
    </row>
    <row r="838" spans="1:15" x14ac:dyDescent="0.25">
      <c r="A838" t="s">
        <v>4440</v>
      </c>
      <c r="B838" t="s">
        <v>4441</v>
      </c>
      <c r="C838" t="s">
        <v>4442</v>
      </c>
      <c r="D838">
        <v>2025</v>
      </c>
      <c r="E838" t="s">
        <v>56</v>
      </c>
      <c r="F838" t="s">
        <v>67</v>
      </c>
      <c r="G838" t="s">
        <v>4443</v>
      </c>
      <c r="H838" t="s">
        <v>4444</v>
      </c>
      <c r="I838" t="s">
        <v>4445</v>
      </c>
      <c r="J838" t="s">
        <v>71</v>
      </c>
      <c r="K838" t="s">
        <v>18</v>
      </c>
      <c r="L838" t="s">
        <v>72</v>
      </c>
      <c r="M838" t="s">
        <v>72</v>
      </c>
      <c r="N838" s="5"/>
      <c r="O838" t="str">
        <f t="shared" si="13"/>
        <v/>
      </c>
    </row>
    <row r="839" spans="1:15" x14ac:dyDescent="0.25">
      <c r="A839" t="s">
        <v>4446</v>
      </c>
      <c r="B839" t="s">
        <v>4447</v>
      </c>
      <c r="C839" t="s">
        <v>4448</v>
      </c>
      <c r="D839">
        <v>2025</v>
      </c>
      <c r="E839" t="s">
        <v>56</v>
      </c>
      <c r="F839" t="s">
        <v>67</v>
      </c>
      <c r="G839" t="s">
        <v>4449</v>
      </c>
      <c r="H839" t="s">
        <v>4450</v>
      </c>
      <c r="I839" t="s">
        <v>4451</v>
      </c>
      <c r="J839" t="s">
        <v>79</v>
      </c>
      <c r="K839" t="s">
        <v>80</v>
      </c>
      <c r="L839" t="s">
        <v>72</v>
      </c>
      <c r="M839" t="s">
        <v>72</v>
      </c>
      <c r="N839" s="5"/>
      <c r="O839" t="str">
        <f t="shared" si="13"/>
        <v/>
      </c>
    </row>
    <row r="840" spans="1:15" x14ac:dyDescent="0.25">
      <c r="A840" t="s">
        <v>4452</v>
      </c>
      <c r="B840" t="s">
        <v>4453</v>
      </c>
      <c r="C840" t="s">
        <v>4454</v>
      </c>
      <c r="D840">
        <v>2025</v>
      </c>
      <c r="E840" t="s">
        <v>56</v>
      </c>
      <c r="F840" t="s">
        <v>57</v>
      </c>
      <c r="G840" t="s">
        <v>596</v>
      </c>
      <c r="H840" t="s">
        <v>4455</v>
      </c>
      <c r="I840" t="s">
        <v>4456</v>
      </c>
      <c r="J840" t="s">
        <v>61</v>
      </c>
      <c r="K840" t="s">
        <v>62</v>
      </c>
      <c r="L840" t="s">
        <v>63</v>
      </c>
      <c r="M840" t="s">
        <v>63</v>
      </c>
      <c r="N840" s="5"/>
      <c r="O840" t="str">
        <f t="shared" si="13"/>
        <v/>
      </c>
    </row>
    <row r="841" spans="1:15" x14ac:dyDescent="0.25">
      <c r="A841" t="s">
        <v>4457</v>
      </c>
      <c r="B841" t="s">
        <v>4458</v>
      </c>
      <c r="C841" t="s">
        <v>601</v>
      </c>
      <c r="D841">
        <v>2025</v>
      </c>
      <c r="E841" t="s">
        <v>56</v>
      </c>
      <c r="F841" t="s">
        <v>67</v>
      </c>
      <c r="G841" t="s">
        <v>679</v>
      </c>
      <c r="H841" t="s">
        <v>4459</v>
      </c>
      <c r="I841" t="s">
        <v>4460</v>
      </c>
      <c r="J841" t="s">
        <v>98</v>
      </c>
      <c r="K841" t="s">
        <v>99</v>
      </c>
      <c r="L841" t="s">
        <v>63</v>
      </c>
      <c r="M841" t="s">
        <v>72</v>
      </c>
      <c r="N841" s="5"/>
      <c r="O841" t="str">
        <f t="shared" si="13"/>
        <v/>
      </c>
    </row>
    <row r="842" spans="1:15" x14ac:dyDescent="0.25">
      <c r="A842" t="s">
        <v>4461</v>
      </c>
      <c r="B842" t="s">
        <v>4462</v>
      </c>
      <c r="C842" t="s">
        <v>2180</v>
      </c>
      <c r="D842">
        <v>2025</v>
      </c>
      <c r="E842" t="s">
        <v>56</v>
      </c>
      <c r="F842" t="s">
        <v>67</v>
      </c>
      <c r="G842" t="s">
        <v>3552</v>
      </c>
      <c r="H842" t="s">
        <v>4463</v>
      </c>
      <c r="I842" t="s">
        <v>4464</v>
      </c>
      <c r="J842" t="s">
        <v>71</v>
      </c>
      <c r="K842" t="s">
        <v>18</v>
      </c>
      <c r="L842" t="s">
        <v>72</v>
      </c>
      <c r="M842" t="s">
        <v>72</v>
      </c>
      <c r="N842" s="5"/>
      <c r="O842" t="str">
        <f t="shared" si="13"/>
        <v/>
      </c>
    </row>
    <row r="843" spans="1:15" x14ac:dyDescent="0.25">
      <c r="A843" t="s">
        <v>4465</v>
      </c>
      <c r="B843" t="s">
        <v>4466</v>
      </c>
      <c r="C843" t="s">
        <v>4467</v>
      </c>
      <c r="D843">
        <v>2025</v>
      </c>
      <c r="E843" t="s">
        <v>56</v>
      </c>
      <c r="F843" t="s">
        <v>67</v>
      </c>
      <c r="G843" t="s">
        <v>4468</v>
      </c>
      <c r="H843" t="s">
        <v>4469</v>
      </c>
      <c r="I843" t="s">
        <v>4470</v>
      </c>
      <c r="J843" t="s">
        <v>71</v>
      </c>
      <c r="K843" t="s">
        <v>18</v>
      </c>
      <c r="L843" t="s">
        <v>72</v>
      </c>
      <c r="M843" t="s">
        <v>72</v>
      </c>
      <c r="N843" s="5"/>
      <c r="O843" t="str">
        <f t="shared" si="13"/>
        <v/>
      </c>
    </row>
    <row r="844" spans="1:15" x14ac:dyDescent="0.25">
      <c r="A844" t="s">
        <v>4471</v>
      </c>
      <c r="B844" t="s">
        <v>4472</v>
      </c>
      <c r="C844" t="s">
        <v>4380</v>
      </c>
      <c r="D844">
        <v>2025</v>
      </c>
      <c r="E844" t="s">
        <v>56</v>
      </c>
      <c r="F844" t="s">
        <v>57</v>
      </c>
      <c r="G844" t="s">
        <v>1314</v>
      </c>
      <c r="H844" t="s">
        <v>4473</v>
      </c>
      <c r="I844" t="s">
        <v>4474</v>
      </c>
      <c r="J844" t="s">
        <v>71</v>
      </c>
      <c r="K844" t="s">
        <v>18</v>
      </c>
      <c r="L844" t="s">
        <v>72</v>
      </c>
      <c r="M844" t="s">
        <v>72</v>
      </c>
      <c r="N844" s="5"/>
      <c r="O844" t="str">
        <f t="shared" si="13"/>
        <v/>
      </c>
    </row>
    <row r="845" spans="1:15" x14ac:dyDescent="0.25">
      <c r="A845" t="s">
        <v>4475</v>
      </c>
      <c r="B845" t="s">
        <v>4476</v>
      </c>
      <c r="C845" t="s">
        <v>4477</v>
      </c>
      <c r="D845">
        <v>2025</v>
      </c>
      <c r="E845" t="s">
        <v>56</v>
      </c>
      <c r="F845" t="s">
        <v>57</v>
      </c>
      <c r="G845" t="s">
        <v>4478</v>
      </c>
      <c r="H845" t="s">
        <v>4479</v>
      </c>
      <c r="I845" t="s">
        <v>4480</v>
      </c>
      <c r="J845" t="s">
        <v>165</v>
      </c>
      <c r="K845" t="s">
        <v>166</v>
      </c>
      <c r="L845" t="s">
        <v>63</v>
      </c>
      <c r="M845" t="s">
        <v>72</v>
      </c>
      <c r="N845" s="5"/>
      <c r="O845" t="str">
        <f t="shared" si="13"/>
        <v/>
      </c>
    </row>
    <row r="846" spans="1:15" x14ac:dyDescent="0.25">
      <c r="A846" t="s">
        <v>4481</v>
      </c>
      <c r="B846" t="s">
        <v>4482</v>
      </c>
      <c r="C846" t="s">
        <v>4483</v>
      </c>
      <c r="D846">
        <v>2025</v>
      </c>
      <c r="E846" t="s">
        <v>56</v>
      </c>
      <c r="F846" t="s">
        <v>67</v>
      </c>
      <c r="G846" t="s">
        <v>4484</v>
      </c>
      <c r="H846" t="s">
        <v>4485</v>
      </c>
      <c r="I846" t="s">
        <v>4486</v>
      </c>
      <c r="J846" t="s">
        <v>71</v>
      </c>
      <c r="K846" t="s">
        <v>18</v>
      </c>
      <c r="L846" t="s">
        <v>72</v>
      </c>
      <c r="M846" t="s">
        <v>72</v>
      </c>
      <c r="N846" s="5"/>
      <c r="O846" t="str">
        <f t="shared" si="13"/>
        <v/>
      </c>
    </row>
    <row r="847" spans="1:15" x14ac:dyDescent="0.25">
      <c r="A847" t="s">
        <v>4487</v>
      </c>
      <c r="B847" t="s">
        <v>4488</v>
      </c>
      <c r="C847" t="s">
        <v>4489</v>
      </c>
      <c r="D847">
        <v>2025</v>
      </c>
      <c r="E847" t="s">
        <v>56</v>
      </c>
      <c r="F847" t="s">
        <v>67</v>
      </c>
      <c r="G847" t="s">
        <v>556</v>
      </c>
      <c r="H847" t="s">
        <v>4490</v>
      </c>
      <c r="I847" t="s">
        <v>4491</v>
      </c>
      <c r="J847" t="s">
        <v>71</v>
      </c>
      <c r="K847" t="s">
        <v>18</v>
      </c>
      <c r="L847" t="s">
        <v>72</v>
      </c>
      <c r="M847" t="s">
        <v>72</v>
      </c>
      <c r="N847" s="5"/>
      <c r="O847" t="str">
        <f t="shared" si="13"/>
        <v/>
      </c>
    </row>
    <row r="848" spans="1:15" x14ac:dyDescent="0.25">
      <c r="A848" t="s">
        <v>4492</v>
      </c>
      <c r="B848" t="s">
        <v>4493</v>
      </c>
      <c r="C848" t="s">
        <v>4494</v>
      </c>
      <c r="D848">
        <v>2025</v>
      </c>
      <c r="E848" t="s">
        <v>56</v>
      </c>
      <c r="F848" t="s">
        <v>67</v>
      </c>
      <c r="G848" t="s">
        <v>4495</v>
      </c>
      <c r="H848" t="s">
        <v>4496</v>
      </c>
      <c r="I848" t="s">
        <v>4497</v>
      </c>
      <c r="J848" t="s">
        <v>71</v>
      </c>
      <c r="K848" t="s">
        <v>18</v>
      </c>
      <c r="L848" t="s">
        <v>72</v>
      </c>
      <c r="M848" t="s">
        <v>72</v>
      </c>
      <c r="N848" s="5"/>
      <c r="O848" t="str">
        <f t="shared" si="13"/>
        <v/>
      </c>
    </row>
    <row r="849" spans="1:15" x14ac:dyDescent="0.25">
      <c r="A849" t="s">
        <v>4498</v>
      </c>
      <c r="B849" t="s">
        <v>4499</v>
      </c>
      <c r="C849" t="s">
        <v>3624</v>
      </c>
      <c r="D849">
        <v>2025</v>
      </c>
      <c r="E849" t="s">
        <v>56</v>
      </c>
      <c r="F849" t="s">
        <v>67</v>
      </c>
      <c r="G849" t="s">
        <v>3797</v>
      </c>
      <c r="H849" t="s">
        <v>4500</v>
      </c>
      <c r="I849" t="s">
        <v>4501</v>
      </c>
      <c r="J849" t="s">
        <v>71</v>
      </c>
      <c r="K849" t="s">
        <v>18</v>
      </c>
      <c r="L849" t="s">
        <v>72</v>
      </c>
      <c r="M849" t="s">
        <v>72</v>
      </c>
      <c r="N849" s="5"/>
      <c r="O849" t="str">
        <f t="shared" si="13"/>
        <v/>
      </c>
    </row>
    <row r="850" spans="1:15" x14ac:dyDescent="0.25">
      <c r="A850" t="s">
        <v>4502</v>
      </c>
      <c r="B850" t="s">
        <v>4503</v>
      </c>
      <c r="C850" t="s">
        <v>4504</v>
      </c>
      <c r="D850">
        <v>2025</v>
      </c>
      <c r="E850" t="s">
        <v>56</v>
      </c>
      <c r="F850" t="s">
        <v>67</v>
      </c>
      <c r="G850" t="s">
        <v>4505</v>
      </c>
      <c r="H850" t="s">
        <v>4506</v>
      </c>
      <c r="I850" t="s">
        <v>4507</v>
      </c>
      <c r="J850" t="s">
        <v>71</v>
      </c>
      <c r="K850" t="s">
        <v>18</v>
      </c>
      <c r="L850" t="s">
        <v>72</v>
      </c>
      <c r="M850" t="s">
        <v>72</v>
      </c>
      <c r="N850" s="5"/>
      <c r="O850" t="str">
        <f t="shared" si="13"/>
        <v/>
      </c>
    </row>
    <row r="851" spans="1:15" x14ac:dyDescent="0.25">
      <c r="A851" t="s">
        <v>4508</v>
      </c>
      <c r="B851" t="s">
        <v>4509</v>
      </c>
      <c r="C851" t="s">
        <v>384</v>
      </c>
      <c r="D851">
        <v>2025</v>
      </c>
      <c r="E851" t="s">
        <v>56</v>
      </c>
      <c r="F851" t="s">
        <v>67</v>
      </c>
      <c r="G851" t="s">
        <v>4510</v>
      </c>
      <c r="H851" t="s">
        <v>4511</v>
      </c>
      <c r="I851" t="s">
        <v>4512</v>
      </c>
      <c r="J851" t="s">
        <v>71</v>
      </c>
      <c r="K851" t="s">
        <v>18</v>
      </c>
      <c r="L851" t="s">
        <v>72</v>
      </c>
      <c r="M851" t="s">
        <v>72</v>
      </c>
      <c r="N851" s="5"/>
      <c r="O851" t="str">
        <f t="shared" si="13"/>
        <v/>
      </c>
    </row>
    <row r="852" spans="1:15" x14ac:dyDescent="0.25">
      <c r="A852" t="s">
        <v>4513</v>
      </c>
      <c r="B852" t="s">
        <v>4514</v>
      </c>
      <c r="C852" t="s">
        <v>4515</v>
      </c>
      <c r="D852">
        <v>2025</v>
      </c>
      <c r="E852" t="s">
        <v>56</v>
      </c>
      <c r="F852" t="s">
        <v>67</v>
      </c>
      <c r="G852" t="s">
        <v>4516</v>
      </c>
      <c r="H852" t="s">
        <v>4517</v>
      </c>
      <c r="I852" t="s">
        <v>4518</v>
      </c>
      <c r="J852" t="s">
        <v>71</v>
      </c>
      <c r="K852" t="s">
        <v>18</v>
      </c>
      <c r="L852" t="s">
        <v>72</v>
      </c>
      <c r="M852" t="s">
        <v>72</v>
      </c>
      <c r="N852" s="5"/>
      <c r="O852" t="str">
        <f t="shared" si="13"/>
        <v/>
      </c>
    </row>
    <row r="853" spans="1:15" x14ac:dyDescent="0.25">
      <c r="A853" t="s">
        <v>4519</v>
      </c>
      <c r="B853" t="s">
        <v>4520</v>
      </c>
      <c r="C853" t="s">
        <v>3739</v>
      </c>
      <c r="D853">
        <v>2025</v>
      </c>
      <c r="E853" t="s">
        <v>56</v>
      </c>
      <c r="F853" t="s">
        <v>67</v>
      </c>
      <c r="G853" t="s">
        <v>4521</v>
      </c>
      <c r="H853" t="s">
        <v>4522</v>
      </c>
      <c r="I853" t="s">
        <v>4523</v>
      </c>
      <c r="J853" t="s">
        <v>71</v>
      </c>
      <c r="K853" t="s">
        <v>18</v>
      </c>
      <c r="L853" t="s">
        <v>72</v>
      </c>
      <c r="M853" t="s">
        <v>72</v>
      </c>
      <c r="N853" s="5"/>
      <c r="O853" t="str">
        <f t="shared" si="13"/>
        <v/>
      </c>
    </row>
    <row r="854" spans="1:15" x14ac:dyDescent="0.25">
      <c r="A854" t="s">
        <v>4524</v>
      </c>
      <c r="B854" t="s">
        <v>4525</v>
      </c>
      <c r="C854" t="s">
        <v>4526</v>
      </c>
      <c r="D854">
        <v>2025</v>
      </c>
      <c r="E854" t="s">
        <v>56</v>
      </c>
      <c r="F854" t="s">
        <v>67</v>
      </c>
      <c r="G854" t="s">
        <v>4527</v>
      </c>
      <c r="H854" t="s">
        <v>4528</v>
      </c>
      <c r="I854" t="s">
        <v>4529</v>
      </c>
      <c r="J854" t="s">
        <v>87</v>
      </c>
      <c r="K854" t="s">
        <v>19</v>
      </c>
      <c r="L854" t="s">
        <v>72</v>
      </c>
      <c r="M854" t="s">
        <v>72</v>
      </c>
      <c r="N854" s="5"/>
      <c r="O854" t="str">
        <f t="shared" si="13"/>
        <v/>
      </c>
    </row>
    <row r="855" spans="1:15" x14ac:dyDescent="0.25">
      <c r="A855" t="s">
        <v>4530</v>
      </c>
      <c r="B855" t="s">
        <v>4525</v>
      </c>
      <c r="C855" t="s">
        <v>4531</v>
      </c>
      <c r="D855">
        <v>2025</v>
      </c>
      <c r="E855" t="s">
        <v>56</v>
      </c>
      <c r="F855" t="s">
        <v>67</v>
      </c>
      <c r="G855" t="s">
        <v>4532</v>
      </c>
      <c r="H855" t="s">
        <v>4528</v>
      </c>
      <c r="I855" t="s">
        <v>4533</v>
      </c>
      <c r="J855" t="s">
        <v>87</v>
      </c>
      <c r="K855" t="s">
        <v>19</v>
      </c>
      <c r="L855" t="s">
        <v>72</v>
      </c>
      <c r="M855" t="s">
        <v>72</v>
      </c>
      <c r="N855" s="5"/>
      <c r="O855" t="str">
        <f t="shared" si="13"/>
        <v/>
      </c>
    </row>
    <row r="856" spans="1:15" x14ac:dyDescent="0.25">
      <c r="A856" t="s">
        <v>4534</v>
      </c>
      <c r="B856" t="s">
        <v>4535</v>
      </c>
      <c r="C856" t="s">
        <v>428</v>
      </c>
      <c r="D856">
        <v>2025</v>
      </c>
      <c r="E856" t="s">
        <v>56</v>
      </c>
      <c r="F856" t="s">
        <v>67</v>
      </c>
      <c r="G856" t="s">
        <v>3428</v>
      </c>
      <c r="H856" t="s">
        <v>4536</v>
      </c>
      <c r="I856" t="s">
        <v>4537</v>
      </c>
      <c r="J856" t="s">
        <v>87</v>
      </c>
      <c r="K856" t="s">
        <v>19</v>
      </c>
      <c r="L856" t="s">
        <v>72</v>
      </c>
      <c r="M856" t="s">
        <v>72</v>
      </c>
      <c r="N856" s="5"/>
      <c r="O856" t="str">
        <f t="shared" si="13"/>
        <v/>
      </c>
    </row>
    <row r="857" spans="1:15" x14ac:dyDescent="0.25">
      <c r="A857" t="s">
        <v>4538</v>
      </c>
      <c r="B857" t="s">
        <v>4539</v>
      </c>
      <c r="C857" t="s">
        <v>4540</v>
      </c>
      <c r="D857">
        <v>2025</v>
      </c>
      <c r="E857" t="s">
        <v>56</v>
      </c>
      <c r="F857" t="s">
        <v>57</v>
      </c>
      <c r="G857" t="s">
        <v>4541</v>
      </c>
      <c r="H857" t="s">
        <v>4542</v>
      </c>
      <c r="I857" t="s">
        <v>4543</v>
      </c>
      <c r="J857" t="s">
        <v>79</v>
      </c>
      <c r="K857" t="s">
        <v>80</v>
      </c>
      <c r="L857" t="s">
        <v>72</v>
      </c>
      <c r="M857" t="s">
        <v>72</v>
      </c>
      <c r="N857" s="5"/>
      <c r="O857" t="str">
        <f t="shared" si="13"/>
        <v/>
      </c>
    </row>
    <row r="858" spans="1:15" x14ac:dyDescent="0.25">
      <c r="A858" t="s">
        <v>4544</v>
      </c>
      <c r="B858" t="s">
        <v>4545</v>
      </c>
      <c r="C858" t="s">
        <v>4546</v>
      </c>
      <c r="D858">
        <v>2025</v>
      </c>
      <c r="E858" t="s">
        <v>56</v>
      </c>
      <c r="F858" t="s">
        <v>67</v>
      </c>
      <c r="G858" t="s">
        <v>4547</v>
      </c>
      <c r="H858" t="s">
        <v>4548</v>
      </c>
      <c r="I858" t="s">
        <v>4549</v>
      </c>
      <c r="J858" t="s">
        <v>71</v>
      </c>
      <c r="K858" t="s">
        <v>18</v>
      </c>
      <c r="L858" t="s">
        <v>72</v>
      </c>
      <c r="M858" t="s">
        <v>72</v>
      </c>
      <c r="N858" s="5"/>
      <c r="O858" t="str">
        <f t="shared" si="13"/>
        <v/>
      </c>
    </row>
    <row r="859" spans="1:15" x14ac:dyDescent="0.25">
      <c r="A859" t="s">
        <v>4550</v>
      </c>
      <c r="B859" t="s">
        <v>4551</v>
      </c>
      <c r="C859" t="s">
        <v>1037</v>
      </c>
      <c r="D859">
        <v>2025</v>
      </c>
      <c r="E859" t="s">
        <v>56</v>
      </c>
      <c r="F859" t="s">
        <v>67</v>
      </c>
      <c r="G859" t="s">
        <v>3567</v>
      </c>
      <c r="H859" t="s">
        <v>4552</v>
      </c>
      <c r="I859" t="s">
        <v>4553</v>
      </c>
      <c r="J859" t="s">
        <v>71</v>
      </c>
      <c r="K859" t="s">
        <v>18</v>
      </c>
      <c r="L859" t="s">
        <v>72</v>
      </c>
      <c r="M859" t="s">
        <v>72</v>
      </c>
      <c r="N859" s="5"/>
      <c r="O859" t="str">
        <f t="shared" si="13"/>
        <v/>
      </c>
    </row>
    <row r="860" spans="1:15" x14ac:dyDescent="0.25">
      <c r="A860" t="s">
        <v>4554</v>
      </c>
      <c r="B860" t="s">
        <v>4555</v>
      </c>
      <c r="C860" t="s">
        <v>3911</v>
      </c>
      <c r="D860">
        <v>2025</v>
      </c>
      <c r="E860" t="s">
        <v>56</v>
      </c>
      <c r="F860" t="s">
        <v>67</v>
      </c>
      <c r="G860" t="s">
        <v>4556</v>
      </c>
      <c r="H860" t="s">
        <v>4557</v>
      </c>
      <c r="I860" t="s">
        <v>4558</v>
      </c>
      <c r="J860" t="s">
        <v>71</v>
      </c>
      <c r="K860" t="s">
        <v>18</v>
      </c>
      <c r="L860" t="s">
        <v>72</v>
      </c>
      <c r="M860" t="s">
        <v>72</v>
      </c>
      <c r="N860" s="5"/>
      <c r="O860" t="str">
        <f t="shared" si="13"/>
        <v/>
      </c>
    </row>
    <row r="861" spans="1:15" x14ac:dyDescent="0.25">
      <c r="A861" t="s">
        <v>4559</v>
      </c>
      <c r="B861" t="s">
        <v>4560</v>
      </c>
      <c r="C861" t="s">
        <v>4561</v>
      </c>
      <c r="D861">
        <v>2025</v>
      </c>
      <c r="E861" t="s">
        <v>56</v>
      </c>
      <c r="F861" t="s">
        <v>67</v>
      </c>
      <c r="G861" t="s">
        <v>4562</v>
      </c>
      <c r="H861" t="s">
        <v>4563</v>
      </c>
      <c r="I861" t="s">
        <v>4564</v>
      </c>
      <c r="J861" t="s">
        <v>71</v>
      </c>
      <c r="K861" t="s">
        <v>18</v>
      </c>
      <c r="L861" t="s">
        <v>72</v>
      </c>
      <c r="M861" t="s">
        <v>72</v>
      </c>
      <c r="N861" s="5"/>
      <c r="O861" t="str">
        <f t="shared" si="13"/>
        <v/>
      </c>
    </row>
    <row r="862" spans="1:15" x14ac:dyDescent="0.25">
      <c r="A862" t="s">
        <v>4565</v>
      </c>
      <c r="B862" t="s">
        <v>4566</v>
      </c>
      <c r="C862" t="s">
        <v>4567</v>
      </c>
      <c r="D862">
        <v>2025</v>
      </c>
      <c r="E862" t="s">
        <v>56</v>
      </c>
      <c r="F862" t="s">
        <v>67</v>
      </c>
      <c r="G862" t="s">
        <v>4568</v>
      </c>
      <c r="I862" t="s">
        <v>4569</v>
      </c>
      <c r="J862" t="s">
        <v>71</v>
      </c>
      <c r="K862" t="s">
        <v>18</v>
      </c>
      <c r="L862" t="s">
        <v>72</v>
      </c>
      <c r="M862" t="s">
        <v>72</v>
      </c>
      <c r="N862" s="5"/>
      <c r="O862" t="str">
        <f t="shared" si="13"/>
        <v/>
      </c>
    </row>
    <row r="863" spans="1:15" x14ac:dyDescent="0.25">
      <c r="A863" t="s">
        <v>4570</v>
      </c>
      <c r="B863" t="s">
        <v>4571</v>
      </c>
      <c r="C863" t="s">
        <v>4572</v>
      </c>
      <c r="D863">
        <v>2025</v>
      </c>
      <c r="E863" t="s">
        <v>56</v>
      </c>
      <c r="F863" t="s">
        <v>67</v>
      </c>
      <c r="G863" t="s">
        <v>4573</v>
      </c>
      <c r="H863" t="s">
        <v>4574</v>
      </c>
      <c r="I863" t="s">
        <v>4575</v>
      </c>
      <c r="J863" t="s">
        <v>71</v>
      </c>
      <c r="K863" t="s">
        <v>18</v>
      </c>
      <c r="L863" t="s">
        <v>72</v>
      </c>
      <c r="M863" t="s">
        <v>72</v>
      </c>
      <c r="N863" s="5"/>
      <c r="O863" t="str">
        <f t="shared" si="13"/>
        <v/>
      </c>
    </row>
    <row r="864" spans="1:15" x14ac:dyDescent="0.25">
      <c r="A864" t="s">
        <v>4576</v>
      </c>
      <c r="B864" t="s">
        <v>4571</v>
      </c>
      <c r="C864" t="s">
        <v>4577</v>
      </c>
      <c r="D864">
        <v>2025</v>
      </c>
      <c r="E864" t="s">
        <v>56</v>
      </c>
      <c r="F864" t="s">
        <v>67</v>
      </c>
      <c r="G864" t="s">
        <v>4578</v>
      </c>
      <c r="H864" t="s">
        <v>4574</v>
      </c>
      <c r="I864" t="s">
        <v>4579</v>
      </c>
      <c r="J864" t="s">
        <v>71</v>
      </c>
      <c r="K864" t="s">
        <v>18</v>
      </c>
      <c r="L864" t="s">
        <v>72</v>
      </c>
      <c r="M864" t="s">
        <v>72</v>
      </c>
      <c r="N864" s="5"/>
      <c r="O864" t="str">
        <f t="shared" si="13"/>
        <v/>
      </c>
    </row>
    <row r="865" spans="1:15" x14ac:dyDescent="0.25">
      <c r="A865" t="s">
        <v>4580</v>
      </c>
      <c r="B865" t="s">
        <v>4581</v>
      </c>
      <c r="C865" t="s">
        <v>428</v>
      </c>
      <c r="D865">
        <v>2025</v>
      </c>
      <c r="E865" t="s">
        <v>56</v>
      </c>
      <c r="F865" t="s">
        <v>67</v>
      </c>
      <c r="G865" t="s">
        <v>188</v>
      </c>
      <c r="H865" t="s">
        <v>4582</v>
      </c>
      <c r="I865" t="s">
        <v>4583</v>
      </c>
      <c r="J865" t="s">
        <v>71</v>
      </c>
      <c r="K865" t="s">
        <v>18</v>
      </c>
      <c r="L865" t="s">
        <v>72</v>
      </c>
      <c r="M865" t="s">
        <v>72</v>
      </c>
      <c r="N865" s="5"/>
      <c r="O865" t="str">
        <f t="shared" si="13"/>
        <v/>
      </c>
    </row>
    <row r="866" spans="1:15" x14ac:dyDescent="0.25">
      <c r="A866" t="s">
        <v>4584</v>
      </c>
      <c r="B866" t="s">
        <v>4585</v>
      </c>
      <c r="C866" t="s">
        <v>4586</v>
      </c>
      <c r="D866">
        <v>2025</v>
      </c>
      <c r="E866" t="s">
        <v>56</v>
      </c>
      <c r="F866" t="s">
        <v>67</v>
      </c>
      <c r="G866" t="s">
        <v>4587</v>
      </c>
      <c r="H866" t="s">
        <v>4588</v>
      </c>
      <c r="I866" t="s">
        <v>4589</v>
      </c>
      <c r="J866" t="s">
        <v>71</v>
      </c>
      <c r="K866" t="s">
        <v>18</v>
      </c>
      <c r="L866" t="s">
        <v>72</v>
      </c>
      <c r="M866" t="s">
        <v>72</v>
      </c>
      <c r="N866" s="5"/>
      <c r="O866" t="str">
        <f t="shared" si="13"/>
        <v/>
      </c>
    </row>
    <row r="867" spans="1:15" x14ac:dyDescent="0.25">
      <c r="A867" t="s">
        <v>4590</v>
      </c>
      <c r="B867" t="s">
        <v>4591</v>
      </c>
      <c r="C867" t="s">
        <v>3739</v>
      </c>
      <c r="D867">
        <v>2025</v>
      </c>
      <c r="E867" t="s">
        <v>56</v>
      </c>
      <c r="F867" t="s">
        <v>67</v>
      </c>
      <c r="G867" t="s">
        <v>679</v>
      </c>
      <c r="H867" t="s">
        <v>4592</v>
      </c>
      <c r="I867" t="s">
        <v>4593</v>
      </c>
      <c r="J867" t="s">
        <v>87</v>
      </c>
      <c r="K867" t="s">
        <v>19</v>
      </c>
      <c r="L867" t="s">
        <v>72</v>
      </c>
      <c r="M867" t="s">
        <v>72</v>
      </c>
      <c r="N867" s="5"/>
      <c r="O867" t="str">
        <f t="shared" si="13"/>
        <v/>
      </c>
    </row>
    <row r="868" spans="1:15" x14ac:dyDescent="0.25">
      <c r="A868" t="s">
        <v>4594</v>
      </c>
      <c r="B868" t="s">
        <v>4595</v>
      </c>
      <c r="C868" t="s">
        <v>661</v>
      </c>
      <c r="D868">
        <v>2025</v>
      </c>
      <c r="E868" t="s">
        <v>56</v>
      </c>
      <c r="F868" t="s">
        <v>67</v>
      </c>
      <c r="G868" t="s">
        <v>3552</v>
      </c>
      <c r="H868" t="s">
        <v>4596</v>
      </c>
      <c r="I868" t="s">
        <v>4597</v>
      </c>
      <c r="J868" t="s">
        <v>71</v>
      </c>
      <c r="K868" t="s">
        <v>18</v>
      </c>
      <c r="L868" t="s">
        <v>72</v>
      </c>
      <c r="M868" t="s">
        <v>72</v>
      </c>
      <c r="N868" s="5"/>
      <c r="O868" t="str">
        <f t="shared" si="13"/>
        <v/>
      </c>
    </row>
    <row r="869" spans="1:15" x14ac:dyDescent="0.25">
      <c r="A869" t="s">
        <v>4598</v>
      </c>
      <c r="B869" t="s">
        <v>4599</v>
      </c>
      <c r="C869" t="s">
        <v>555</v>
      </c>
      <c r="D869">
        <v>2025</v>
      </c>
      <c r="E869" t="s">
        <v>56</v>
      </c>
      <c r="F869" t="s">
        <v>57</v>
      </c>
      <c r="G869" t="s">
        <v>291</v>
      </c>
      <c r="H869" t="s">
        <v>4600</v>
      </c>
      <c r="I869" t="s">
        <v>4601</v>
      </c>
      <c r="J869" t="s">
        <v>87</v>
      </c>
      <c r="K869" t="s">
        <v>19</v>
      </c>
      <c r="L869" t="s">
        <v>72</v>
      </c>
      <c r="M869" t="s">
        <v>72</v>
      </c>
      <c r="N869" s="5"/>
      <c r="O869" t="str">
        <f t="shared" si="13"/>
        <v/>
      </c>
    </row>
    <row r="870" spans="1:15" x14ac:dyDescent="0.25">
      <c r="A870" t="s">
        <v>4602</v>
      </c>
      <c r="B870" t="s">
        <v>4603</v>
      </c>
      <c r="C870" t="s">
        <v>4604</v>
      </c>
      <c r="D870">
        <v>2025</v>
      </c>
      <c r="E870" t="s">
        <v>56</v>
      </c>
      <c r="F870" t="s">
        <v>67</v>
      </c>
      <c r="G870" t="s">
        <v>4605</v>
      </c>
      <c r="H870" t="s">
        <v>4606</v>
      </c>
      <c r="I870" t="s">
        <v>4607</v>
      </c>
      <c r="J870" t="s">
        <v>71</v>
      </c>
      <c r="K870" t="s">
        <v>18</v>
      </c>
      <c r="L870" t="s">
        <v>72</v>
      </c>
      <c r="M870" t="s">
        <v>72</v>
      </c>
      <c r="N870" s="5"/>
      <c r="O870" t="str">
        <f t="shared" si="13"/>
        <v/>
      </c>
    </row>
    <row r="871" spans="1:15" x14ac:dyDescent="0.25">
      <c r="A871" t="s">
        <v>4608</v>
      </c>
      <c r="B871" t="s">
        <v>4609</v>
      </c>
      <c r="C871" t="s">
        <v>4610</v>
      </c>
      <c r="D871">
        <v>2025</v>
      </c>
      <c r="E871" t="s">
        <v>56</v>
      </c>
      <c r="F871" t="s">
        <v>67</v>
      </c>
      <c r="G871" t="s">
        <v>4611</v>
      </c>
      <c r="H871" t="s">
        <v>4612</v>
      </c>
      <c r="I871" t="s">
        <v>4613</v>
      </c>
      <c r="J871" t="s">
        <v>71</v>
      </c>
      <c r="K871" t="s">
        <v>18</v>
      </c>
      <c r="L871" t="s">
        <v>72</v>
      </c>
      <c r="M871" t="s">
        <v>72</v>
      </c>
      <c r="N871" s="5"/>
      <c r="O871" t="str">
        <f t="shared" si="13"/>
        <v/>
      </c>
    </row>
    <row r="872" spans="1:15" x14ac:dyDescent="0.25">
      <c r="A872" t="s">
        <v>4614</v>
      </c>
      <c r="B872" t="s">
        <v>4615</v>
      </c>
      <c r="C872" t="s">
        <v>384</v>
      </c>
      <c r="D872">
        <v>2025</v>
      </c>
      <c r="E872" t="s">
        <v>56</v>
      </c>
      <c r="F872" t="s">
        <v>67</v>
      </c>
      <c r="G872" t="s">
        <v>3552</v>
      </c>
      <c r="H872" t="s">
        <v>4616</v>
      </c>
      <c r="I872" t="s">
        <v>4617</v>
      </c>
      <c r="J872" t="s">
        <v>71</v>
      </c>
      <c r="K872" t="s">
        <v>18</v>
      </c>
      <c r="L872" t="s">
        <v>72</v>
      </c>
      <c r="M872" t="s">
        <v>72</v>
      </c>
      <c r="N872" s="5"/>
      <c r="O872" t="str">
        <f t="shared" si="13"/>
        <v/>
      </c>
    </row>
    <row r="873" spans="1:15" x14ac:dyDescent="0.25">
      <c r="A873" t="s">
        <v>4618</v>
      </c>
      <c r="B873" t="s">
        <v>4619</v>
      </c>
      <c r="C873" t="s">
        <v>4586</v>
      </c>
      <c r="D873">
        <v>2025</v>
      </c>
      <c r="E873" t="s">
        <v>56</v>
      </c>
      <c r="F873" t="s">
        <v>67</v>
      </c>
      <c r="G873" t="s">
        <v>4620</v>
      </c>
      <c r="H873" t="s">
        <v>4621</v>
      </c>
      <c r="I873" t="s">
        <v>4622</v>
      </c>
      <c r="J873" t="s">
        <v>71</v>
      </c>
      <c r="K873" t="s">
        <v>18</v>
      </c>
      <c r="L873" t="s">
        <v>72</v>
      </c>
      <c r="M873" t="s">
        <v>72</v>
      </c>
      <c r="N873" s="5"/>
      <c r="O873" t="str">
        <f t="shared" si="13"/>
        <v/>
      </c>
    </row>
    <row r="874" spans="1:15" x14ac:dyDescent="0.25">
      <c r="A874" t="s">
        <v>4623</v>
      </c>
      <c r="B874" t="s">
        <v>4624</v>
      </c>
      <c r="C874" t="s">
        <v>661</v>
      </c>
      <c r="D874">
        <v>2025</v>
      </c>
      <c r="E874" t="s">
        <v>56</v>
      </c>
      <c r="F874" t="s">
        <v>67</v>
      </c>
      <c r="G874" t="s">
        <v>3803</v>
      </c>
      <c r="H874" t="s">
        <v>4625</v>
      </c>
      <c r="I874" t="s">
        <v>4626</v>
      </c>
      <c r="J874" t="s">
        <v>71</v>
      </c>
      <c r="K874" t="s">
        <v>18</v>
      </c>
      <c r="L874" t="s">
        <v>72</v>
      </c>
      <c r="M874" t="s">
        <v>72</v>
      </c>
      <c r="N874" s="5"/>
      <c r="O874" t="str">
        <f t="shared" si="13"/>
        <v/>
      </c>
    </row>
    <row r="875" spans="1:15" x14ac:dyDescent="0.25">
      <c r="A875" t="s">
        <v>4627</v>
      </c>
      <c r="B875" t="s">
        <v>4628</v>
      </c>
      <c r="C875" t="s">
        <v>4629</v>
      </c>
      <c r="D875">
        <v>2025</v>
      </c>
      <c r="E875" t="s">
        <v>56</v>
      </c>
      <c r="F875" t="s">
        <v>67</v>
      </c>
      <c r="G875" t="s">
        <v>4254</v>
      </c>
      <c r="H875" t="s">
        <v>4630</v>
      </c>
      <c r="I875" t="s">
        <v>4631</v>
      </c>
      <c r="J875" t="s">
        <v>71</v>
      </c>
      <c r="K875" t="s">
        <v>18</v>
      </c>
      <c r="L875" t="s">
        <v>72</v>
      </c>
      <c r="M875" t="s">
        <v>72</v>
      </c>
      <c r="N875" s="5"/>
      <c r="O875" t="str">
        <f t="shared" si="13"/>
        <v/>
      </c>
    </row>
    <row r="876" spans="1:15" x14ac:dyDescent="0.25">
      <c r="A876" t="s">
        <v>4632</v>
      </c>
      <c r="B876" t="s">
        <v>4633</v>
      </c>
      <c r="C876" t="s">
        <v>4634</v>
      </c>
      <c r="D876">
        <v>2025</v>
      </c>
      <c r="E876" t="s">
        <v>56</v>
      </c>
      <c r="F876" t="s">
        <v>57</v>
      </c>
      <c r="G876" t="s">
        <v>4635</v>
      </c>
      <c r="H876" t="s">
        <v>4636</v>
      </c>
      <c r="I876" t="s">
        <v>4637</v>
      </c>
      <c r="J876" t="s">
        <v>87</v>
      </c>
      <c r="K876" t="s">
        <v>19</v>
      </c>
      <c r="L876" t="s">
        <v>72</v>
      </c>
      <c r="M876" t="s">
        <v>72</v>
      </c>
      <c r="N876" s="5"/>
      <c r="O876" t="str">
        <f t="shared" si="13"/>
        <v/>
      </c>
    </row>
    <row r="877" spans="1:15" x14ac:dyDescent="0.25">
      <c r="A877" t="s">
        <v>4638</v>
      </c>
      <c r="B877" t="s">
        <v>4639</v>
      </c>
      <c r="C877" t="s">
        <v>4640</v>
      </c>
      <c r="D877">
        <v>2025</v>
      </c>
      <c r="E877" t="s">
        <v>56</v>
      </c>
      <c r="F877" t="s">
        <v>67</v>
      </c>
      <c r="G877" t="s">
        <v>188</v>
      </c>
      <c r="H877" t="s">
        <v>4641</v>
      </c>
      <c r="I877" t="s">
        <v>4642</v>
      </c>
      <c r="J877" t="s">
        <v>98</v>
      </c>
      <c r="K877" t="s">
        <v>99</v>
      </c>
      <c r="L877" t="s">
        <v>63</v>
      </c>
      <c r="M877" t="s">
        <v>72</v>
      </c>
      <c r="N877" s="5"/>
      <c r="O877" t="str">
        <f t="shared" si="13"/>
        <v/>
      </c>
    </row>
    <row r="878" spans="1:15" x14ac:dyDescent="0.25">
      <c r="A878" t="s">
        <v>4643</v>
      </c>
      <c r="B878" t="s">
        <v>4644</v>
      </c>
      <c r="C878" t="s">
        <v>102</v>
      </c>
      <c r="D878">
        <v>2025</v>
      </c>
      <c r="E878" t="s">
        <v>56</v>
      </c>
      <c r="F878" t="s">
        <v>67</v>
      </c>
      <c r="G878" t="s">
        <v>4645</v>
      </c>
      <c r="H878" t="s">
        <v>4646</v>
      </c>
      <c r="I878" t="s">
        <v>4647</v>
      </c>
      <c r="J878" t="s">
        <v>71</v>
      </c>
      <c r="K878" t="s">
        <v>18</v>
      </c>
      <c r="L878" t="s">
        <v>72</v>
      </c>
      <c r="M878" t="s">
        <v>72</v>
      </c>
      <c r="N878" s="5"/>
      <c r="O878" t="str">
        <f t="shared" si="13"/>
        <v/>
      </c>
    </row>
    <row r="879" spans="1:15" x14ac:dyDescent="0.25">
      <c r="A879" t="s">
        <v>4648</v>
      </c>
      <c r="B879" t="s">
        <v>4649</v>
      </c>
      <c r="C879" t="s">
        <v>1071</v>
      </c>
      <c r="D879">
        <v>2025</v>
      </c>
      <c r="E879" t="s">
        <v>56</v>
      </c>
      <c r="F879" t="s">
        <v>67</v>
      </c>
      <c r="G879" t="s">
        <v>1409</v>
      </c>
      <c r="H879" t="s">
        <v>4650</v>
      </c>
      <c r="I879" t="s">
        <v>4651</v>
      </c>
      <c r="J879" t="s">
        <v>79</v>
      </c>
      <c r="K879" t="s">
        <v>80</v>
      </c>
      <c r="L879" t="s">
        <v>72</v>
      </c>
      <c r="M879" t="s">
        <v>72</v>
      </c>
      <c r="N879" s="5"/>
      <c r="O879" t="str">
        <f t="shared" si="13"/>
        <v/>
      </c>
    </row>
    <row r="880" spans="1:15" x14ac:dyDescent="0.25">
      <c r="A880" t="s">
        <v>4652</v>
      </c>
      <c r="B880" t="s">
        <v>4653</v>
      </c>
      <c r="C880" t="s">
        <v>117</v>
      </c>
      <c r="D880">
        <v>2025</v>
      </c>
      <c r="E880" t="s">
        <v>56</v>
      </c>
      <c r="F880" t="s">
        <v>67</v>
      </c>
      <c r="G880" t="s">
        <v>4654</v>
      </c>
      <c r="H880" t="s">
        <v>4655</v>
      </c>
      <c r="I880" t="s">
        <v>4656</v>
      </c>
      <c r="J880" t="s">
        <v>87</v>
      </c>
      <c r="K880" t="s">
        <v>19</v>
      </c>
      <c r="L880" t="s">
        <v>72</v>
      </c>
      <c r="M880" t="s">
        <v>72</v>
      </c>
      <c r="N880" s="5"/>
      <c r="O880" t="str">
        <f t="shared" si="13"/>
        <v/>
      </c>
    </row>
    <row r="881" spans="1:15" x14ac:dyDescent="0.25">
      <c r="A881" t="s">
        <v>4657</v>
      </c>
      <c r="B881" t="s">
        <v>4658</v>
      </c>
      <c r="C881" t="s">
        <v>4659</v>
      </c>
      <c r="D881">
        <v>2025</v>
      </c>
      <c r="E881" t="s">
        <v>56</v>
      </c>
      <c r="F881" t="s">
        <v>57</v>
      </c>
      <c r="G881" t="s">
        <v>1208</v>
      </c>
      <c r="H881" t="s">
        <v>4660</v>
      </c>
      <c r="I881" t="s">
        <v>4661</v>
      </c>
      <c r="J881" t="s">
        <v>98</v>
      </c>
      <c r="K881" t="s">
        <v>99</v>
      </c>
      <c r="L881" t="s">
        <v>63</v>
      </c>
      <c r="M881" t="s">
        <v>72</v>
      </c>
      <c r="N881" s="5"/>
      <c r="O881" t="str">
        <f t="shared" si="13"/>
        <v/>
      </c>
    </row>
    <row r="882" spans="1:15" x14ac:dyDescent="0.25">
      <c r="A882" t="s">
        <v>4662</v>
      </c>
      <c r="B882" t="s">
        <v>4663</v>
      </c>
      <c r="C882" t="s">
        <v>4664</v>
      </c>
      <c r="D882">
        <v>2025</v>
      </c>
      <c r="E882" t="s">
        <v>56</v>
      </c>
      <c r="F882" t="s">
        <v>57</v>
      </c>
      <c r="G882" t="s">
        <v>750</v>
      </c>
      <c r="H882" t="s">
        <v>4665</v>
      </c>
      <c r="I882" t="s">
        <v>4666</v>
      </c>
      <c r="J882" t="s">
        <v>79</v>
      </c>
      <c r="K882" t="s">
        <v>80</v>
      </c>
      <c r="L882" t="s">
        <v>72</v>
      </c>
      <c r="M882" t="s">
        <v>72</v>
      </c>
      <c r="N882" s="5"/>
      <c r="O882" t="str">
        <f t="shared" si="13"/>
        <v/>
      </c>
    </row>
    <row r="883" spans="1:15" x14ac:dyDescent="0.25">
      <c r="A883" t="s">
        <v>4667</v>
      </c>
      <c r="B883" t="s">
        <v>4668</v>
      </c>
      <c r="C883" t="s">
        <v>4669</v>
      </c>
      <c r="D883">
        <v>2025</v>
      </c>
      <c r="E883" t="s">
        <v>56</v>
      </c>
      <c r="F883" t="s">
        <v>57</v>
      </c>
      <c r="G883" t="s">
        <v>750</v>
      </c>
      <c r="H883" t="s">
        <v>4670</v>
      </c>
      <c r="I883" t="s">
        <v>4671</v>
      </c>
      <c r="J883" t="s">
        <v>87</v>
      </c>
      <c r="K883" t="s">
        <v>19</v>
      </c>
      <c r="L883" t="s">
        <v>72</v>
      </c>
      <c r="M883" t="s">
        <v>72</v>
      </c>
      <c r="N883" s="5"/>
      <c r="O883" t="str">
        <f t="shared" si="13"/>
        <v/>
      </c>
    </row>
    <row r="884" spans="1:15" x14ac:dyDescent="0.25">
      <c r="A884" t="s">
        <v>4672</v>
      </c>
      <c r="B884" t="s">
        <v>4673</v>
      </c>
      <c r="C884" t="s">
        <v>4674</v>
      </c>
      <c r="D884">
        <v>2025</v>
      </c>
      <c r="E884" t="s">
        <v>56</v>
      </c>
      <c r="F884" t="s">
        <v>57</v>
      </c>
      <c r="G884" t="s">
        <v>584</v>
      </c>
      <c r="H884" t="s">
        <v>4675</v>
      </c>
      <c r="I884" t="s">
        <v>4676</v>
      </c>
      <c r="J884" t="s">
        <v>79</v>
      </c>
      <c r="K884" t="s">
        <v>80</v>
      </c>
      <c r="L884" t="s">
        <v>72</v>
      </c>
      <c r="M884" t="s">
        <v>72</v>
      </c>
      <c r="N884" s="5"/>
      <c r="O884" t="str">
        <f t="shared" si="13"/>
        <v/>
      </c>
    </row>
    <row r="885" spans="1:15" x14ac:dyDescent="0.25">
      <c r="A885" t="s">
        <v>4677</v>
      </c>
      <c r="B885" t="s">
        <v>4678</v>
      </c>
      <c r="C885" t="s">
        <v>4679</v>
      </c>
      <c r="D885">
        <v>2025</v>
      </c>
      <c r="E885" t="s">
        <v>56</v>
      </c>
      <c r="F885" t="s">
        <v>67</v>
      </c>
      <c r="G885" t="s">
        <v>3567</v>
      </c>
      <c r="H885" t="s">
        <v>4680</v>
      </c>
      <c r="I885" t="s">
        <v>4681</v>
      </c>
      <c r="J885" t="s">
        <v>71</v>
      </c>
      <c r="K885" t="s">
        <v>18</v>
      </c>
      <c r="L885" t="s">
        <v>72</v>
      </c>
      <c r="M885" t="s">
        <v>72</v>
      </c>
      <c r="N885" s="5"/>
      <c r="O885" t="str">
        <f t="shared" si="13"/>
        <v/>
      </c>
    </row>
    <row r="886" spans="1:15" x14ac:dyDescent="0.25">
      <c r="A886" t="s">
        <v>4682</v>
      </c>
      <c r="B886" t="s">
        <v>4683</v>
      </c>
      <c r="C886" t="s">
        <v>4684</v>
      </c>
      <c r="D886">
        <v>2025</v>
      </c>
      <c r="E886" t="s">
        <v>56</v>
      </c>
      <c r="F886" t="s">
        <v>67</v>
      </c>
      <c r="G886" t="s">
        <v>4685</v>
      </c>
      <c r="H886" t="s">
        <v>4686</v>
      </c>
      <c r="I886" t="s">
        <v>4687</v>
      </c>
      <c r="J886" t="s">
        <v>71</v>
      </c>
      <c r="K886" t="s">
        <v>18</v>
      </c>
      <c r="L886" t="s">
        <v>72</v>
      </c>
      <c r="M886" t="s">
        <v>72</v>
      </c>
      <c r="N886" s="5"/>
      <c r="O886" t="str">
        <f t="shared" si="13"/>
        <v/>
      </c>
    </row>
    <row r="887" spans="1:15" x14ac:dyDescent="0.25">
      <c r="A887" t="s">
        <v>4688</v>
      </c>
      <c r="B887" t="s">
        <v>4689</v>
      </c>
      <c r="C887" t="s">
        <v>4690</v>
      </c>
      <c r="D887">
        <v>2025</v>
      </c>
      <c r="E887" t="s">
        <v>56</v>
      </c>
      <c r="F887" t="s">
        <v>67</v>
      </c>
      <c r="G887" t="s">
        <v>4691</v>
      </c>
      <c r="H887" t="s">
        <v>4692</v>
      </c>
      <c r="I887" t="s">
        <v>4693</v>
      </c>
      <c r="J887" t="s">
        <v>71</v>
      </c>
      <c r="K887" t="s">
        <v>18</v>
      </c>
      <c r="L887" t="s">
        <v>72</v>
      </c>
      <c r="M887" t="s">
        <v>72</v>
      </c>
      <c r="N887" s="5"/>
      <c r="O887" t="str">
        <f t="shared" si="13"/>
        <v/>
      </c>
    </row>
    <row r="888" spans="1:15" x14ac:dyDescent="0.25">
      <c r="A888" t="s">
        <v>4694</v>
      </c>
      <c r="B888" t="s">
        <v>4695</v>
      </c>
      <c r="C888" t="s">
        <v>4696</v>
      </c>
      <c r="D888">
        <v>2025</v>
      </c>
      <c r="E888" t="s">
        <v>56</v>
      </c>
      <c r="F888" t="s">
        <v>67</v>
      </c>
      <c r="G888" t="s">
        <v>4021</v>
      </c>
      <c r="H888" t="s">
        <v>4697</v>
      </c>
      <c r="I888" t="s">
        <v>4698</v>
      </c>
      <c r="J888" t="s">
        <v>71</v>
      </c>
      <c r="K888" t="s">
        <v>18</v>
      </c>
      <c r="L888" t="s">
        <v>72</v>
      </c>
      <c r="M888" t="s">
        <v>72</v>
      </c>
      <c r="N888" s="5"/>
      <c r="O888" t="str">
        <f t="shared" si="13"/>
        <v/>
      </c>
    </row>
    <row r="889" spans="1:15" x14ac:dyDescent="0.25">
      <c r="A889" t="s">
        <v>4699</v>
      </c>
      <c r="B889" t="s">
        <v>4700</v>
      </c>
      <c r="C889" t="s">
        <v>4701</v>
      </c>
      <c r="D889">
        <v>2025</v>
      </c>
      <c r="E889" t="s">
        <v>56</v>
      </c>
      <c r="F889" t="s">
        <v>57</v>
      </c>
      <c r="G889" t="s">
        <v>750</v>
      </c>
      <c r="H889" t="s">
        <v>4702</v>
      </c>
      <c r="I889" t="s">
        <v>4703</v>
      </c>
      <c r="J889" t="s">
        <v>87</v>
      </c>
      <c r="K889" t="s">
        <v>19</v>
      </c>
      <c r="L889" t="s">
        <v>72</v>
      </c>
      <c r="M889" t="s">
        <v>72</v>
      </c>
      <c r="N889" s="5"/>
      <c r="O889" t="str">
        <f t="shared" si="13"/>
        <v/>
      </c>
    </row>
    <row r="890" spans="1:15" x14ac:dyDescent="0.25">
      <c r="A890" t="s">
        <v>4704</v>
      </c>
      <c r="B890" t="s">
        <v>4705</v>
      </c>
      <c r="C890" t="s">
        <v>3308</v>
      </c>
      <c r="D890">
        <v>2025</v>
      </c>
      <c r="E890" t="s">
        <v>56</v>
      </c>
      <c r="F890" t="s">
        <v>67</v>
      </c>
      <c r="G890" t="s">
        <v>4706</v>
      </c>
      <c r="H890" t="s">
        <v>4707</v>
      </c>
      <c r="I890" t="s">
        <v>4708</v>
      </c>
      <c r="J890" t="s">
        <v>71</v>
      </c>
      <c r="K890" t="s">
        <v>18</v>
      </c>
      <c r="L890" t="s">
        <v>72</v>
      </c>
      <c r="M890" t="s">
        <v>72</v>
      </c>
      <c r="N890" s="5"/>
      <c r="O890" t="str">
        <f t="shared" si="13"/>
        <v/>
      </c>
    </row>
    <row r="891" spans="1:15" x14ac:dyDescent="0.25">
      <c r="A891" t="s">
        <v>4709</v>
      </c>
      <c r="B891" t="s">
        <v>4710</v>
      </c>
      <c r="C891" t="s">
        <v>777</v>
      </c>
      <c r="D891">
        <v>2025</v>
      </c>
      <c r="E891" t="s">
        <v>56</v>
      </c>
      <c r="F891" t="s">
        <v>67</v>
      </c>
      <c r="G891" t="s">
        <v>3567</v>
      </c>
      <c r="H891" t="s">
        <v>4711</v>
      </c>
      <c r="I891" t="s">
        <v>4712</v>
      </c>
      <c r="J891" t="s">
        <v>87</v>
      </c>
      <c r="K891" t="s">
        <v>19</v>
      </c>
      <c r="L891" t="s">
        <v>72</v>
      </c>
      <c r="M891" t="s">
        <v>72</v>
      </c>
      <c r="N891" s="5"/>
      <c r="O891" t="str">
        <f t="shared" si="13"/>
        <v/>
      </c>
    </row>
    <row r="892" spans="1:15" x14ac:dyDescent="0.25">
      <c r="A892" t="s">
        <v>4713</v>
      </c>
      <c r="B892" t="s">
        <v>4714</v>
      </c>
      <c r="C892" t="s">
        <v>117</v>
      </c>
      <c r="D892">
        <v>2025</v>
      </c>
      <c r="E892" t="s">
        <v>56</v>
      </c>
      <c r="F892" t="s">
        <v>67</v>
      </c>
      <c r="G892" t="s">
        <v>3567</v>
      </c>
      <c r="H892" t="s">
        <v>4715</v>
      </c>
      <c r="I892" t="s">
        <v>4716</v>
      </c>
      <c r="J892" t="s">
        <v>98</v>
      </c>
      <c r="K892" t="s">
        <v>99</v>
      </c>
      <c r="L892" t="s">
        <v>63</v>
      </c>
      <c r="M892" t="s">
        <v>72</v>
      </c>
      <c r="N892" s="5"/>
      <c r="O892" t="str">
        <f t="shared" si="13"/>
        <v/>
      </c>
    </row>
    <row r="893" spans="1:15" x14ac:dyDescent="0.25">
      <c r="A893" t="s">
        <v>4717</v>
      </c>
      <c r="B893" t="s">
        <v>4718</v>
      </c>
      <c r="C893" t="s">
        <v>4719</v>
      </c>
      <c r="D893">
        <v>2025</v>
      </c>
      <c r="E893" t="s">
        <v>56</v>
      </c>
      <c r="F893" t="s">
        <v>67</v>
      </c>
      <c r="G893" t="s">
        <v>4720</v>
      </c>
      <c r="H893" t="s">
        <v>4721</v>
      </c>
      <c r="I893" t="s">
        <v>4722</v>
      </c>
      <c r="J893" t="s">
        <v>87</v>
      </c>
      <c r="K893" t="s">
        <v>19</v>
      </c>
      <c r="L893" t="s">
        <v>72</v>
      </c>
      <c r="M893" t="s">
        <v>72</v>
      </c>
      <c r="N893" s="5"/>
      <c r="O893" t="str">
        <f t="shared" si="13"/>
        <v/>
      </c>
    </row>
    <row r="894" spans="1:15" x14ac:dyDescent="0.25">
      <c r="A894" t="s">
        <v>4723</v>
      </c>
      <c r="B894" t="s">
        <v>4718</v>
      </c>
      <c r="C894" t="s">
        <v>4724</v>
      </c>
      <c r="D894">
        <v>2025</v>
      </c>
      <c r="E894" t="s">
        <v>56</v>
      </c>
      <c r="F894" t="s">
        <v>67</v>
      </c>
      <c r="G894" t="s">
        <v>4725</v>
      </c>
      <c r="H894" t="s">
        <v>4721</v>
      </c>
      <c r="I894" t="s">
        <v>4726</v>
      </c>
      <c r="J894" t="s">
        <v>87</v>
      </c>
      <c r="K894" t="s">
        <v>19</v>
      </c>
      <c r="L894" t="s">
        <v>72</v>
      </c>
      <c r="M894" t="s">
        <v>72</v>
      </c>
      <c r="N894" s="5"/>
      <c r="O894" t="str">
        <f t="shared" si="13"/>
        <v/>
      </c>
    </row>
    <row r="895" spans="1:15" x14ac:dyDescent="0.25">
      <c r="A895" t="s">
        <v>4727</v>
      </c>
      <c r="B895" t="s">
        <v>4728</v>
      </c>
      <c r="C895" t="s">
        <v>4729</v>
      </c>
      <c r="D895">
        <v>2025</v>
      </c>
      <c r="E895" t="s">
        <v>56</v>
      </c>
      <c r="F895" t="s">
        <v>57</v>
      </c>
      <c r="G895" t="s">
        <v>4730</v>
      </c>
      <c r="H895" t="s">
        <v>4731</v>
      </c>
      <c r="I895" t="s">
        <v>4732</v>
      </c>
      <c r="J895" t="s">
        <v>79</v>
      </c>
      <c r="K895" t="s">
        <v>80</v>
      </c>
      <c r="L895" t="s">
        <v>72</v>
      </c>
      <c r="M895" t="s">
        <v>72</v>
      </c>
      <c r="N895" s="5"/>
      <c r="O895" t="str">
        <f t="shared" si="13"/>
        <v/>
      </c>
    </row>
    <row r="896" spans="1:15" x14ac:dyDescent="0.25">
      <c r="A896" t="s">
        <v>4733</v>
      </c>
      <c r="B896" t="s">
        <v>4734</v>
      </c>
      <c r="C896" t="s">
        <v>4735</v>
      </c>
      <c r="D896">
        <v>2025</v>
      </c>
      <c r="E896" t="s">
        <v>56</v>
      </c>
      <c r="F896" t="s">
        <v>57</v>
      </c>
      <c r="G896" t="s">
        <v>831</v>
      </c>
      <c r="H896" t="s">
        <v>4736</v>
      </c>
      <c r="I896" t="s">
        <v>4737</v>
      </c>
      <c r="J896" t="s">
        <v>71</v>
      </c>
      <c r="K896" t="s">
        <v>18</v>
      </c>
      <c r="L896" t="s">
        <v>72</v>
      </c>
      <c r="M896" t="s">
        <v>72</v>
      </c>
      <c r="N896" s="5"/>
      <c r="O896" t="str">
        <f t="shared" si="13"/>
        <v/>
      </c>
    </row>
    <row r="897" spans="1:15" x14ac:dyDescent="0.25">
      <c r="A897" t="s">
        <v>4738</v>
      </c>
      <c r="B897" t="s">
        <v>4739</v>
      </c>
      <c r="C897" t="s">
        <v>4740</v>
      </c>
      <c r="D897">
        <v>2025</v>
      </c>
      <c r="E897" t="s">
        <v>56</v>
      </c>
      <c r="F897" t="s">
        <v>67</v>
      </c>
      <c r="G897" t="s">
        <v>4741</v>
      </c>
      <c r="H897" t="s">
        <v>4742</v>
      </c>
      <c r="I897" t="s">
        <v>4743</v>
      </c>
      <c r="J897" t="s">
        <v>71</v>
      </c>
      <c r="K897" t="s">
        <v>18</v>
      </c>
      <c r="L897" t="s">
        <v>72</v>
      </c>
      <c r="M897" t="s">
        <v>72</v>
      </c>
      <c r="N897" s="5"/>
      <c r="O897" t="str">
        <f t="shared" si="13"/>
        <v/>
      </c>
    </row>
    <row r="898" spans="1:15" x14ac:dyDescent="0.25">
      <c r="A898" t="s">
        <v>4744</v>
      </c>
      <c r="B898" t="s">
        <v>4745</v>
      </c>
      <c r="C898" t="s">
        <v>1001</v>
      </c>
      <c r="D898">
        <v>2025</v>
      </c>
      <c r="E898" t="s">
        <v>56</v>
      </c>
      <c r="F898" t="s">
        <v>67</v>
      </c>
      <c r="G898" t="s">
        <v>84</v>
      </c>
      <c r="H898" t="s">
        <v>4746</v>
      </c>
      <c r="I898" t="s">
        <v>4747</v>
      </c>
      <c r="J898" t="s">
        <v>87</v>
      </c>
      <c r="K898" t="s">
        <v>19</v>
      </c>
      <c r="L898" t="s">
        <v>72</v>
      </c>
      <c r="M898" t="s">
        <v>72</v>
      </c>
      <c r="N898" s="5"/>
      <c r="O898" t="str">
        <f t="shared" ref="O898:O961" si="14">IF(N898="","",IF(N898=J898,1,0))</f>
        <v/>
      </c>
    </row>
    <row r="899" spans="1:15" x14ac:dyDescent="0.25">
      <c r="A899" t="s">
        <v>4748</v>
      </c>
      <c r="B899" t="s">
        <v>4749</v>
      </c>
      <c r="C899" t="s">
        <v>4750</v>
      </c>
      <c r="D899">
        <v>2025</v>
      </c>
      <c r="E899" t="s">
        <v>56</v>
      </c>
      <c r="F899" t="s">
        <v>57</v>
      </c>
      <c r="G899" t="s">
        <v>590</v>
      </c>
      <c r="H899" t="s">
        <v>4751</v>
      </c>
      <c r="I899" t="s">
        <v>4752</v>
      </c>
      <c r="J899" t="s">
        <v>71</v>
      </c>
      <c r="K899" t="s">
        <v>18</v>
      </c>
      <c r="L899" t="s">
        <v>72</v>
      </c>
      <c r="M899" t="s">
        <v>72</v>
      </c>
      <c r="N899" s="5"/>
      <c r="O899" t="str">
        <f t="shared" si="14"/>
        <v/>
      </c>
    </row>
    <row r="900" spans="1:15" x14ac:dyDescent="0.25">
      <c r="A900" t="s">
        <v>4753</v>
      </c>
      <c r="B900" t="s">
        <v>4754</v>
      </c>
      <c r="C900" t="s">
        <v>4755</v>
      </c>
      <c r="D900">
        <v>2025</v>
      </c>
      <c r="E900" t="s">
        <v>56</v>
      </c>
      <c r="F900" t="s">
        <v>57</v>
      </c>
      <c r="G900" t="s">
        <v>4756</v>
      </c>
      <c r="H900" t="s">
        <v>4757</v>
      </c>
      <c r="I900" t="s">
        <v>4758</v>
      </c>
      <c r="J900" t="s">
        <v>79</v>
      </c>
      <c r="K900" t="s">
        <v>80</v>
      </c>
      <c r="L900" t="s">
        <v>72</v>
      </c>
      <c r="M900" t="s">
        <v>72</v>
      </c>
      <c r="N900" s="5"/>
      <c r="O900" t="str">
        <f t="shared" si="14"/>
        <v/>
      </c>
    </row>
    <row r="901" spans="1:15" x14ac:dyDescent="0.25">
      <c r="A901" t="s">
        <v>4759</v>
      </c>
      <c r="B901" t="s">
        <v>4760</v>
      </c>
      <c r="C901" t="s">
        <v>4761</v>
      </c>
      <c r="D901">
        <v>2025</v>
      </c>
      <c r="E901" t="s">
        <v>56</v>
      </c>
      <c r="F901" t="s">
        <v>57</v>
      </c>
      <c r="G901" t="s">
        <v>412</v>
      </c>
      <c r="H901" t="s">
        <v>4762</v>
      </c>
      <c r="I901" t="s">
        <v>4763</v>
      </c>
      <c r="J901" t="s">
        <v>87</v>
      </c>
      <c r="K901" t="s">
        <v>19</v>
      </c>
      <c r="L901" t="s">
        <v>72</v>
      </c>
      <c r="M901" t="s">
        <v>72</v>
      </c>
      <c r="N901" s="5"/>
      <c r="O901" t="str">
        <f t="shared" si="14"/>
        <v/>
      </c>
    </row>
    <row r="902" spans="1:15" x14ac:dyDescent="0.25">
      <c r="A902" t="s">
        <v>4764</v>
      </c>
      <c r="B902" t="s">
        <v>4765</v>
      </c>
      <c r="C902" t="s">
        <v>384</v>
      </c>
      <c r="D902">
        <v>2025</v>
      </c>
      <c r="E902" t="s">
        <v>56</v>
      </c>
      <c r="F902" t="s">
        <v>57</v>
      </c>
      <c r="G902" t="s">
        <v>590</v>
      </c>
      <c r="H902" t="s">
        <v>4766</v>
      </c>
      <c r="I902" t="s">
        <v>4767</v>
      </c>
      <c r="J902" t="s">
        <v>71</v>
      </c>
      <c r="K902" t="s">
        <v>18</v>
      </c>
      <c r="L902" t="s">
        <v>72</v>
      </c>
      <c r="M902" t="s">
        <v>72</v>
      </c>
      <c r="N902" s="5"/>
      <c r="O902" t="str">
        <f t="shared" si="14"/>
        <v/>
      </c>
    </row>
    <row r="903" spans="1:15" x14ac:dyDescent="0.25">
      <c r="A903" t="s">
        <v>4768</v>
      </c>
      <c r="B903" t="s">
        <v>4769</v>
      </c>
      <c r="C903" t="s">
        <v>815</v>
      </c>
      <c r="D903">
        <v>2025</v>
      </c>
      <c r="E903" t="s">
        <v>56</v>
      </c>
      <c r="F903" t="s">
        <v>67</v>
      </c>
      <c r="G903" t="s">
        <v>1130</v>
      </c>
      <c r="H903" t="s">
        <v>4770</v>
      </c>
      <c r="I903" t="s">
        <v>4771</v>
      </c>
      <c r="J903" t="s">
        <v>71</v>
      </c>
      <c r="K903" t="s">
        <v>18</v>
      </c>
      <c r="L903" t="s">
        <v>72</v>
      </c>
      <c r="M903" t="s">
        <v>72</v>
      </c>
      <c r="N903" s="5"/>
      <c r="O903" t="str">
        <f t="shared" si="14"/>
        <v/>
      </c>
    </row>
    <row r="904" spans="1:15" x14ac:dyDescent="0.25">
      <c r="A904" t="s">
        <v>4772</v>
      </c>
      <c r="B904" t="s">
        <v>4773</v>
      </c>
      <c r="C904" t="s">
        <v>555</v>
      </c>
      <c r="D904">
        <v>2025</v>
      </c>
      <c r="E904" t="s">
        <v>56</v>
      </c>
      <c r="F904" t="s">
        <v>67</v>
      </c>
      <c r="G904" t="s">
        <v>4774</v>
      </c>
      <c r="H904" t="s">
        <v>4775</v>
      </c>
      <c r="I904" t="s">
        <v>4776</v>
      </c>
      <c r="J904" t="s">
        <v>71</v>
      </c>
      <c r="K904" t="s">
        <v>18</v>
      </c>
      <c r="L904" t="s">
        <v>72</v>
      </c>
      <c r="M904" t="s">
        <v>72</v>
      </c>
      <c r="N904" s="5"/>
      <c r="O904" t="str">
        <f t="shared" si="14"/>
        <v/>
      </c>
    </row>
    <row r="905" spans="1:15" x14ac:dyDescent="0.25">
      <c r="A905" t="s">
        <v>4777</v>
      </c>
      <c r="B905" t="s">
        <v>4778</v>
      </c>
      <c r="C905" t="s">
        <v>4779</v>
      </c>
      <c r="D905">
        <v>2025</v>
      </c>
      <c r="E905" t="s">
        <v>56</v>
      </c>
      <c r="F905" t="s">
        <v>57</v>
      </c>
      <c r="G905" t="s">
        <v>4780</v>
      </c>
      <c r="H905" t="s">
        <v>4781</v>
      </c>
      <c r="I905" t="s">
        <v>4782</v>
      </c>
      <c r="J905" t="s">
        <v>61</v>
      </c>
      <c r="K905" t="s">
        <v>62</v>
      </c>
      <c r="L905" t="s">
        <v>63</v>
      </c>
      <c r="M905" t="s">
        <v>63</v>
      </c>
      <c r="N905" s="5"/>
      <c r="O905" t="str">
        <f t="shared" si="14"/>
        <v/>
      </c>
    </row>
    <row r="906" spans="1:15" x14ac:dyDescent="0.25">
      <c r="A906" t="s">
        <v>4783</v>
      </c>
      <c r="B906" t="s">
        <v>4784</v>
      </c>
      <c r="C906" t="s">
        <v>555</v>
      </c>
      <c r="D906">
        <v>2025</v>
      </c>
      <c r="E906" t="s">
        <v>56</v>
      </c>
      <c r="F906" t="s">
        <v>67</v>
      </c>
      <c r="G906" t="s">
        <v>4785</v>
      </c>
      <c r="H906" t="s">
        <v>4786</v>
      </c>
      <c r="I906" t="s">
        <v>4787</v>
      </c>
      <c r="J906" t="s">
        <v>71</v>
      </c>
      <c r="K906" t="s">
        <v>18</v>
      </c>
      <c r="L906" t="s">
        <v>72</v>
      </c>
      <c r="M906" t="s">
        <v>72</v>
      </c>
      <c r="N906" s="5"/>
      <c r="O906" t="str">
        <f t="shared" si="14"/>
        <v/>
      </c>
    </row>
    <row r="907" spans="1:15" x14ac:dyDescent="0.25">
      <c r="A907" t="s">
        <v>4788</v>
      </c>
      <c r="B907" t="s">
        <v>4789</v>
      </c>
      <c r="C907" t="s">
        <v>384</v>
      </c>
      <c r="D907">
        <v>2025</v>
      </c>
      <c r="E907" t="s">
        <v>56</v>
      </c>
      <c r="F907" t="s">
        <v>67</v>
      </c>
      <c r="G907" t="s">
        <v>188</v>
      </c>
      <c r="H907" t="s">
        <v>4790</v>
      </c>
      <c r="I907" t="s">
        <v>4791</v>
      </c>
      <c r="J907" t="s">
        <v>71</v>
      </c>
      <c r="K907" t="s">
        <v>18</v>
      </c>
      <c r="L907" t="s">
        <v>72</v>
      </c>
      <c r="M907" t="s">
        <v>72</v>
      </c>
      <c r="N907" s="5"/>
      <c r="O907" t="str">
        <f t="shared" si="14"/>
        <v/>
      </c>
    </row>
    <row r="908" spans="1:15" x14ac:dyDescent="0.25">
      <c r="A908" t="s">
        <v>4792</v>
      </c>
      <c r="B908" t="s">
        <v>4793</v>
      </c>
      <c r="C908" t="s">
        <v>1066</v>
      </c>
      <c r="D908">
        <v>2025</v>
      </c>
      <c r="E908" t="s">
        <v>56</v>
      </c>
      <c r="F908" t="s">
        <v>57</v>
      </c>
      <c r="G908" t="s">
        <v>4794</v>
      </c>
      <c r="H908" t="s">
        <v>4795</v>
      </c>
      <c r="I908" t="s">
        <v>4796</v>
      </c>
      <c r="J908" t="s">
        <v>79</v>
      </c>
      <c r="K908" t="s">
        <v>80</v>
      </c>
      <c r="L908" t="s">
        <v>72</v>
      </c>
      <c r="M908" t="s">
        <v>72</v>
      </c>
      <c r="N908" s="5"/>
      <c r="O908" t="str">
        <f t="shared" si="14"/>
        <v/>
      </c>
    </row>
    <row r="909" spans="1:15" x14ac:dyDescent="0.25">
      <c r="A909" t="s">
        <v>4797</v>
      </c>
      <c r="B909" t="s">
        <v>4798</v>
      </c>
      <c r="C909" t="s">
        <v>4799</v>
      </c>
      <c r="D909">
        <v>2025</v>
      </c>
      <c r="E909" t="s">
        <v>56</v>
      </c>
      <c r="F909" t="s">
        <v>67</v>
      </c>
      <c r="G909" t="s">
        <v>4007</v>
      </c>
      <c r="I909" t="s">
        <v>4800</v>
      </c>
      <c r="J909" t="s">
        <v>71</v>
      </c>
      <c r="K909" t="s">
        <v>18</v>
      </c>
      <c r="L909" t="s">
        <v>72</v>
      </c>
      <c r="M909" t="s">
        <v>72</v>
      </c>
      <c r="N909" s="5"/>
      <c r="O909" t="str">
        <f t="shared" si="14"/>
        <v/>
      </c>
    </row>
    <row r="910" spans="1:15" x14ac:dyDescent="0.25">
      <c r="A910" t="s">
        <v>4801</v>
      </c>
      <c r="B910" t="s">
        <v>4802</v>
      </c>
      <c r="C910" t="s">
        <v>4803</v>
      </c>
      <c r="D910">
        <v>2025</v>
      </c>
      <c r="E910" t="s">
        <v>56</v>
      </c>
      <c r="F910" t="s">
        <v>57</v>
      </c>
      <c r="G910" t="s">
        <v>1431</v>
      </c>
      <c r="H910" t="s">
        <v>4804</v>
      </c>
      <c r="I910" t="s">
        <v>4805</v>
      </c>
      <c r="J910" t="s">
        <v>79</v>
      </c>
      <c r="K910" t="s">
        <v>80</v>
      </c>
      <c r="L910" t="s">
        <v>72</v>
      </c>
      <c r="M910" t="s">
        <v>72</v>
      </c>
      <c r="N910" s="5"/>
      <c r="O910" t="str">
        <f t="shared" si="14"/>
        <v/>
      </c>
    </row>
    <row r="911" spans="1:15" x14ac:dyDescent="0.25">
      <c r="A911" t="s">
        <v>4806</v>
      </c>
      <c r="B911" t="s">
        <v>4807</v>
      </c>
      <c r="C911" t="s">
        <v>1845</v>
      </c>
      <c r="D911">
        <v>2025</v>
      </c>
      <c r="E911" t="s">
        <v>56</v>
      </c>
      <c r="F911" t="s">
        <v>67</v>
      </c>
      <c r="G911" t="s">
        <v>1130</v>
      </c>
      <c r="H911" t="s">
        <v>4808</v>
      </c>
      <c r="I911" t="s">
        <v>4809</v>
      </c>
      <c r="J911" t="s">
        <v>71</v>
      </c>
      <c r="K911" t="s">
        <v>18</v>
      </c>
      <c r="L911" t="s">
        <v>72</v>
      </c>
      <c r="M911" t="s">
        <v>72</v>
      </c>
      <c r="N911" s="5"/>
      <c r="O911" t="str">
        <f t="shared" si="14"/>
        <v/>
      </c>
    </row>
    <row r="912" spans="1:15" x14ac:dyDescent="0.25">
      <c r="A912" t="s">
        <v>4810</v>
      </c>
      <c r="B912" t="s">
        <v>4811</v>
      </c>
      <c r="C912" t="s">
        <v>4380</v>
      </c>
      <c r="D912">
        <v>2025</v>
      </c>
      <c r="E912" t="s">
        <v>56</v>
      </c>
      <c r="F912" t="s">
        <v>67</v>
      </c>
      <c r="G912" t="s">
        <v>1130</v>
      </c>
      <c r="H912" t="s">
        <v>4812</v>
      </c>
      <c r="I912" t="s">
        <v>4813</v>
      </c>
      <c r="J912" t="s">
        <v>71</v>
      </c>
      <c r="K912" t="s">
        <v>18</v>
      </c>
      <c r="L912" t="s">
        <v>72</v>
      </c>
      <c r="M912" t="s">
        <v>72</v>
      </c>
      <c r="N912" s="5"/>
      <c r="O912" t="str">
        <f t="shared" si="14"/>
        <v/>
      </c>
    </row>
    <row r="913" spans="1:15" x14ac:dyDescent="0.25">
      <c r="A913" t="s">
        <v>4814</v>
      </c>
      <c r="B913" t="s">
        <v>4815</v>
      </c>
      <c r="C913" t="s">
        <v>4816</v>
      </c>
      <c r="D913">
        <v>2025</v>
      </c>
      <c r="E913" t="s">
        <v>56</v>
      </c>
      <c r="F913" t="s">
        <v>67</v>
      </c>
      <c r="G913" t="s">
        <v>4817</v>
      </c>
      <c r="H913" t="s">
        <v>4818</v>
      </c>
      <c r="I913" t="s">
        <v>4819</v>
      </c>
      <c r="J913" t="s">
        <v>71</v>
      </c>
      <c r="K913" t="s">
        <v>18</v>
      </c>
      <c r="L913" t="s">
        <v>72</v>
      </c>
      <c r="M913" t="s">
        <v>72</v>
      </c>
      <c r="N913" s="5"/>
      <c r="O913" t="str">
        <f t="shared" si="14"/>
        <v/>
      </c>
    </row>
    <row r="914" spans="1:15" x14ac:dyDescent="0.25">
      <c r="A914" t="s">
        <v>4820</v>
      </c>
      <c r="B914" t="s">
        <v>4821</v>
      </c>
      <c r="C914" t="s">
        <v>205</v>
      </c>
      <c r="D914">
        <v>2025</v>
      </c>
      <c r="E914" t="s">
        <v>56</v>
      </c>
      <c r="F914" t="s">
        <v>57</v>
      </c>
      <c r="G914" t="s">
        <v>4822</v>
      </c>
      <c r="H914" t="s">
        <v>4823</v>
      </c>
      <c r="I914" t="s">
        <v>4824</v>
      </c>
      <c r="J914" t="s">
        <v>71</v>
      </c>
      <c r="K914" t="s">
        <v>18</v>
      </c>
      <c r="L914" t="s">
        <v>72</v>
      </c>
      <c r="M914" t="s">
        <v>72</v>
      </c>
      <c r="N914" s="5"/>
      <c r="O914" t="str">
        <f t="shared" si="14"/>
        <v/>
      </c>
    </row>
    <row r="915" spans="1:15" x14ac:dyDescent="0.25">
      <c r="A915" t="s">
        <v>4825</v>
      </c>
      <c r="B915" t="s">
        <v>4826</v>
      </c>
      <c r="C915" t="s">
        <v>3343</v>
      </c>
      <c r="D915">
        <v>2025</v>
      </c>
      <c r="E915" t="s">
        <v>56</v>
      </c>
      <c r="F915" t="s">
        <v>67</v>
      </c>
      <c r="G915" t="s">
        <v>4827</v>
      </c>
      <c r="H915" t="s">
        <v>4828</v>
      </c>
      <c r="I915" t="s">
        <v>4829</v>
      </c>
      <c r="J915" t="s">
        <v>71</v>
      </c>
      <c r="K915" t="s">
        <v>18</v>
      </c>
      <c r="L915" t="s">
        <v>72</v>
      </c>
      <c r="M915" t="s">
        <v>72</v>
      </c>
      <c r="N915" s="5"/>
      <c r="O915" t="str">
        <f t="shared" si="14"/>
        <v/>
      </c>
    </row>
    <row r="916" spans="1:15" x14ac:dyDescent="0.25">
      <c r="A916" t="s">
        <v>4830</v>
      </c>
      <c r="B916" t="s">
        <v>4831</v>
      </c>
      <c r="C916" t="s">
        <v>4832</v>
      </c>
      <c r="D916">
        <v>2025</v>
      </c>
      <c r="E916" t="s">
        <v>56</v>
      </c>
      <c r="F916" t="s">
        <v>67</v>
      </c>
      <c r="G916" t="s">
        <v>4833</v>
      </c>
      <c r="H916" t="s">
        <v>4834</v>
      </c>
      <c r="I916" t="s">
        <v>4835</v>
      </c>
      <c r="J916" t="s">
        <v>71</v>
      </c>
      <c r="K916" t="s">
        <v>18</v>
      </c>
      <c r="L916" t="s">
        <v>72</v>
      </c>
      <c r="M916" t="s">
        <v>72</v>
      </c>
      <c r="N916" s="5"/>
      <c r="O916" t="str">
        <f t="shared" si="14"/>
        <v/>
      </c>
    </row>
    <row r="917" spans="1:15" x14ac:dyDescent="0.25">
      <c r="A917" t="s">
        <v>4836</v>
      </c>
      <c r="B917" t="s">
        <v>4837</v>
      </c>
      <c r="C917" t="s">
        <v>684</v>
      </c>
      <c r="D917">
        <v>2025</v>
      </c>
      <c r="E917" t="s">
        <v>56</v>
      </c>
      <c r="F917" t="s">
        <v>67</v>
      </c>
      <c r="G917" t="s">
        <v>3552</v>
      </c>
      <c r="H917" t="s">
        <v>4838</v>
      </c>
      <c r="I917" t="s">
        <v>4839</v>
      </c>
      <c r="J917" t="s">
        <v>71</v>
      </c>
      <c r="K917" t="s">
        <v>18</v>
      </c>
      <c r="L917" t="s">
        <v>72</v>
      </c>
      <c r="M917" t="s">
        <v>72</v>
      </c>
      <c r="N917" s="5"/>
      <c r="O917" t="str">
        <f t="shared" si="14"/>
        <v/>
      </c>
    </row>
    <row r="918" spans="1:15" x14ac:dyDescent="0.25">
      <c r="A918" t="s">
        <v>4840</v>
      </c>
      <c r="B918" t="s">
        <v>4841</v>
      </c>
      <c r="C918" t="s">
        <v>428</v>
      </c>
      <c r="D918">
        <v>2025</v>
      </c>
      <c r="E918" t="s">
        <v>56</v>
      </c>
      <c r="F918" t="s">
        <v>67</v>
      </c>
      <c r="G918" t="s">
        <v>4842</v>
      </c>
      <c r="H918" t="s">
        <v>4843</v>
      </c>
      <c r="I918" t="s">
        <v>4844</v>
      </c>
      <c r="J918" t="s">
        <v>71</v>
      </c>
      <c r="K918" t="s">
        <v>18</v>
      </c>
      <c r="L918" t="s">
        <v>72</v>
      </c>
      <c r="M918" t="s">
        <v>72</v>
      </c>
      <c r="N918" s="5"/>
      <c r="O918" t="str">
        <f t="shared" si="14"/>
        <v/>
      </c>
    </row>
    <row r="919" spans="1:15" x14ac:dyDescent="0.25">
      <c r="A919" t="s">
        <v>4845</v>
      </c>
      <c r="B919" t="s">
        <v>4846</v>
      </c>
      <c r="C919" t="s">
        <v>325</v>
      </c>
      <c r="D919">
        <v>2025</v>
      </c>
      <c r="E919" t="s">
        <v>56</v>
      </c>
      <c r="F919" t="s">
        <v>67</v>
      </c>
      <c r="G919" t="s">
        <v>4847</v>
      </c>
      <c r="H919" t="s">
        <v>4848</v>
      </c>
      <c r="I919" t="s">
        <v>4849</v>
      </c>
      <c r="J919" t="s">
        <v>87</v>
      </c>
      <c r="K919" t="s">
        <v>19</v>
      </c>
      <c r="L919" t="s">
        <v>72</v>
      </c>
      <c r="M919" t="s">
        <v>72</v>
      </c>
      <c r="N919" s="5"/>
      <c r="O919" t="str">
        <f t="shared" si="14"/>
        <v/>
      </c>
    </row>
    <row r="920" spans="1:15" x14ac:dyDescent="0.25">
      <c r="A920" t="s">
        <v>4850</v>
      </c>
      <c r="B920" t="s">
        <v>4851</v>
      </c>
      <c r="C920" t="s">
        <v>1538</v>
      </c>
      <c r="D920">
        <v>2025</v>
      </c>
      <c r="E920" t="s">
        <v>56</v>
      </c>
      <c r="F920" t="s">
        <v>67</v>
      </c>
      <c r="G920" t="s">
        <v>679</v>
      </c>
      <c r="H920" t="s">
        <v>4852</v>
      </c>
      <c r="I920" t="s">
        <v>4853</v>
      </c>
      <c r="J920" t="s">
        <v>71</v>
      </c>
      <c r="K920" t="s">
        <v>18</v>
      </c>
      <c r="L920" t="s">
        <v>72</v>
      </c>
      <c r="M920" t="s">
        <v>72</v>
      </c>
      <c r="N920" s="5"/>
      <c r="O920" t="str">
        <f t="shared" si="14"/>
        <v/>
      </c>
    </row>
    <row r="921" spans="1:15" x14ac:dyDescent="0.25">
      <c r="A921" t="s">
        <v>4854</v>
      </c>
      <c r="B921" t="s">
        <v>4855</v>
      </c>
      <c r="C921" t="s">
        <v>4856</v>
      </c>
      <c r="D921">
        <v>2025</v>
      </c>
      <c r="E921" t="s">
        <v>56</v>
      </c>
      <c r="F921" t="s">
        <v>57</v>
      </c>
      <c r="G921" t="s">
        <v>766</v>
      </c>
      <c r="H921" t="s">
        <v>4857</v>
      </c>
      <c r="I921" t="s">
        <v>4858</v>
      </c>
      <c r="J921" t="s">
        <v>61</v>
      </c>
      <c r="K921" t="s">
        <v>62</v>
      </c>
      <c r="L921" t="s">
        <v>63</v>
      </c>
      <c r="M921" t="s">
        <v>63</v>
      </c>
      <c r="N921" s="5"/>
      <c r="O921" t="str">
        <f t="shared" si="14"/>
        <v/>
      </c>
    </row>
    <row r="922" spans="1:15" x14ac:dyDescent="0.25">
      <c r="A922" t="s">
        <v>4859</v>
      </c>
      <c r="B922" t="s">
        <v>4860</v>
      </c>
      <c r="C922" t="s">
        <v>4861</v>
      </c>
      <c r="D922">
        <v>2025</v>
      </c>
      <c r="E922" t="s">
        <v>56</v>
      </c>
      <c r="F922" t="s">
        <v>67</v>
      </c>
      <c r="G922" t="s">
        <v>4862</v>
      </c>
      <c r="H922" t="s">
        <v>4863</v>
      </c>
      <c r="I922" t="s">
        <v>4864</v>
      </c>
      <c r="J922" t="s">
        <v>71</v>
      </c>
      <c r="K922" t="s">
        <v>18</v>
      </c>
      <c r="L922" t="s">
        <v>72</v>
      </c>
      <c r="M922" t="s">
        <v>72</v>
      </c>
      <c r="N922" s="5"/>
      <c r="O922" t="str">
        <f t="shared" si="14"/>
        <v/>
      </c>
    </row>
    <row r="923" spans="1:15" x14ac:dyDescent="0.25">
      <c r="A923" t="s">
        <v>4865</v>
      </c>
      <c r="B923" t="s">
        <v>4866</v>
      </c>
      <c r="C923" t="s">
        <v>2983</v>
      </c>
      <c r="D923">
        <v>2025</v>
      </c>
      <c r="E923" t="s">
        <v>56</v>
      </c>
      <c r="F923" t="s">
        <v>67</v>
      </c>
      <c r="G923" t="s">
        <v>84</v>
      </c>
      <c r="H923" t="s">
        <v>4867</v>
      </c>
      <c r="I923" t="s">
        <v>4868</v>
      </c>
      <c r="J923" t="s">
        <v>79</v>
      </c>
      <c r="K923" t="s">
        <v>80</v>
      </c>
      <c r="L923" t="s">
        <v>72</v>
      </c>
      <c r="M923" t="s">
        <v>72</v>
      </c>
      <c r="N923" s="5"/>
      <c r="O923" t="str">
        <f t="shared" si="14"/>
        <v/>
      </c>
    </row>
    <row r="924" spans="1:15" x14ac:dyDescent="0.25">
      <c r="A924" t="s">
        <v>4869</v>
      </c>
      <c r="B924" t="s">
        <v>4870</v>
      </c>
      <c r="C924" t="s">
        <v>4871</v>
      </c>
      <c r="D924">
        <v>2025</v>
      </c>
      <c r="E924" t="s">
        <v>56</v>
      </c>
      <c r="F924" t="s">
        <v>57</v>
      </c>
      <c r="G924" t="s">
        <v>302</v>
      </c>
      <c r="H924" t="s">
        <v>4872</v>
      </c>
      <c r="I924" t="s">
        <v>4873</v>
      </c>
      <c r="J924" t="s">
        <v>87</v>
      </c>
      <c r="K924" t="s">
        <v>19</v>
      </c>
      <c r="L924" t="s">
        <v>72</v>
      </c>
      <c r="M924" t="s">
        <v>72</v>
      </c>
      <c r="N924" s="5"/>
      <c r="O924" t="str">
        <f t="shared" si="14"/>
        <v/>
      </c>
    </row>
    <row r="925" spans="1:15" x14ac:dyDescent="0.25">
      <c r="A925" t="s">
        <v>4874</v>
      </c>
      <c r="B925" t="s">
        <v>4875</v>
      </c>
      <c r="C925" t="s">
        <v>4876</v>
      </c>
      <c r="D925">
        <v>2025</v>
      </c>
      <c r="E925" t="s">
        <v>56</v>
      </c>
      <c r="F925" t="s">
        <v>67</v>
      </c>
      <c r="G925" t="s">
        <v>76</v>
      </c>
      <c r="H925" t="s">
        <v>4877</v>
      </c>
      <c r="I925" t="s">
        <v>4878</v>
      </c>
      <c r="J925" t="s">
        <v>98</v>
      </c>
      <c r="K925" t="s">
        <v>99</v>
      </c>
      <c r="L925" t="s">
        <v>63</v>
      </c>
      <c r="M925" t="s">
        <v>72</v>
      </c>
      <c r="N925" s="5"/>
      <c r="O925" t="str">
        <f t="shared" si="14"/>
        <v/>
      </c>
    </row>
    <row r="926" spans="1:15" x14ac:dyDescent="0.25">
      <c r="A926" t="s">
        <v>4879</v>
      </c>
      <c r="B926" t="s">
        <v>4880</v>
      </c>
      <c r="C926" t="s">
        <v>1129</v>
      </c>
      <c r="D926">
        <v>2025</v>
      </c>
      <c r="E926" t="s">
        <v>56</v>
      </c>
      <c r="F926" t="s">
        <v>57</v>
      </c>
      <c r="G926" t="s">
        <v>418</v>
      </c>
      <c r="H926" t="s">
        <v>4881</v>
      </c>
      <c r="I926" t="s">
        <v>4882</v>
      </c>
      <c r="J926" t="s">
        <v>79</v>
      </c>
      <c r="K926" t="s">
        <v>80</v>
      </c>
      <c r="L926" t="s">
        <v>72</v>
      </c>
      <c r="M926" t="s">
        <v>72</v>
      </c>
      <c r="N926" s="5"/>
      <c r="O926" t="str">
        <f t="shared" si="14"/>
        <v/>
      </c>
    </row>
    <row r="927" spans="1:15" x14ac:dyDescent="0.25">
      <c r="A927" t="s">
        <v>4883</v>
      </c>
      <c r="B927" t="s">
        <v>4884</v>
      </c>
      <c r="C927" t="s">
        <v>4885</v>
      </c>
      <c r="D927">
        <v>2025</v>
      </c>
      <c r="E927" t="s">
        <v>56</v>
      </c>
      <c r="F927" t="s">
        <v>57</v>
      </c>
      <c r="G927" t="s">
        <v>279</v>
      </c>
      <c r="H927" t="s">
        <v>4886</v>
      </c>
      <c r="I927" t="s">
        <v>4887</v>
      </c>
      <c r="J927" t="s">
        <v>61</v>
      </c>
      <c r="K927" t="s">
        <v>62</v>
      </c>
      <c r="L927" t="s">
        <v>63</v>
      </c>
      <c r="M927" t="s">
        <v>63</v>
      </c>
      <c r="N927" s="5"/>
      <c r="O927" t="str">
        <f t="shared" si="14"/>
        <v/>
      </c>
    </row>
    <row r="928" spans="1:15" x14ac:dyDescent="0.25">
      <c r="A928" t="s">
        <v>4888</v>
      </c>
      <c r="B928" t="s">
        <v>4889</v>
      </c>
      <c r="C928" t="s">
        <v>4890</v>
      </c>
      <c r="D928">
        <v>2025</v>
      </c>
      <c r="E928" t="s">
        <v>56</v>
      </c>
      <c r="F928" t="s">
        <v>57</v>
      </c>
      <c r="G928" t="s">
        <v>4891</v>
      </c>
      <c r="H928" t="s">
        <v>4892</v>
      </c>
      <c r="I928" t="s">
        <v>4893</v>
      </c>
      <c r="J928" t="s">
        <v>79</v>
      </c>
      <c r="K928" t="s">
        <v>80</v>
      </c>
      <c r="L928" t="s">
        <v>72</v>
      </c>
      <c r="M928" t="s">
        <v>72</v>
      </c>
      <c r="N928" s="5"/>
      <c r="O928" t="str">
        <f t="shared" si="14"/>
        <v/>
      </c>
    </row>
    <row r="929" spans="1:15" x14ac:dyDescent="0.25">
      <c r="A929" t="s">
        <v>4894</v>
      </c>
      <c r="B929" t="s">
        <v>4895</v>
      </c>
      <c r="C929" t="s">
        <v>1293</v>
      </c>
      <c r="D929">
        <v>2025</v>
      </c>
      <c r="E929" t="s">
        <v>56</v>
      </c>
      <c r="F929" t="s">
        <v>67</v>
      </c>
      <c r="G929" t="s">
        <v>4896</v>
      </c>
      <c r="H929" t="s">
        <v>4897</v>
      </c>
      <c r="I929" t="s">
        <v>4898</v>
      </c>
      <c r="J929" t="s">
        <v>71</v>
      </c>
      <c r="K929" t="s">
        <v>18</v>
      </c>
      <c r="L929" t="s">
        <v>72</v>
      </c>
      <c r="M929" t="s">
        <v>72</v>
      </c>
      <c r="N929" s="5"/>
      <c r="O929" t="str">
        <f t="shared" si="14"/>
        <v/>
      </c>
    </row>
    <row r="930" spans="1:15" x14ac:dyDescent="0.25">
      <c r="A930" t="s">
        <v>4899</v>
      </c>
      <c r="B930" t="s">
        <v>4900</v>
      </c>
      <c r="C930" t="s">
        <v>4901</v>
      </c>
      <c r="D930">
        <v>2025</v>
      </c>
      <c r="E930" t="s">
        <v>56</v>
      </c>
      <c r="F930" t="s">
        <v>57</v>
      </c>
      <c r="G930" t="s">
        <v>4902</v>
      </c>
      <c r="H930" t="s">
        <v>4903</v>
      </c>
      <c r="I930" t="s">
        <v>4904</v>
      </c>
      <c r="J930" t="s">
        <v>87</v>
      </c>
      <c r="K930" t="s">
        <v>19</v>
      </c>
      <c r="L930" t="s">
        <v>72</v>
      </c>
      <c r="M930" t="s">
        <v>72</v>
      </c>
      <c r="N930" s="5"/>
      <c r="O930" t="str">
        <f t="shared" si="14"/>
        <v/>
      </c>
    </row>
    <row r="931" spans="1:15" x14ac:dyDescent="0.25">
      <c r="A931" t="s">
        <v>4905</v>
      </c>
      <c r="B931" t="s">
        <v>4906</v>
      </c>
      <c r="C931" t="s">
        <v>571</v>
      </c>
      <c r="D931">
        <v>2025</v>
      </c>
      <c r="E931" t="s">
        <v>56</v>
      </c>
      <c r="F931" t="s">
        <v>67</v>
      </c>
      <c r="G931" t="s">
        <v>4007</v>
      </c>
      <c r="I931" t="s">
        <v>4907</v>
      </c>
      <c r="J931" t="s">
        <v>71</v>
      </c>
      <c r="K931" t="s">
        <v>18</v>
      </c>
      <c r="L931" t="s">
        <v>72</v>
      </c>
      <c r="M931" t="s">
        <v>72</v>
      </c>
      <c r="N931" s="5"/>
      <c r="O931" t="str">
        <f t="shared" si="14"/>
        <v/>
      </c>
    </row>
    <row r="932" spans="1:15" x14ac:dyDescent="0.25">
      <c r="A932" t="s">
        <v>4908</v>
      </c>
      <c r="B932" t="s">
        <v>4909</v>
      </c>
      <c r="C932" t="s">
        <v>4910</v>
      </c>
      <c r="D932">
        <v>2025</v>
      </c>
      <c r="E932" t="s">
        <v>56</v>
      </c>
      <c r="F932" t="s">
        <v>67</v>
      </c>
      <c r="G932" t="s">
        <v>4911</v>
      </c>
      <c r="H932" t="s">
        <v>4912</v>
      </c>
      <c r="I932" t="s">
        <v>4913</v>
      </c>
      <c r="J932" t="s">
        <v>71</v>
      </c>
      <c r="K932" t="s">
        <v>18</v>
      </c>
      <c r="L932" t="s">
        <v>72</v>
      </c>
      <c r="M932" t="s">
        <v>72</v>
      </c>
      <c r="N932" s="5"/>
      <c r="O932" t="str">
        <f t="shared" si="14"/>
        <v/>
      </c>
    </row>
    <row r="933" spans="1:15" x14ac:dyDescent="0.25">
      <c r="A933" t="s">
        <v>4914</v>
      </c>
      <c r="B933" t="s">
        <v>4915</v>
      </c>
      <c r="C933" t="s">
        <v>4916</v>
      </c>
      <c r="D933">
        <v>2025</v>
      </c>
      <c r="E933" t="s">
        <v>56</v>
      </c>
      <c r="F933" t="s">
        <v>57</v>
      </c>
      <c r="G933" t="s">
        <v>4917</v>
      </c>
      <c r="H933" t="s">
        <v>4918</v>
      </c>
      <c r="I933" t="s">
        <v>4919</v>
      </c>
      <c r="J933" t="s">
        <v>79</v>
      </c>
      <c r="K933" t="s">
        <v>80</v>
      </c>
      <c r="L933" t="s">
        <v>72</v>
      </c>
      <c r="M933" t="s">
        <v>72</v>
      </c>
      <c r="N933" s="5"/>
      <c r="O933" t="str">
        <f t="shared" si="14"/>
        <v/>
      </c>
    </row>
    <row r="934" spans="1:15" x14ac:dyDescent="0.25">
      <c r="A934" t="s">
        <v>4920</v>
      </c>
      <c r="B934" t="s">
        <v>4921</v>
      </c>
      <c r="C934" t="s">
        <v>4922</v>
      </c>
      <c r="D934">
        <v>2025</v>
      </c>
      <c r="E934" t="s">
        <v>56</v>
      </c>
      <c r="F934" t="s">
        <v>67</v>
      </c>
      <c r="G934" t="s">
        <v>151</v>
      </c>
      <c r="H934" t="s">
        <v>4923</v>
      </c>
      <c r="I934" t="s">
        <v>4924</v>
      </c>
      <c r="J934" t="s">
        <v>71</v>
      </c>
      <c r="K934" t="s">
        <v>18</v>
      </c>
      <c r="L934" t="s">
        <v>72</v>
      </c>
      <c r="M934" t="s">
        <v>72</v>
      </c>
      <c r="N934" s="5"/>
      <c r="O934" t="str">
        <f t="shared" si="14"/>
        <v/>
      </c>
    </row>
    <row r="935" spans="1:15" x14ac:dyDescent="0.25">
      <c r="A935" t="s">
        <v>4925</v>
      </c>
      <c r="B935" t="s">
        <v>4926</v>
      </c>
      <c r="C935" t="s">
        <v>4927</v>
      </c>
      <c r="D935">
        <v>2025</v>
      </c>
      <c r="E935" t="s">
        <v>56</v>
      </c>
      <c r="F935" t="s">
        <v>67</v>
      </c>
      <c r="G935" t="s">
        <v>4928</v>
      </c>
      <c r="H935" t="s">
        <v>4929</v>
      </c>
      <c r="I935" t="s">
        <v>4930</v>
      </c>
      <c r="J935" t="s">
        <v>87</v>
      </c>
      <c r="K935" t="s">
        <v>19</v>
      </c>
      <c r="L935" t="s">
        <v>72</v>
      </c>
      <c r="M935" t="s">
        <v>72</v>
      </c>
      <c r="N935" s="5"/>
      <c r="O935" t="str">
        <f t="shared" si="14"/>
        <v/>
      </c>
    </row>
    <row r="936" spans="1:15" x14ac:dyDescent="0.25">
      <c r="A936" t="s">
        <v>4931</v>
      </c>
      <c r="B936" t="s">
        <v>4932</v>
      </c>
      <c r="C936" t="s">
        <v>4933</v>
      </c>
      <c r="D936">
        <v>2025</v>
      </c>
      <c r="E936" t="s">
        <v>56</v>
      </c>
      <c r="F936" t="s">
        <v>67</v>
      </c>
      <c r="G936" t="s">
        <v>4934</v>
      </c>
      <c r="H936" t="s">
        <v>4935</v>
      </c>
      <c r="I936" t="s">
        <v>4936</v>
      </c>
      <c r="J936" t="s">
        <v>87</v>
      </c>
      <c r="K936" t="s">
        <v>19</v>
      </c>
      <c r="L936" t="s">
        <v>72</v>
      </c>
      <c r="M936" t="s">
        <v>72</v>
      </c>
      <c r="N936" s="5"/>
      <c r="O936" t="str">
        <f t="shared" si="14"/>
        <v/>
      </c>
    </row>
    <row r="937" spans="1:15" x14ac:dyDescent="0.25">
      <c r="A937" t="s">
        <v>4937</v>
      </c>
      <c r="B937" t="s">
        <v>4938</v>
      </c>
      <c r="C937" t="s">
        <v>1172</v>
      </c>
      <c r="D937">
        <v>2025</v>
      </c>
      <c r="E937" t="s">
        <v>56</v>
      </c>
      <c r="F937" t="s">
        <v>67</v>
      </c>
      <c r="G937" t="s">
        <v>2984</v>
      </c>
      <c r="H937" t="s">
        <v>4939</v>
      </c>
      <c r="I937" t="s">
        <v>4940</v>
      </c>
      <c r="J937" t="s">
        <v>98</v>
      </c>
      <c r="K937" t="s">
        <v>99</v>
      </c>
      <c r="L937" t="s">
        <v>63</v>
      </c>
      <c r="M937" t="s">
        <v>72</v>
      </c>
      <c r="N937" s="5"/>
      <c r="O937" t="str">
        <f t="shared" si="14"/>
        <v/>
      </c>
    </row>
    <row r="938" spans="1:15" x14ac:dyDescent="0.25">
      <c r="A938" t="s">
        <v>4941</v>
      </c>
      <c r="B938" t="s">
        <v>4942</v>
      </c>
      <c r="C938" t="s">
        <v>428</v>
      </c>
      <c r="D938">
        <v>2025</v>
      </c>
      <c r="E938" t="s">
        <v>56</v>
      </c>
      <c r="F938" t="s">
        <v>67</v>
      </c>
      <c r="G938" t="s">
        <v>556</v>
      </c>
      <c r="H938" t="s">
        <v>4943</v>
      </c>
      <c r="I938" t="s">
        <v>4944</v>
      </c>
      <c r="J938" t="s">
        <v>71</v>
      </c>
      <c r="K938" t="s">
        <v>18</v>
      </c>
      <c r="L938" t="s">
        <v>72</v>
      </c>
      <c r="M938" t="s">
        <v>72</v>
      </c>
      <c r="N938" s="5"/>
      <c r="O938" t="str">
        <f t="shared" si="14"/>
        <v/>
      </c>
    </row>
    <row r="939" spans="1:15" x14ac:dyDescent="0.25">
      <c r="A939" t="s">
        <v>4945</v>
      </c>
      <c r="B939" t="s">
        <v>4946</v>
      </c>
      <c r="C939" t="s">
        <v>4947</v>
      </c>
      <c r="D939">
        <v>2025</v>
      </c>
      <c r="E939" t="s">
        <v>56</v>
      </c>
      <c r="F939" t="s">
        <v>67</v>
      </c>
      <c r="G939" t="s">
        <v>4948</v>
      </c>
      <c r="H939" t="s">
        <v>4949</v>
      </c>
      <c r="I939" t="s">
        <v>4950</v>
      </c>
      <c r="J939" t="s">
        <v>71</v>
      </c>
      <c r="K939" t="s">
        <v>18</v>
      </c>
      <c r="L939" t="s">
        <v>72</v>
      </c>
      <c r="M939" t="s">
        <v>72</v>
      </c>
      <c r="N939" s="5"/>
      <c r="O939" t="str">
        <f t="shared" si="14"/>
        <v/>
      </c>
    </row>
    <row r="940" spans="1:15" x14ac:dyDescent="0.25">
      <c r="A940" t="s">
        <v>4951</v>
      </c>
      <c r="B940" t="s">
        <v>4952</v>
      </c>
      <c r="C940" t="s">
        <v>4953</v>
      </c>
      <c r="D940">
        <v>2025</v>
      </c>
      <c r="E940" t="s">
        <v>56</v>
      </c>
      <c r="F940" t="s">
        <v>57</v>
      </c>
      <c r="G940" t="s">
        <v>4954</v>
      </c>
      <c r="H940" t="s">
        <v>4955</v>
      </c>
      <c r="I940" t="s">
        <v>4956</v>
      </c>
      <c r="J940" t="s">
        <v>87</v>
      </c>
      <c r="K940" t="s">
        <v>19</v>
      </c>
      <c r="L940" t="s">
        <v>72</v>
      </c>
      <c r="M940" t="s">
        <v>72</v>
      </c>
      <c r="N940" s="5"/>
      <c r="O940" t="str">
        <f t="shared" si="14"/>
        <v/>
      </c>
    </row>
    <row r="941" spans="1:15" x14ac:dyDescent="0.25">
      <c r="A941" t="s">
        <v>4957</v>
      </c>
      <c r="B941" t="s">
        <v>4958</v>
      </c>
      <c r="C941" t="s">
        <v>571</v>
      </c>
      <c r="D941">
        <v>2025</v>
      </c>
      <c r="E941" t="s">
        <v>56</v>
      </c>
      <c r="F941" t="s">
        <v>67</v>
      </c>
      <c r="G941" t="s">
        <v>556</v>
      </c>
      <c r="H941" t="s">
        <v>4959</v>
      </c>
      <c r="I941" t="s">
        <v>4960</v>
      </c>
      <c r="J941" t="s">
        <v>71</v>
      </c>
      <c r="K941" t="s">
        <v>18</v>
      </c>
      <c r="L941" t="s">
        <v>72</v>
      </c>
      <c r="M941" t="s">
        <v>72</v>
      </c>
      <c r="N941" s="5"/>
      <c r="O941" t="str">
        <f t="shared" si="14"/>
        <v/>
      </c>
    </row>
    <row r="942" spans="1:15" x14ac:dyDescent="0.25">
      <c r="A942" t="s">
        <v>4961</v>
      </c>
      <c r="B942" t="s">
        <v>4962</v>
      </c>
      <c r="C942" t="s">
        <v>4963</v>
      </c>
      <c r="D942">
        <v>2025</v>
      </c>
      <c r="E942" t="s">
        <v>56</v>
      </c>
      <c r="F942" t="s">
        <v>67</v>
      </c>
      <c r="G942" t="s">
        <v>151</v>
      </c>
      <c r="H942" t="s">
        <v>4964</v>
      </c>
      <c r="I942" t="s">
        <v>4965</v>
      </c>
      <c r="J942" t="s">
        <v>87</v>
      </c>
      <c r="K942" t="s">
        <v>19</v>
      </c>
      <c r="L942" t="s">
        <v>72</v>
      </c>
      <c r="M942" t="s">
        <v>72</v>
      </c>
      <c r="N942" s="5"/>
      <c r="O942" t="str">
        <f t="shared" si="14"/>
        <v/>
      </c>
    </row>
    <row r="943" spans="1:15" x14ac:dyDescent="0.25">
      <c r="A943" t="s">
        <v>4966</v>
      </c>
      <c r="B943" t="s">
        <v>4967</v>
      </c>
      <c r="C943" t="s">
        <v>4968</v>
      </c>
      <c r="D943">
        <v>2025</v>
      </c>
      <c r="E943" t="s">
        <v>56</v>
      </c>
      <c r="F943" t="s">
        <v>67</v>
      </c>
      <c r="G943" t="s">
        <v>4021</v>
      </c>
      <c r="H943" t="s">
        <v>4969</v>
      </c>
      <c r="I943" t="s">
        <v>4970</v>
      </c>
      <c r="J943" t="s">
        <v>87</v>
      </c>
      <c r="K943" t="s">
        <v>19</v>
      </c>
      <c r="L943" t="s">
        <v>72</v>
      </c>
      <c r="M943" t="s">
        <v>72</v>
      </c>
      <c r="N943" s="5"/>
      <c r="O943" t="str">
        <f t="shared" si="14"/>
        <v/>
      </c>
    </row>
    <row r="944" spans="1:15" x14ac:dyDescent="0.25">
      <c r="A944" t="s">
        <v>4971</v>
      </c>
      <c r="B944" t="s">
        <v>4972</v>
      </c>
      <c r="C944" t="s">
        <v>428</v>
      </c>
      <c r="D944">
        <v>2025</v>
      </c>
      <c r="E944" t="s">
        <v>56</v>
      </c>
      <c r="F944" t="s">
        <v>67</v>
      </c>
      <c r="G944" t="s">
        <v>3288</v>
      </c>
      <c r="H944" t="s">
        <v>4973</v>
      </c>
      <c r="I944" t="s">
        <v>4974</v>
      </c>
      <c r="J944" t="s">
        <v>71</v>
      </c>
      <c r="K944" t="s">
        <v>18</v>
      </c>
      <c r="L944" t="s">
        <v>72</v>
      </c>
      <c r="M944" t="s">
        <v>72</v>
      </c>
      <c r="N944" s="5"/>
      <c r="O944" t="str">
        <f t="shared" si="14"/>
        <v/>
      </c>
    </row>
    <row r="945" spans="1:15" x14ac:dyDescent="0.25">
      <c r="A945" t="s">
        <v>4975</v>
      </c>
      <c r="B945" t="s">
        <v>4976</v>
      </c>
      <c r="C945" t="s">
        <v>4977</v>
      </c>
      <c r="D945">
        <v>2025</v>
      </c>
      <c r="E945" t="s">
        <v>56</v>
      </c>
      <c r="F945" t="s">
        <v>67</v>
      </c>
      <c r="G945" t="s">
        <v>4978</v>
      </c>
      <c r="H945" t="s">
        <v>4979</v>
      </c>
      <c r="I945" t="s">
        <v>4980</v>
      </c>
      <c r="J945" t="s">
        <v>71</v>
      </c>
      <c r="K945" t="s">
        <v>18</v>
      </c>
      <c r="L945" t="s">
        <v>72</v>
      </c>
      <c r="M945" t="s">
        <v>72</v>
      </c>
      <c r="N945" s="5"/>
      <c r="O945" t="str">
        <f t="shared" si="14"/>
        <v/>
      </c>
    </row>
    <row r="946" spans="1:15" x14ac:dyDescent="0.25">
      <c r="A946" t="s">
        <v>4981</v>
      </c>
      <c r="B946" t="s">
        <v>4982</v>
      </c>
      <c r="C946" t="s">
        <v>1749</v>
      </c>
      <c r="D946">
        <v>2025</v>
      </c>
      <c r="E946" t="s">
        <v>56</v>
      </c>
      <c r="F946" t="s">
        <v>67</v>
      </c>
      <c r="G946" t="s">
        <v>84</v>
      </c>
      <c r="H946" t="s">
        <v>4983</v>
      </c>
      <c r="I946" t="s">
        <v>4984</v>
      </c>
      <c r="J946" t="s">
        <v>61</v>
      </c>
      <c r="K946" t="s">
        <v>62</v>
      </c>
      <c r="L946" t="s">
        <v>63</v>
      </c>
      <c r="M946" t="s">
        <v>63</v>
      </c>
      <c r="N946" s="5"/>
      <c r="O946" t="str">
        <f t="shared" si="14"/>
        <v/>
      </c>
    </row>
    <row r="947" spans="1:15" x14ac:dyDescent="0.25">
      <c r="A947" t="s">
        <v>4985</v>
      </c>
      <c r="B947" t="s">
        <v>4986</v>
      </c>
      <c r="C947" t="s">
        <v>117</v>
      </c>
      <c r="D947">
        <v>2025</v>
      </c>
      <c r="E947" t="s">
        <v>56</v>
      </c>
      <c r="F947" t="s">
        <v>57</v>
      </c>
      <c r="G947" t="s">
        <v>291</v>
      </c>
      <c r="H947" t="s">
        <v>4987</v>
      </c>
      <c r="I947" t="s">
        <v>4988</v>
      </c>
      <c r="J947" t="s">
        <v>71</v>
      </c>
      <c r="K947" t="s">
        <v>18</v>
      </c>
      <c r="L947" t="s">
        <v>72</v>
      </c>
      <c r="M947" t="s">
        <v>72</v>
      </c>
      <c r="N947" s="5"/>
      <c r="O947" t="str">
        <f t="shared" si="14"/>
        <v/>
      </c>
    </row>
    <row r="948" spans="1:15" x14ac:dyDescent="0.25">
      <c r="A948" t="s">
        <v>4989</v>
      </c>
      <c r="B948" t="s">
        <v>4990</v>
      </c>
      <c r="C948" t="s">
        <v>428</v>
      </c>
      <c r="D948">
        <v>2025</v>
      </c>
      <c r="E948" t="s">
        <v>56</v>
      </c>
      <c r="F948" t="s">
        <v>57</v>
      </c>
      <c r="G948" t="s">
        <v>4991</v>
      </c>
      <c r="H948" t="s">
        <v>4992</v>
      </c>
      <c r="I948" t="s">
        <v>4993</v>
      </c>
      <c r="J948" t="s">
        <v>87</v>
      </c>
      <c r="K948" t="s">
        <v>19</v>
      </c>
      <c r="L948" t="s">
        <v>72</v>
      </c>
      <c r="M948" t="s">
        <v>72</v>
      </c>
      <c r="N948" s="5"/>
      <c r="O948" t="str">
        <f t="shared" si="14"/>
        <v/>
      </c>
    </row>
    <row r="949" spans="1:15" x14ac:dyDescent="0.25">
      <c r="A949" t="s">
        <v>4994</v>
      </c>
      <c r="B949" t="s">
        <v>4995</v>
      </c>
      <c r="C949" t="s">
        <v>4996</v>
      </c>
      <c r="D949">
        <v>2025</v>
      </c>
      <c r="E949" t="s">
        <v>56</v>
      </c>
      <c r="F949" t="s">
        <v>57</v>
      </c>
      <c r="G949" t="s">
        <v>418</v>
      </c>
      <c r="H949" t="s">
        <v>4997</v>
      </c>
      <c r="I949" t="s">
        <v>4998</v>
      </c>
      <c r="J949" t="s">
        <v>79</v>
      </c>
      <c r="K949" t="s">
        <v>80</v>
      </c>
      <c r="L949" t="s">
        <v>72</v>
      </c>
      <c r="M949" t="s">
        <v>72</v>
      </c>
      <c r="N949" s="5"/>
      <c r="O949" t="str">
        <f t="shared" si="14"/>
        <v/>
      </c>
    </row>
    <row r="950" spans="1:15" x14ac:dyDescent="0.25">
      <c r="A950" t="s">
        <v>4999</v>
      </c>
      <c r="B950" t="s">
        <v>5000</v>
      </c>
      <c r="C950" t="s">
        <v>5001</v>
      </c>
      <c r="D950">
        <v>2025</v>
      </c>
      <c r="E950" t="s">
        <v>56</v>
      </c>
      <c r="F950" t="s">
        <v>57</v>
      </c>
      <c r="G950" t="s">
        <v>750</v>
      </c>
      <c r="H950" t="s">
        <v>5002</v>
      </c>
      <c r="I950" t="s">
        <v>5003</v>
      </c>
      <c r="J950" t="s">
        <v>165</v>
      </c>
      <c r="K950" t="s">
        <v>166</v>
      </c>
      <c r="L950" t="s">
        <v>63</v>
      </c>
      <c r="M950" t="s">
        <v>72</v>
      </c>
      <c r="N950" s="5"/>
      <c r="O950" t="str">
        <f t="shared" si="14"/>
        <v/>
      </c>
    </row>
    <row r="951" spans="1:15" x14ac:dyDescent="0.25">
      <c r="A951" t="s">
        <v>5004</v>
      </c>
      <c r="B951" t="s">
        <v>5005</v>
      </c>
      <c r="C951" t="s">
        <v>95</v>
      </c>
      <c r="D951">
        <v>2025</v>
      </c>
      <c r="E951" t="s">
        <v>56</v>
      </c>
      <c r="F951" t="s">
        <v>57</v>
      </c>
      <c r="G951" t="s">
        <v>788</v>
      </c>
      <c r="H951" t="s">
        <v>5006</v>
      </c>
      <c r="I951" t="s">
        <v>5007</v>
      </c>
      <c r="J951" t="s">
        <v>79</v>
      </c>
      <c r="K951" t="s">
        <v>80</v>
      </c>
      <c r="L951" t="s">
        <v>72</v>
      </c>
      <c r="M951" t="s">
        <v>72</v>
      </c>
      <c r="N951" s="5"/>
      <c r="O951" t="str">
        <f t="shared" si="14"/>
        <v/>
      </c>
    </row>
    <row r="952" spans="1:15" x14ac:dyDescent="0.25">
      <c r="A952" t="s">
        <v>5008</v>
      </c>
      <c r="B952" t="s">
        <v>5009</v>
      </c>
      <c r="C952" t="s">
        <v>5010</v>
      </c>
      <c r="D952">
        <v>2025</v>
      </c>
      <c r="E952" t="s">
        <v>56</v>
      </c>
      <c r="F952" t="s">
        <v>57</v>
      </c>
      <c r="G952" t="s">
        <v>279</v>
      </c>
      <c r="H952" t="s">
        <v>5011</v>
      </c>
      <c r="I952" t="s">
        <v>5012</v>
      </c>
      <c r="J952" t="s">
        <v>98</v>
      </c>
      <c r="K952" t="s">
        <v>99</v>
      </c>
      <c r="L952" t="s">
        <v>63</v>
      </c>
      <c r="M952" t="s">
        <v>72</v>
      </c>
      <c r="N952" s="5"/>
      <c r="O952" t="str">
        <f t="shared" si="14"/>
        <v/>
      </c>
    </row>
    <row r="953" spans="1:15" x14ac:dyDescent="0.25">
      <c r="A953" t="s">
        <v>5013</v>
      </c>
      <c r="B953" t="s">
        <v>5014</v>
      </c>
      <c r="C953" t="s">
        <v>384</v>
      </c>
      <c r="D953">
        <v>2025</v>
      </c>
      <c r="E953" t="s">
        <v>56</v>
      </c>
      <c r="F953" t="s">
        <v>57</v>
      </c>
      <c r="G953" t="s">
        <v>418</v>
      </c>
      <c r="H953" t="s">
        <v>5015</v>
      </c>
      <c r="I953" t="s">
        <v>5016</v>
      </c>
      <c r="J953" t="s">
        <v>98</v>
      </c>
      <c r="K953" t="s">
        <v>99</v>
      </c>
      <c r="L953" t="s">
        <v>63</v>
      </c>
      <c r="M953" t="s">
        <v>72</v>
      </c>
      <c r="N953" s="5"/>
      <c r="O953" t="str">
        <f t="shared" si="14"/>
        <v/>
      </c>
    </row>
    <row r="954" spans="1:15" x14ac:dyDescent="0.25">
      <c r="A954" t="s">
        <v>5017</v>
      </c>
      <c r="B954" t="s">
        <v>5018</v>
      </c>
      <c r="C954" t="s">
        <v>5019</v>
      </c>
      <c r="D954">
        <v>2025</v>
      </c>
      <c r="E954" t="s">
        <v>56</v>
      </c>
      <c r="F954" t="s">
        <v>57</v>
      </c>
      <c r="G954" t="s">
        <v>5020</v>
      </c>
      <c r="I954" t="s">
        <v>5021</v>
      </c>
      <c r="J954" t="s">
        <v>71</v>
      </c>
      <c r="K954" t="s">
        <v>18</v>
      </c>
      <c r="L954" t="s">
        <v>72</v>
      </c>
      <c r="M954" t="s">
        <v>72</v>
      </c>
      <c r="N954" s="5"/>
      <c r="O954" t="str">
        <f t="shared" si="14"/>
        <v/>
      </c>
    </row>
    <row r="955" spans="1:15" x14ac:dyDescent="0.25">
      <c r="A955" t="s">
        <v>5022</v>
      </c>
      <c r="B955" t="s">
        <v>5023</v>
      </c>
      <c r="C955" t="s">
        <v>117</v>
      </c>
      <c r="D955">
        <v>2025</v>
      </c>
      <c r="E955" t="s">
        <v>56</v>
      </c>
      <c r="F955" t="s">
        <v>57</v>
      </c>
      <c r="G955" t="s">
        <v>5024</v>
      </c>
      <c r="H955" t="s">
        <v>5025</v>
      </c>
      <c r="I955" t="s">
        <v>5026</v>
      </c>
      <c r="J955" t="s">
        <v>87</v>
      </c>
      <c r="K955" t="s">
        <v>19</v>
      </c>
      <c r="L955" t="s">
        <v>72</v>
      </c>
      <c r="M955" t="s">
        <v>72</v>
      </c>
      <c r="N955" s="5"/>
      <c r="O955" t="str">
        <f t="shared" si="14"/>
        <v/>
      </c>
    </row>
    <row r="956" spans="1:15" x14ac:dyDescent="0.25">
      <c r="A956" t="s">
        <v>5027</v>
      </c>
      <c r="B956" t="s">
        <v>5028</v>
      </c>
      <c r="C956" t="s">
        <v>738</v>
      </c>
      <c r="D956">
        <v>2025</v>
      </c>
      <c r="E956" t="s">
        <v>56</v>
      </c>
      <c r="F956" t="s">
        <v>57</v>
      </c>
      <c r="G956" t="s">
        <v>766</v>
      </c>
      <c r="H956" t="s">
        <v>5029</v>
      </c>
      <c r="I956" t="s">
        <v>5030</v>
      </c>
      <c r="J956" t="s">
        <v>61</v>
      </c>
      <c r="K956" t="s">
        <v>62</v>
      </c>
      <c r="L956" t="s">
        <v>63</v>
      </c>
      <c r="M956" t="s">
        <v>63</v>
      </c>
      <c r="N956" s="5"/>
      <c r="O956" t="str">
        <f t="shared" si="14"/>
        <v/>
      </c>
    </row>
    <row r="957" spans="1:15" x14ac:dyDescent="0.25">
      <c r="A957" t="s">
        <v>5031</v>
      </c>
      <c r="B957" t="s">
        <v>5032</v>
      </c>
      <c r="C957" t="s">
        <v>5033</v>
      </c>
      <c r="D957">
        <v>2025</v>
      </c>
      <c r="E957" t="s">
        <v>56</v>
      </c>
      <c r="F957" t="s">
        <v>57</v>
      </c>
      <c r="G957" t="s">
        <v>418</v>
      </c>
      <c r="H957" t="s">
        <v>5034</v>
      </c>
      <c r="I957" t="s">
        <v>5035</v>
      </c>
      <c r="J957" t="s">
        <v>79</v>
      </c>
      <c r="K957" t="s">
        <v>80</v>
      </c>
      <c r="L957" t="s">
        <v>72</v>
      </c>
      <c r="M957" t="s">
        <v>72</v>
      </c>
      <c r="N957" s="5"/>
      <c r="O957" t="str">
        <f t="shared" si="14"/>
        <v/>
      </c>
    </row>
    <row r="958" spans="1:15" x14ac:dyDescent="0.25">
      <c r="A958" t="s">
        <v>5036</v>
      </c>
      <c r="B958" t="s">
        <v>5037</v>
      </c>
      <c r="C958" t="s">
        <v>5038</v>
      </c>
      <c r="D958">
        <v>2025</v>
      </c>
      <c r="E958" t="s">
        <v>56</v>
      </c>
      <c r="F958" t="s">
        <v>57</v>
      </c>
      <c r="G958" t="s">
        <v>5039</v>
      </c>
      <c r="H958" t="s">
        <v>5040</v>
      </c>
      <c r="I958" t="s">
        <v>5041</v>
      </c>
      <c r="J958" t="s">
        <v>61</v>
      </c>
      <c r="K958" t="s">
        <v>62</v>
      </c>
      <c r="L958" t="s">
        <v>63</v>
      </c>
      <c r="M958" t="s">
        <v>63</v>
      </c>
      <c r="N958" s="5"/>
      <c r="O958" t="str">
        <f t="shared" si="14"/>
        <v/>
      </c>
    </row>
    <row r="959" spans="1:15" x14ac:dyDescent="0.25">
      <c r="A959" t="s">
        <v>5042</v>
      </c>
      <c r="B959" t="s">
        <v>5043</v>
      </c>
      <c r="C959" t="s">
        <v>5044</v>
      </c>
      <c r="D959">
        <v>2025</v>
      </c>
      <c r="E959" t="s">
        <v>56</v>
      </c>
      <c r="F959" t="s">
        <v>57</v>
      </c>
      <c r="G959" t="s">
        <v>200</v>
      </c>
      <c r="H959" t="s">
        <v>5045</v>
      </c>
      <c r="I959" t="s">
        <v>5046</v>
      </c>
      <c r="J959" t="s">
        <v>79</v>
      </c>
      <c r="K959" t="s">
        <v>80</v>
      </c>
      <c r="L959" t="s">
        <v>72</v>
      </c>
      <c r="M959" t="s">
        <v>72</v>
      </c>
      <c r="N959" s="5"/>
      <c r="O959" t="str">
        <f t="shared" si="14"/>
        <v/>
      </c>
    </row>
    <row r="960" spans="1:15" x14ac:dyDescent="0.25">
      <c r="A960" t="s">
        <v>5047</v>
      </c>
      <c r="B960" t="s">
        <v>5048</v>
      </c>
      <c r="C960" t="s">
        <v>5049</v>
      </c>
      <c r="D960">
        <v>2025</v>
      </c>
      <c r="E960" t="s">
        <v>56</v>
      </c>
      <c r="F960" t="s">
        <v>67</v>
      </c>
      <c r="G960" t="s">
        <v>772</v>
      </c>
      <c r="H960" t="s">
        <v>5050</v>
      </c>
      <c r="I960" t="s">
        <v>5051</v>
      </c>
      <c r="J960" t="s">
        <v>87</v>
      </c>
      <c r="K960" t="s">
        <v>19</v>
      </c>
      <c r="L960" t="s">
        <v>72</v>
      </c>
      <c r="M960" t="s">
        <v>72</v>
      </c>
      <c r="N960" s="5"/>
      <c r="O960" t="str">
        <f t="shared" si="14"/>
        <v/>
      </c>
    </row>
    <row r="961" spans="1:15" x14ac:dyDescent="0.25">
      <c r="A961" t="s">
        <v>5052</v>
      </c>
      <c r="B961" t="s">
        <v>5053</v>
      </c>
      <c r="C961" t="s">
        <v>2671</v>
      </c>
      <c r="D961">
        <v>2025</v>
      </c>
      <c r="E961" t="s">
        <v>56</v>
      </c>
      <c r="F961" t="s">
        <v>57</v>
      </c>
      <c r="G961" t="s">
        <v>750</v>
      </c>
      <c r="H961" t="s">
        <v>5054</v>
      </c>
      <c r="I961" t="s">
        <v>5055</v>
      </c>
      <c r="J961" t="s">
        <v>61</v>
      </c>
      <c r="K961" t="s">
        <v>62</v>
      </c>
      <c r="L961" t="s">
        <v>63</v>
      </c>
      <c r="M961" t="s">
        <v>63</v>
      </c>
      <c r="N961" s="5"/>
      <c r="O961" t="str">
        <f t="shared" si="14"/>
        <v/>
      </c>
    </row>
    <row r="962" spans="1:15" x14ac:dyDescent="0.25">
      <c r="A962" t="s">
        <v>5056</v>
      </c>
      <c r="B962" t="s">
        <v>5057</v>
      </c>
      <c r="C962" t="s">
        <v>5058</v>
      </c>
      <c r="D962">
        <v>2025</v>
      </c>
      <c r="E962" t="s">
        <v>56</v>
      </c>
      <c r="F962" t="s">
        <v>57</v>
      </c>
      <c r="G962" t="s">
        <v>5059</v>
      </c>
      <c r="H962" t="s">
        <v>5060</v>
      </c>
      <c r="I962" t="s">
        <v>5061</v>
      </c>
      <c r="J962" t="s">
        <v>71</v>
      </c>
      <c r="K962" t="s">
        <v>18</v>
      </c>
      <c r="L962" t="s">
        <v>72</v>
      </c>
      <c r="M962" t="s">
        <v>72</v>
      </c>
      <c r="N962" s="5"/>
      <c r="O962" t="str">
        <f t="shared" ref="O962:O1025" si="15">IF(N962="","",IF(N962=J962,1,0))</f>
        <v/>
      </c>
    </row>
    <row r="963" spans="1:15" x14ac:dyDescent="0.25">
      <c r="A963" t="s">
        <v>5062</v>
      </c>
      <c r="B963" t="s">
        <v>5063</v>
      </c>
      <c r="C963" t="s">
        <v>5064</v>
      </c>
      <c r="D963">
        <v>2025</v>
      </c>
      <c r="E963" t="s">
        <v>56</v>
      </c>
      <c r="F963" t="s">
        <v>57</v>
      </c>
      <c r="G963" t="s">
        <v>5065</v>
      </c>
      <c r="H963" t="s">
        <v>5066</v>
      </c>
      <c r="I963" t="s">
        <v>5067</v>
      </c>
      <c r="J963" t="s">
        <v>87</v>
      </c>
      <c r="K963" t="s">
        <v>19</v>
      </c>
      <c r="L963" t="s">
        <v>72</v>
      </c>
      <c r="M963" t="s">
        <v>72</v>
      </c>
      <c r="N963" s="5"/>
      <c r="O963" t="str">
        <f t="shared" si="15"/>
        <v/>
      </c>
    </row>
    <row r="964" spans="1:15" x14ac:dyDescent="0.25">
      <c r="A964" t="s">
        <v>5068</v>
      </c>
      <c r="B964" t="s">
        <v>5069</v>
      </c>
      <c r="C964" t="s">
        <v>787</v>
      </c>
      <c r="D964">
        <v>2025</v>
      </c>
      <c r="E964" t="s">
        <v>56</v>
      </c>
      <c r="F964" t="s">
        <v>57</v>
      </c>
      <c r="G964" t="s">
        <v>2935</v>
      </c>
      <c r="H964" t="s">
        <v>5070</v>
      </c>
      <c r="I964" t="s">
        <v>5071</v>
      </c>
      <c r="J964" t="s">
        <v>87</v>
      </c>
      <c r="K964" t="s">
        <v>19</v>
      </c>
      <c r="L964" t="s">
        <v>72</v>
      </c>
      <c r="M964" t="s">
        <v>72</v>
      </c>
      <c r="N964" s="5"/>
      <c r="O964" t="str">
        <f t="shared" si="15"/>
        <v/>
      </c>
    </row>
    <row r="965" spans="1:15" x14ac:dyDescent="0.25">
      <c r="A965" t="s">
        <v>5072</v>
      </c>
      <c r="B965" t="s">
        <v>5073</v>
      </c>
      <c r="C965" t="s">
        <v>5074</v>
      </c>
      <c r="D965">
        <v>2025</v>
      </c>
      <c r="E965" t="s">
        <v>56</v>
      </c>
      <c r="F965" t="s">
        <v>57</v>
      </c>
      <c r="G965" t="s">
        <v>702</v>
      </c>
      <c r="H965" t="s">
        <v>5075</v>
      </c>
      <c r="I965" t="s">
        <v>5076</v>
      </c>
      <c r="J965" t="s">
        <v>79</v>
      </c>
      <c r="K965" t="s">
        <v>80</v>
      </c>
      <c r="L965" t="s">
        <v>72</v>
      </c>
      <c r="M965" t="s">
        <v>72</v>
      </c>
      <c r="N965" s="5"/>
      <c r="O965" t="str">
        <f t="shared" si="15"/>
        <v/>
      </c>
    </row>
    <row r="966" spans="1:15" x14ac:dyDescent="0.25">
      <c r="A966" t="s">
        <v>5077</v>
      </c>
      <c r="B966" t="s">
        <v>5078</v>
      </c>
      <c r="C966" t="s">
        <v>5079</v>
      </c>
      <c r="D966">
        <v>2025</v>
      </c>
      <c r="E966" t="s">
        <v>56</v>
      </c>
      <c r="F966" t="s">
        <v>67</v>
      </c>
      <c r="G966" t="s">
        <v>3552</v>
      </c>
      <c r="H966" t="s">
        <v>5080</v>
      </c>
      <c r="I966" t="s">
        <v>5081</v>
      </c>
      <c r="J966" t="s">
        <v>71</v>
      </c>
      <c r="K966" t="s">
        <v>18</v>
      </c>
      <c r="L966" t="s">
        <v>72</v>
      </c>
      <c r="M966" t="s">
        <v>72</v>
      </c>
      <c r="N966" s="5"/>
      <c r="O966" t="str">
        <f t="shared" si="15"/>
        <v/>
      </c>
    </row>
    <row r="967" spans="1:15" x14ac:dyDescent="0.25">
      <c r="A967" t="s">
        <v>5082</v>
      </c>
      <c r="B967" t="s">
        <v>5083</v>
      </c>
      <c r="C967" t="s">
        <v>2124</v>
      </c>
      <c r="D967">
        <v>2025</v>
      </c>
      <c r="E967" t="s">
        <v>56</v>
      </c>
      <c r="F967" t="s">
        <v>67</v>
      </c>
      <c r="G967" t="s">
        <v>76</v>
      </c>
      <c r="H967" t="s">
        <v>5084</v>
      </c>
      <c r="I967" t="s">
        <v>5085</v>
      </c>
      <c r="J967" t="s">
        <v>79</v>
      </c>
      <c r="K967" t="s">
        <v>80</v>
      </c>
      <c r="L967" t="s">
        <v>72</v>
      </c>
      <c r="M967" t="s">
        <v>72</v>
      </c>
      <c r="N967" s="5"/>
      <c r="O967" t="str">
        <f t="shared" si="15"/>
        <v/>
      </c>
    </row>
    <row r="968" spans="1:15" x14ac:dyDescent="0.25">
      <c r="A968" t="s">
        <v>5086</v>
      </c>
      <c r="B968" t="s">
        <v>5087</v>
      </c>
      <c r="C968" t="s">
        <v>5088</v>
      </c>
      <c r="D968">
        <v>2025</v>
      </c>
      <c r="E968" t="s">
        <v>56</v>
      </c>
      <c r="F968" t="s">
        <v>57</v>
      </c>
      <c r="G968" t="s">
        <v>5089</v>
      </c>
      <c r="H968" t="s">
        <v>5090</v>
      </c>
      <c r="I968" t="s">
        <v>5091</v>
      </c>
      <c r="J968" t="s">
        <v>165</v>
      </c>
      <c r="K968" t="s">
        <v>166</v>
      </c>
      <c r="L968" t="s">
        <v>63</v>
      </c>
      <c r="M968" t="s">
        <v>72</v>
      </c>
      <c r="N968" s="5"/>
      <c r="O968" t="str">
        <f t="shared" si="15"/>
        <v/>
      </c>
    </row>
    <row r="969" spans="1:15" x14ac:dyDescent="0.25">
      <c r="A969" t="s">
        <v>5092</v>
      </c>
      <c r="B969" t="s">
        <v>5093</v>
      </c>
      <c r="C969" t="s">
        <v>5094</v>
      </c>
      <c r="D969">
        <v>2025</v>
      </c>
      <c r="E969" t="s">
        <v>56</v>
      </c>
      <c r="F969" t="s">
        <v>67</v>
      </c>
      <c r="G969" t="s">
        <v>772</v>
      </c>
      <c r="H969" t="s">
        <v>5095</v>
      </c>
      <c r="I969" t="s">
        <v>5096</v>
      </c>
      <c r="J969" t="s">
        <v>71</v>
      </c>
      <c r="K969" t="s">
        <v>18</v>
      </c>
      <c r="L969" t="s">
        <v>72</v>
      </c>
      <c r="M969" t="s">
        <v>72</v>
      </c>
      <c r="N969" s="5"/>
      <c r="O969" t="str">
        <f t="shared" si="15"/>
        <v/>
      </c>
    </row>
    <row r="970" spans="1:15" x14ac:dyDescent="0.25">
      <c r="A970" t="s">
        <v>5097</v>
      </c>
      <c r="B970" t="s">
        <v>5098</v>
      </c>
      <c r="C970" t="s">
        <v>5099</v>
      </c>
      <c r="D970">
        <v>2025</v>
      </c>
      <c r="E970" t="s">
        <v>56</v>
      </c>
      <c r="F970" t="s">
        <v>67</v>
      </c>
      <c r="G970" t="s">
        <v>5100</v>
      </c>
      <c r="H970" t="s">
        <v>5101</v>
      </c>
      <c r="I970" t="s">
        <v>5102</v>
      </c>
      <c r="J970" t="s">
        <v>71</v>
      </c>
      <c r="K970" t="s">
        <v>18</v>
      </c>
      <c r="L970" t="s">
        <v>72</v>
      </c>
      <c r="M970" t="s">
        <v>72</v>
      </c>
      <c r="N970" s="5"/>
      <c r="O970" t="str">
        <f t="shared" si="15"/>
        <v/>
      </c>
    </row>
    <row r="971" spans="1:15" x14ac:dyDescent="0.25">
      <c r="A971" t="s">
        <v>5103</v>
      </c>
      <c r="B971" t="s">
        <v>5104</v>
      </c>
      <c r="C971" t="s">
        <v>661</v>
      </c>
      <c r="D971">
        <v>2025</v>
      </c>
      <c r="E971" t="s">
        <v>56</v>
      </c>
      <c r="F971" t="s">
        <v>57</v>
      </c>
      <c r="G971" t="s">
        <v>766</v>
      </c>
      <c r="H971" t="s">
        <v>5105</v>
      </c>
      <c r="I971" t="s">
        <v>5106</v>
      </c>
      <c r="J971" t="s">
        <v>87</v>
      </c>
      <c r="K971" t="s">
        <v>19</v>
      </c>
      <c r="L971" t="s">
        <v>72</v>
      </c>
      <c r="M971" t="s">
        <v>72</v>
      </c>
      <c r="N971" s="5"/>
      <c r="O971" t="str">
        <f t="shared" si="15"/>
        <v/>
      </c>
    </row>
    <row r="972" spans="1:15" x14ac:dyDescent="0.25">
      <c r="A972" t="s">
        <v>5107</v>
      </c>
      <c r="B972" t="s">
        <v>5108</v>
      </c>
      <c r="C972" t="s">
        <v>2372</v>
      </c>
      <c r="D972">
        <v>2025</v>
      </c>
      <c r="E972" t="s">
        <v>56</v>
      </c>
      <c r="F972" t="s">
        <v>67</v>
      </c>
      <c r="G972" t="s">
        <v>3288</v>
      </c>
      <c r="H972" t="s">
        <v>5109</v>
      </c>
      <c r="I972" t="s">
        <v>5110</v>
      </c>
      <c r="J972" t="s">
        <v>71</v>
      </c>
      <c r="K972" t="s">
        <v>18</v>
      </c>
      <c r="L972" t="s">
        <v>72</v>
      </c>
      <c r="M972" t="s">
        <v>72</v>
      </c>
      <c r="N972" s="5"/>
      <c r="O972" t="str">
        <f t="shared" si="15"/>
        <v/>
      </c>
    </row>
    <row r="973" spans="1:15" x14ac:dyDescent="0.25">
      <c r="A973" t="s">
        <v>5111</v>
      </c>
      <c r="B973" t="s">
        <v>5112</v>
      </c>
      <c r="C973" t="s">
        <v>5113</v>
      </c>
      <c r="D973">
        <v>2025</v>
      </c>
      <c r="E973" t="s">
        <v>56</v>
      </c>
      <c r="F973" t="s">
        <v>57</v>
      </c>
      <c r="G973" t="s">
        <v>279</v>
      </c>
      <c r="H973" t="s">
        <v>5114</v>
      </c>
      <c r="I973" t="s">
        <v>5115</v>
      </c>
      <c r="J973" t="s">
        <v>71</v>
      </c>
      <c r="K973" t="s">
        <v>18</v>
      </c>
      <c r="L973" t="s">
        <v>72</v>
      </c>
      <c r="M973" t="s">
        <v>72</v>
      </c>
      <c r="N973" s="5"/>
      <c r="O973" t="str">
        <f t="shared" si="15"/>
        <v/>
      </c>
    </row>
    <row r="974" spans="1:15" x14ac:dyDescent="0.25">
      <c r="A974" t="s">
        <v>5116</v>
      </c>
      <c r="B974" t="s">
        <v>5117</v>
      </c>
      <c r="C974" t="s">
        <v>5118</v>
      </c>
      <c r="D974">
        <v>2025</v>
      </c>
      <c r="E974" t="s">
        <v>56</v>
      </c>
      <c r="F974" t="s">
        <v>57</v>
      </c>
      <c r="G974" t="s">
        <v>750</v>
      </c>
      <c r="H974" t="s">
        <v>5119</v>
      </c>
      <c r="I974" t="s">
        <v>5120</v>
      </c>
      <c r="J974" t="s">
        <v>71</v>
      </c>
      <c r="K974" t="s">
        <v>18</v>
      </c>
      <c r="L974" t="s">
        <v>72</v>
      </c>
      <c r="M974" t="s">
        <v>72</v>
      </c>
      <c r="N974" s="5"/>
      <c r="O974" t="str">
        <f t="shared" si="15"/>
        <v/>
      </c>
    </row>
    <row r="975" spans="1:15" x14ac:dyDescent="0.25">
      <c r="A975" t="s">
        <v>5121</v>
      </c>
      <c r="B975" t="s">
        <v>5122</v>
      </c>
      <c r="C975" t="s">
        <v>5123</v>
      </c>
      <c r="D975">
        <v>2025</v>
      </c>
      <c r="E975" t="s">
        <v>56</v>
      </c>
      <c r="F975" t="s">
        <v>67</v>
      </c>
      <c r="G975" t="s">
        <v>5124</v>
      </c>
      <c r="H975" t="s">
        <v>5125</v>
      </c>
      <c r="I975" t="s">
        <v>5126</v>
      </c>
      <c r="J975" t="s">
        <v>71</v>
      </c>
      <c r="K975" t="s">
        <v>18</v>
      </c>
      <c r="L975" t="s">
        <v>72</v>
      </c>
      <c r="M975" t="s">
        <v>72</v>
      </c>
      <c r="N975" s="5"/>
      <c r="O975" t="str">
        <f t="shared" si="15"/>
        <v/>
      </c>
    </row>
    <row r="976" spans="1:15" x14ac:dyDescent="0.25">
      <c r="A976" t="s">
        <v>5127</v>
      </c>
      <c r="B976" t="s">
        <v>5128</v>
      </c>
      <c r="C976" t="s">
        <v>5129</v>
      </c>
      <c r="D976">
        <v>2025</v>
      </c>
      <c r="E976" t="s">
        <v>56</v>
      </c>
      <c r="F976" t="s">
        <v>67</v>
      </c>
      <c r="G976" t="s">
        <v>5130</v>
      </c>
      <c r="H976" t="s">
        <v>5131</v>
      </c>
      <c r="I976" t="s">
        <v>5132</v>
      </c>
      <c r="J976" t="s">
        <v>71</v>
      </c>
      <c r="K976" t="s">
        <v>18</v>
      </c>
      <c r="L976" t="s">
        <v>72</v>
      </c>
      <c r="M976" t="s">
        <v>72</v>
      </c>
      <c r="N976" s="5"/>
      <c r="O976" t="str">
        <f t="shared" si="15"/>
        <v/>
      </c>
    </row>
    <row r="977" spans="1:15" x14ac:dyDescent="0.25">
      <c r="A977" t="s">
        <v>5133</v>
      </c>
      <c r="B977" t="s">
        <v>5134</v>
      </c>
      <c r="C977" t="s">
        <v>5135</v>
      </c>
      <c r="D977">
        <v>2025</v>
      </c>
      <c r="E977" t="s">
        <v>56</v>
      </c>
      <c r="F977" t="s">
        <v>67</v>
      </c>
      <c r="G977" t="s">
        <v>151</v>
      </c>
      <c r="H977" t="s">
        <v>5136</v>
      </c>
      <c r="I977" t="s">
        <v>5137</v>
      </c>
      <c r="J977" t="s">
        <v>71</v>
      </c>
      <c r="K977" t="s">
        <v>18</v>
      </c>
      <c r="L977" t="s">
        <v>72</v>
      </c>
      <c r="M977" t="s">
        <v>72</v>
      </c>
      <c r="N977" s="5"/>
      <c r="O977" t="str">
        <f t="shared" si="15"/>
        <v/>
      </c>
    </row>
    <row r="978" spans="1:15" x14ac:dyDescent="0.25">
      <c r="A978" t="s">
        <v>5138</v>
      </c>
      <c r="B978" t="s">
        <v>5139</v>
      </c>
      <c r="C978" t="s">
        <v>1644</v>
      </c>
      <c r="D978">
        <v>2025</v>
      </c>
      <c r="E978" t="s">
        <v>56</v>
      </c>
      <c r="F978" t="s">
        <v>57</v>
      </c>
      <c r="G978" t="s">
        <v>3722</v>
      </c>
      <c r="H978" t="s">
        <v>5140</v>
      </c>
      <c r="I978" t="s">
        <v>5141</v>
      </c>
      <c r="J978" t="s">
        <v>71</v>
      </c>
      <c r="K978" t="s">
        <v>18</v>
      </c>
      <c r="L978" t="s">
        <v>72</v>
      </c>
      <c r="M978" t="s">
        <v>72</v>
      </c>
      <c r="N978" s="5"/>
      <c r="O978" t="str">
        <f t="shared" si="15"/>
        <v/>
      </c>
    </row>
    <row r="979" spans="1:15" x14ac:dyDescent="0.25">
      <c r="A979" t="s">
        <v>5142</v>
      </c>
      <c r="B979" t="s">
        <v>5143</v>
      </c>
      <c r="C979" t="s">
        <v>5144</v>
      </c>
      <c r="D979">
        <v>2025</v>
      </c>
      <c r="E979" t="s">
        <v>56</v>
      </c>
      <c r="F979" t="s">
        <v>67</v>
      </c>
      <c r="G979" t="s">
        <v>5145</v>
      </c>
      <c r="H979" t="s">
        <v>5146</v>
      </c>
      <c r="I979" t="s">
        <v>5147</v>
      </c>
      <c r="J979" t="s">
        <v>87</v>
      </c>
      <c r="K979" t="s">
        <v>19</v>
      </c>
      <c r="L979" t="s">
        <v>72</v>
      </c>
      <c r="M979" t="s">
        <v>72</v>
      </c>
      <c r="N979" s="5"/>
      <c r="O979" t="str">
        <f t="shared" si="15"/>
        <v/>
      </c>
    </row>
    <row r="980" spans="1:15" x14ac:dyDescent="0.25">
      <c r="A980" t="s">
        <v>5148</v>
      </c>
      <c r="B980" t="s">
        <v>5149</v>
      </c>
      <c r="C980" t="s">
        <v>5150</v>
      </c>
      <c r="D980">
        <v>2025</v>
      </c>
      <c r="E980" t="s">
        <v>56</v>
      </c>
      <c r="F980" t="s">
        <v>67</v>
      </c>
      <c r="G980" t="s">
        <v>5151</v>
      </c>
      <c r="H980" t="s">
        <v>5152</v>
      </c>
      <c r="I980" t="s">
        <v>5153</v>
      </c>
      <c r="J980" t="s">
        <v>71</v>
      </c>
      <c r="K980" t="s">
        <v>18</v>
      </c>
      <c r="L980" t="s">
        <v>72</v>
      </c>
      <c r="M980" t="s">
        <v>72</v>
      </c>
      <c r="N980" s="5"/>
      <c r="O980" t="str">
        <f t="shared" si="15"/>
        <v/>
      </c>
    </row>
    <row r="981" spans="1:15" x14ac:dyDescent="0.25">
      <c r="A981" t="s">
        <v>5154</v>
      </c>
      <c r="B981" t="s">
        <v>5155</v>
      </c>
      <c r="C981" t="s">
        <v>571</v>
      </c>
      <c r="D981">
        <v>2025</v>
      </c>
      <c r="E981" t="s">
        <v>56</v>
      </c>
      <c r="F981" t="s">
        <v>67</v>
      </c>
      <c r="G981" t="s">
        <v>5156</v>
      </c>
      <c r="H981" t="s">
        <v>5157</v>
      </c>
      <c r="I981" t="s">
        <v>5158</v>
      </c>
      <c r="J981" t="s">
        <v>87</v>
      </c>
      <c r="K981" t="s">
        <v>19</v>
      </c>
      <c r="L981" t="s">
        <v>72</v>
      </c>
      <c r="M981" t="s">
        <v>72</v>
      </c>
      <c r="N981" s="5"/>
      <c r="O981" t="str">
        <f t="shared" si="15"/>
        <v/>
      </c>
    </row>
    <row r="982" spans="1:15" x14ac:dyDescent="0.25">
      <c r="A982" t="s">
        <v>5159</v>
      </c>
      <c r="B982" t="s">
        <v>5160</v>
      </c>
      <c r="C982" t="s">
        <v>1054</v>
      </c>
      <c r="D982">
        <v>2025</v>
      </c>
      <c r="E982" t="s">
        <v>56</v>
      </c>
      <c r="F982" t="s">
        <v>57</v>
      </c>
      <c r="G982" t="s">
        <v>5161</v>
      </c>
      <c r="H982" t="s">
        <v>5162</v>
      </c>
      <c r="I982" t="s">
        <v>5163</v>
      </c>
      <c r="J982" t="s">
        <v>87</v>
      </c>
      <c r="K982" t="s">
        <v>19</v>
      </c>
      <c r="L982" t="s">
        <v>72</v>
      </c>
      <c r="M982" t="s">
        <v>72</v>
      </c>
      <c r="N982" s="5"/>
      <c r="O982" t="str">
        <f t="shared" si="15"/>
        <v/>
      </c>
    </row>
    <row r="983" spans="1:15" x14ac:dyDescent="0.25">
      <c r="A983" t="s">
        <v>5164</v>
      </c>
      <c r="B983" t="s">
        <v>5165</v>
      </c>
      <c r="C983" t="s">
        <v>566</v>
      </c>
      <c r="D983">
        <v>2025</v>
      </c>
      <c r="E983" t="s">
        <v>56</v>
      </c>
      <c r="F983" t="s">
        <v>67</v>
      </c>
      <c r="G983" t="s">
        <v>5166</v>
      </c>
      <c r="H983" t="s">
        <v>5167</v>
      </c>
      <c r="I983" t="s">
        <v>5168</v>
      </c>
      <c r="J983" t="s">
        <v>71</v>
      </c>
      <c r="K983" t="s">
        <v>18</v>
      </c>
      <c r="L983" t="s">
        <v>72</v>
      </c>
      <c r="M983" t="s">
        <v>72</v>
      </c>
      <c r="N983" s="5"/>
      <c r="O983" t="str">
        <f t="shared" si="15"/>
        <v/>
      </c>
    </row>
    <row r="984" spans="1:15" x14ac:dyDescent="0.25">
      <c r="A984" t="s">
        <v>5169</v>
      </c>
      <c r="B984" t="s">
        <v>5170</v>
      </c>
      <c r="C984" t="s">
        <v>5171</v>
      </c>
      <c r="D984">
        <v>2025</v>
      </c>
      <c r="E984" t="s">
        <v>56</v>
      </c>
      <c r="F984" t="s">
        <v>67</v>
      </c>
      <c r="G984" t="s">
        <v>5172</v>
      </c>
      <c r="H984" t="s">
        <v>5173</v>
      </c>
      <c r="I984" t="s">
        <v>5174</v>
      </c>
      <c r="J984" t="s">
        <v>71</v>
      </c>
      <c r="K984" t="s">
        <v>18</v>
      </c>
      <c r="L984" t="s">
        <v>72</v>
      </c>
      <c r="M984" t="s">
        <v>72</v>
      </c>
      <c r="N984" s="5"/>
      <c r="O984" t="str">
        <f t="shared" si="15"/>
        <v/>
      </c>
    </row>
    <row r="985" spans="1:15" x14ac:dyDescent="0.25">
      <c r="A985" t="s">
        <v>5175</v>
      </c>
      <c r="B985" t="s">
        <v>5176</v>
      </c>
      <c r="C985" t="s">
        <v>5177</v>
      </c>
      <c r="D985">
        <v>2025</v>
      </c>
      <c r="E985" t="s">
        <v>56</v>
      </c>
      <c r="F985" t="s">
        <v>67</v>
      </c>
      <c r="G985" t="s">
        <v>2961</v>
      </c>
      <c r="H985" t="s">
        <v>5178</v>
      </c>
      <c r="I985" t="s">
        <v>5179</v>
      </c>
      <c r="J985" t="s">
        <v>87</v>
      </c>
      <c r="K985" t="s">
        <v>19</v>
      </c>
      <c r="L985" t="s">
        <v>72</v>
      </c>
      <c r="M985" t="s">
        <v>72</v>
      </c>
      <c r="N985" s="5"/>
      <c r="O985" t="str">
        <f t="shared" si="15"/>
        <v/>
      </c>
    </row>
    <row r="986" spans="1:15" x14ac:dyDescent="0.25">
      <c r="A986" t="s">
        <v>5180</v>
      </c>
      <c r="B986" t="s">
        <v>5181</v>
      </c>
      <c r="C986" t="s">
        <v>5182</v>
      </c>
      <c r="D986">
        <v>2025</v>
      </c>
      <c r="E986" t="s">
        <v>56</v>
      </c>
      <c r="F986" t="s">
        <v>57</v>
      </c>
      <c r="G986" t="s">
        <v>5183</v>
      </c>
      <c r="H986" t="s">
        <v>5184</v>
      </c>
      <c r="I986" t="s">
        <v>5185</v>
      </c>
      <c r="J986" t="s">
        <v>61</v>
      </c>
      <c r="K986" t="s">
        <v>62</v>
      </c>
      <c r="L986" t="s">
        <v>63</v>
      </c>
      <c r="M986" t="s">
        <v>63</v>
      </c>
      <c r="N986" s="5"/>
      <c r="O986" t="str">
        <f t="shared" si="15"/>
        <v/>
      </c>
    </row>
    <row r="987" spans="1:15" x14ac:dyDescent="0.25">
      <c r="A987" t="s">
        <v>5186</v>
      </c>
      <c r="B987" t="s">
        <v>5187</v>
      </c>
      <c r="C987" t="s">
        <v>1238</v>
      </c>
      <c r="D987">
        <v>2025</v>
      </c>
      <c r="E987" t="s">
        <v>56</v>
      </c>
      <c r="F987" t="s">
        <v>67</v>
      </c>
      <c r="G987" t="s">
        <v>5188</v>
      </c>
      <c r="H987" t="s">
        <v>5189</v>
      </c>
      <c r="I987" t="s">
        <v>5190</v>
      </c>
      <c r="J987" t="s">
        <v>79</v>
      </c>
      <c r="K987" t="s">
        <v>80</v>
      </c>
      <c r="L987" t="s">
        <v>72</v>
      </c>
      <c r="M987" t="s">
        <v>72</v>
      </c>
      <c r="N987" s="5"/>
      <c r="O987" t="str">
        <f t="shared" si="15"/>
        <v/>
      </c>
    </row>
    <row r="988" spans="1:15" x14ac:dyDescent="0.25">
      <c r="A988" t="s">
        <v>5191</v>
      </c>
      <c r="B988" t="s">
        <v>5192</v>
      </c>
      <c r="C988" t="s">
        <v>5193</v>
      </c>
      <c r="D988">
        <v>2025</v>
      </c>
      <c r="E988" t="s">
        <v>56</v>
      </c>
      <c r="F988" t="s">
        <v>57</v>
      </c>
      <c r="G988" t="s">
        <v>596</v>
      </c>
      <c r="H988" t="s">
        <v>5194</v>
      </c>
      <c r="I988" t="s">
        <v>5195</v>
      </c>
      <c r="J988" t="s">
        <v>79</v>
      </c>
      <c r="K988" t="s">
        <v>80</v>
      </c>
      <c r="L988" t="s">
        <v>72</v>
      </c>
      <c r="M988" t="s">
        <v>72</v>
      </c>
      <c r="N988" s="5"/>
      <c r="O988" t="str">
        <f t="shared" si="15"/>
        <v/>
      </c>
    </row>
    <row r="989" spans="1:15" x14ac:dyDescent="0.25">
      <c r="A989" t="s">
        <v>5196</v>
      </c>
      <c r="B989" t="s">
        <v>5197</v>
      </c>
      <c r="C989" t="s">
        <v>5177</v>
      </c>
      <c r="D989">
        <v>2025</v>
      </c>
      <c r="E989" t="s">
        <v>56</v>
      </c>
      <c r="F989" t="s">
        <v>67</v>
      </c>
      <c r="G989" t="s">
        <v>76</v>
      </c>
      <c r="H989" t="s">
        <v>5198</v>
      </c>
      <c r="I989" t="s">
        <v>5199</v>
      </c>
      <c r="J989" t="s">
        <v>87</v>
      </c>
      <c r="K989" t="s">
        <v>19</v>
      </c>
      <c r="L989" t="s">
        <v>72</v>
      </c>
      <c r="M989" t="s">
        <v>72</v>
      </c>
      <c r="N989" s="5"/>
      <c r="O989" t="str">
        <f t="shared" si="15"/>
        <v/>
      </c>
    </row>
    <row r="990" spans="1:15" x14ac:dyDescent="0.25">
      <c r="A990" t="s">
        <v>5200</v>
      </c>
      <c r="B990" t="s">
        <v>5201</v>
      </c>
      <c r="C990" t="s">
        <v>4901</v>
      </c>
      <c r="D990">
        <v>2025</v>
      </c>
      <c r="E990" t="s">
        <v>56</v>
      </c>
      <c r="F990" t="s">
        <v>57</v>
      </c>
      <c r="G990" t="s">
        <v>1797</v>
      </c>
      <c r="H990" t="s">
        <v>5202</v>
      </c>
      <c r="I990" t="s">
        <v>5203</v>
      </c>
      <c r="J990" t="s">
        <v>87</v>
      </c>
      <c r="K990" t="s">
        <v>19</v>
      </c>
      <c r="L990" t="s">
        <v>72</v>
      </c>
      <c r="M990" t="s">
        <v>72</v>
      </c>
      <c r="N990" s="5"/>
      <c r="O990" t="str">
        <f t="shared" si="15"/>
        <v/>
      </c>
    </row>
    <row r="991" spans="1:15" x14ac:dyDescent="0.25">
      <c r="A991" t="s">
        <v>5204</v>
      </c>
      <c r="B991" t="s">
        <v>5205</v>
      </c>
      <c r="C991" t="s">
        <v>1123</v>
      </c>
      <c r="D991">
        <v>2025</v>
      </c>
      <c r="E991" t="s">
        <v>56</v>
      </c>
      <c r="F991" t="s">
        <v>67</v>
      </c>
      <c r="G991" t="s">
        <v>84</v>
      </c>
      <c r="H991" t="s">
        <v>5206</v>
      </c>
      <c r="I991" t="s">
        <v>5207</v>
      </c>
      <c r="J991" t="s">
        <v>71</v>
      </c>
      <c r="K991" t="s">
        <v>18</v>
      </c>
      <c r="L991" t="s">
        <v>72</v>
      </c>
      <c r="M991" t="s">
        <v>72</v>
      </c>
      <c r="N991" s="5"/>
      <c r="O991" t="str">
        <f t="shared" si="15"/>
        <v/>
      </c>
    </row>
    <row r="992" spans="1:15" x14ac:dyDescent="0.25">
      <c r="A992" t="s">
        <v>5208</v>
      </c>
      <c r="B992" t="s">
        <v>5209</v>
      </c>
      <c r="C992" t="s">
        <v>117</v>
      </c>
      <c r="D992">
        <v>2025</v>
      </c>
      <c r="E992" t="s">
        <v>56</v>
      </c>
      <c r="F992" t="s">
        <v>67</v>
      </c>
      <c r="G992" t="s">
        <v>4125</v>
      </c>
      <c r="H992" t="s">
        <v>5210</v>
      </c>
      <c r="I992" t="s">
        <v>5211</v>
      </c>
      <c r="J992" t="s">
        <v>98</v>
      </c>
      <c r="K992" t="s">
        <v>99</v>
      </c>
      <c r="L992" t="s">
        <v>63</v>
      </c>
      <c r="M992" t="s">
        <v>72</v>
      </c>
      <c r="N992" s="5"/>
      <c r="O992" t="str">
        <f t="shared" si="15"/>
        <v/>
      </c>
    </row>
    <row r="993" spans="1:15" x14ac:dyDescent="0.25">
      <c r="A993" t="s">
        <v>5212</v>
      </c>
      <c r="B993" t="s">
        <v>5213</v>
      </c>
      <c r="C993" t="s">
        <v>5214</v>
      </c>
      <c r="D993">
        <v>2025</v>
      </c>
      <c r="E993" t="s">
        <v>56</v>
      </c>
      <c r="F993" t="s">
        <v>67</v>
      </c>
      <c r="G993" t="s">
        <v>5215</v>
      </c>
      <c r="H993" t="s">
        <v>5216</v>
      </c>
      <c r="I993" t="s">
        <v>5217</v>
      </c>
      <c r="J993" t="s">
        <v>87</v>
      </c>
      <c r="K993" t="s">
        <v>19</v>
      </c>
      <c r="L993" t="s">
        <v>72</v>
      </c>
      <c r="M993" t="s">
        <v>72</v>
      </c>
      <c r="N993" s="5"/>
      <c r="O993" t="str">
        <f t="shared" si="15"/>
        <v/>
      </c>
    </row>
    <row r="994" spans="1:15" x14ac:dyDescent="0.25">
      <c r="A994" t="s">
        <v>5218</v>
      </c>
      <c r="B994" t="s">
        <v>5219</v>
      </c>
      <c r="C994" t="s">
        <v>1172</v>
      </c>
      <c r="D994">
        <v>2025</v>
      </c>
      <c r="E994" t="s">
        <v>56</v>
      </c>
      <c r="F994" t="s">
        <v>57</v>
      </c>
      <c r="G994" t="s">
        <v>5220</v>
      </c>
      <c r="H994" t="s">
        <v>5221</v>
      </c>
      <c r="I994" t="s">
        <v>5222</v>
      </c>
      <c r="J994" t="s">
        <v>71</v>
      </c>
      <c r="K994" t="s">
        <v>18</v>
      </c>
      <c r="L994" t="s">
        <v>72</v>
      </c>
      <c r="M994" t="s">
        <v>72</v>
      </c>
      <c r="N994" s="5"/>
      <c r="O994" t="str">
        <f t="shared" si="15"/>
        <v/>
      </c>
    </row>
    <row r="995" spans="1:15" x14ac:dyDescent="0.25">
      <c r="A995" t="s">
        <v>5223</v>
      </c>
      <c r="B995" t="s">
        <v>5224</v>
      </c>
      <c r="C995" t="s">
        <v>5225</v>
      </c>
      <c r="D995">
        <v>2025</v>
      </c>
      <c r="E995" t="s">
        <v>56</v>
      </c>
      <c r="F995" t="s">
        <v>57</v>
      </c>
      <c r="G995" t="s">
        <v>5226</v>
      </c>
      <c r="H995" t="s">
        <v>5227</v>
      </c>
      <c r="I995" t="s">
        <v>5228</v>
      </c>
      <c r="J995" t="s">
        <v>79</v>
      </c>
      <c r="K995" t="s">
        <v>80</v>
      </c>
      <c r="L995" t="s">
        <v>72</v>
      </c>
      <c r="M995" t="s">
        <v>72</v>
      </c>
      <c r="N995" s="5"/>
      <c r="O995" t="str">
        <f t="shared" si="15"/>
        <v/>
      </c>
    </row>
    <row r="996" spans="1:15" x14ac:dyDescent="0.25">
      <c r="A996" t="s">
        <v>5229</v>
      </c>
      <c r="B996" t="s">
        <v>5230</v>
      </c>
      <c r="C996" t="s">
        <v>5231</v>
      </c>
      <c r="D996">
        <v>2025</v>
      </c>
      <c r="E996" t="s">
        <v>56</v>
      </c>
      <c r="F996" t="s">
        <v>57</v>
      </c>
      <c r="G996" t="s">
        <v>5232</v>
      </c>
      <c r="H996" t="s">
        <v>5233</v>
      </c>
      <c r="I996" t="s">
        <v>5234</v>
      </c>
      <c r="J996" t="s">
        <v>165</v>
      </c>
      <c r="K996" t="s">
        <v>166</v>
      </c>
      <c r="L996" t="s">
        <v>63</v>
      </c>
      <c r="M996" t="s">
        <v>72</v>
      </c>
      <c r="N996" s="5"/>
      <c r="O996" t="str">
        <f t="shared" si="15"/>
        <v/>
      </c>
    </row>
    <row r="997" spans="1:15" x14ac:dyDescent="0.25">
      <c r="A997" t="s">
        <v>5235</v>
      </c>
      <c r="B997" t="s">
        <v>5236</v>
      </c>
      <c r="C997" t="s">
        <v>5237</v>
      </c>
      <c r="D997">
        <v>2025</v>
      </c>
      <c r="E997" t="s">
        <v>56</v>
      </c>
      <c r="F997" t="s">
        <v>67</v>
      </c>
      <c r="G997" t="s">
        <v>84</v>
      </c>
      <c r="H997" t="s">
        <v>5238</v>
      </c>
      <c r="I997" t="s">
        <v>5239</v>
      </c>
      <c r="J997" t="s">
        <v>71</v>
      </c>
      <c r="K997" t="s">
        <v>18</v>
      </c>
      <c r="L997" t="s">
        <v>72</v>
      </c>
      <c r="M997" t="s">
        <v>72</v>
      </c>
      <c r="N997" s="5"/>
      <c r="O997" t="str">
        <f t="shared" si="15"/>
        <v/>
      </c>
    </row>
    <row r="998" spans="1:15" x14ac:dyDescent="0.25">
      <c r="A998" t="s">
        <v>5240</v>
      </c>
      <c r="B998" t="s">
        <v>5241</v>
      </c>
      <c r="C998" t="s">
        <v>2903</v>
      </c>
      <c r="D998">
        <v>2025</v>
      </c>
      <c r="E998" t="s">
        <v>56</v>
      </c>
      <c r="F998" t="s">
        <v>67</v>
      </c>
      <c r="G998" t="s">
        <v>188</v>
      </c>
      <c r="H998" t="s">
        <v>5242</v>
      </c>
      <c r="I998" t="s">
        <v>5243</v>
      </c>
      <c r="J998" t="s">
        <v>71</v>
      </c>
      <c r="K998" t="s">
        <v>18</v>
      </c>
      <c r="L998" t="s">
        <v>72</v>
      </c>
      <c r="M998" t="s">
        <v>72</v>
      </c>
      <c r="N998" s="5"/>
      <c r="O998" t="str">
        <f t="shared" si="15"/>
        <v/>
      </c>
    </row>
    <row r="999" spans="1:15" x14ac:dyDescent="0.25">
      <c r="A999" t="s">
        <v>5244</v>
      </c>
      <c r="B999" t="s">
        <v>5245</v>
      </c>
      <c r="C999" t="s">
        <v>290</v>
      </c>
      <c r="D999">
        <v>2025</v>
      </c>
      <c r="E999" t="s">
        <v>56</v>
      </c>
      <c r="F999" t="s">
        <v>67</v>
      </c>
      <c r="G999" t="s">
        <v>2990</v>
      </c>
      <c r="H999" t="s">
        <v>5246</v>
      </c>
      <c r="I999" t="s">
        <v>5247</v>
      </c>
      <c r="J999" t="s">
        <v>87</v>
      </c>
      <c r="K999" t="s">
        <v>19</v>
      </c>
      <c r="L999" t="s">
        <v>72</v>
      </c>
      <c r="M999" t="s">
        <v>72</v>
      </c>
      <c r="N999" s="5"/>
      <c r="O999" t="str">
        <f t="shared" si="15"/>
        <v/>
      </c>
    </row>
    <row r="1000" spans="1:15" x14ac:dyDescent="0.25">
      <c r="A1000" t="s">
        <v>5248</v>
      </c>
      <c r="B1000" t="s">
        <v>5249</v>
      </c>
      <c r="C1000" t="s">
        <v>5250</v>
      </c>
      <c r="D1000">
        <v>2025</v>
      </c>
      <c r="E1000" t="s">
        <v>56</v>
      </c>
      <c r="F1000" t="s">
        <v>57</v>
      </c>
      <c r="G1000" t="s">
        <v>5039</v>
      </c>
      <c r="H1000" t="s">
        <v>5251</v>
      </c>
      <c r="I1000" t="s">
        <v>5252</v>
      </c>
      <c r="J1000" t="s">
        <v>79</v>
      </c>
      <c r="K1000" t="s">
        <v>80</v>
      </c>
      <c r="L1000" t="s">
        <v>72</v>
      </c>
      <c r="M1000" t="s">
        <v>72</v>
      </c>
      <c r="N1000" s="5"/>
      <c r="O1000" t="str">
        <f t="shared" si="15"/>
        <v/>
      </c>
    </row>
    <row r="1001" spans="1:15" x14ac:dyDescent="0.25">
      <c r="A1001" t="s">
        <v>5253</v>
      </c>
      <c r="B1001" t="s">
        <v>5254</v>
      </c>
      <c r="C1001" t="s">
        <v>641</v>
      </c>
      <c r="D1001">
        <v>2025</v>
      </c>
      <c r="E1001" t="s">
        <v>56</v>
      </c>
      <c r="F1001" t="s">
        <v>67</v>
      </c>
      <c r="G1001" t="s">
        <v>986</v>
      </c>
      <c r="H1001" t="s">
        <v>5255</v>
      </c>
      <c r="I1001" t="s">
        <v>5256</v>
      </c>
      <c r="J1001" t="s">
        <v>71</v>
      </c>
      <c r="K1001" t="s">
        <v>18</v>
      </c>
      <c r="L1001" t="s">
        <v>72</v>
      </c>
      <c r="M1001" t="s">
        <v>72</v>
      </c>
      <c r="N1001" s="5"/>
      <c r="O1001" t="str">
        <f t="shared" si="15"/>
        <v/>
      </c>
    </row>
    <row r="1002" spans="1:15" x14ac:dyDescent="0.25">
      <c r="A1002" t="s">
        <v>5257</v>
      </c>
      <c r="B1002" t="s">
        <v>5258</v>
      </c>
      <c r="C1002" t="s">
        <v>2124</v>
      </c>
      <c r="D1002">
        <v>2025</v>
      </c>
      <c r="E1002" t="s">
        <v>56</v>
      </c>
      <c r="F1002" t="s">
        <v>67</v>
      </c>
      <c r="G1002" t="s">
        <v>84</v>
      </c>
      <c r="H1002" t="s">
        <v>2871</v>
      </c>
      <c r="I1002" t="s">
        <v>5259</v>
      </c>
      <c r="J1002" t="s">
        <v>87</v>
      </c>
      <c r="K1002" t="s">
        <v>19</v>
      </c>
      <c r="L1002" t="s">
        <v>72</v>
      </c>
      <c r="M1002" t="s">
        <v>72</v>
      </c>
      <c r="N1002" s="5"/>
      <c r="O1002" t="str">
        <f t="shared" si="15"/>
        <v/>
      </c>
    </row>
    <row r="1003" spans="1:15" x14ac:dyDescent="0.25">
      <c r="A1003" t="s">
        <v>5260</v>
      </c>
      <c r="B1003" t="s">
        <v>5261</v>
      </c>
      <c r="C1003" t="s">
        <v>5262</v>
      </c>
      <c r="D1003">
        <v>2025</v>
      </c>
      <c r="E1003" t="s">
        <v>56</v>
      </c>
      <c r="F1003" t="s">
        <v>57</v>
      </c>
      <c r="G1003" t="s">
        <v>5263</v>
      </c>
      <c r="H1003" t="s">
        <v>5264</v>
      </c>
      <c r="I1003" t="s">
        <v>5265</v>
      </c>
      <c r="J1003" t="s">
        <v>87</v>
      </c>
      <c r="K1003" t="s">
        <v>19</v>
      </c>
      <c r="L1003" t="s">
        <v>72</v>
      </c>
      <c r="M1003" t="s">
        <v>72</v>
      </c>
      <c r="N1003" s="5"/>
      <c r="O1003" t="str">
        <f t="shared" si="15"/>
        <v/>
      </c>
    </row>
    <row r="1004" spans="1:15" x14ac:dyDescent="0.25">
      <c r="A1004" t="s">
        <v>5266</v>
      </c>
      <c r="B1004" t="s">
        <v>5267</v>
      </c>
      <c r="C1004" t="s">
        <v>5268</v>
      </c>
      <c r="D1004">
        <v>2025</v>
      </c>
      <c r="E1004" t="s">
        <v>56</v>
      </c>
      <c r="F1004" t="s">
        <v>67</v>
      </c>
      <c r="G1004" t="s">
        <v>76</v>
      </c>
      <c r="H1004" t="s">
        <v>5269</v>
      </c>
      <c r="I1004" t="s">
        <v>5270</v>
      </c>
      <c r="J1004" t="s">
        <v>79</v>
      </c>
      <c r="K1004" t="s">
        <v>80</v>
      </c>
      <c r="L1004" t="s">
        <v>72</v>
      </c>
      <c r="M1004" t="s">
        <v>72</v>
      </c>
      <c r="N1004" s="5"/>
      <c r="O1004" t="str">
        <f t="shared" si="15"/>
        <v/>
      </c>
    </row>
    <row r="1005" spans="1:15" x14ac:dyDescent="0.25">
      <c r="A1005" t="s">
        <v>5271</v>
      </c>
      <c r="B1005" t="s">
        <v>5272</v>
      </c>
      <c r="C1005" t="s">
        <v>1129</v>
      </c>
      <c r="D1005">
        <v>2025</v>
      </c>
      <c r="E1005" t="s">
        <v>56</v>
      </c>
      <c r="F1005" t="s">
        <v>57</v>
      </c>
      <c r="G1005" t="s">
        <v>859</v>
      </c>
      <c r="H1005" t="s">
        <v>5273</v>
      </c>
      <c r="I1005" t="s">
        <v>5274</v>
      </c>
      <c r="J1005" t="s">
        <v>79</v>
      </c>
      <c r="K1005" t="s">
        <v>80</v>
      </c>
      <c r="L1005" t="s">
        <v>72</v>
      </c>
      <c r="M1005" t="s">
        <v>72</v>
      </c>
      <c r="N1005" s="5"/>
      <c r="O1005" t="str">
        <f t="shared" si="15"/>
        <v/>
      </c>
    </row>
    <row r="1006" spans="1:15" x14ac:dyDescent="0.25">
      <c r="A1006" t="s">
        <v>5275</v>
      </c>
      <c r="B1006" t="s">
        <v>5276</v>
      </c>
      <c r="C1006" t="s">
        <v>5277</v>
      </c>
      <c r="D1006">
        <v>2025</v>
      </c>
      <c r="E1006" t="s">
        <v>56</v>
      </c>
      <c r="F1006" t="s">
        <v>57</v>
      </c>
      <c r="G1006" t="s">
        <v>5278</v>
      </c>
      <c r="H1006" t="s">
        <v>5279</v>
      </c>
      <c r="I1006" t="s">
        <v>5280</v>
      </c>
      <c r="J1006" t="s">
        <v>79</v>
      </c>
      <c r="K1006" t="s">
        <v>80</v>
      </c>
      <c r="L1006" t="s">
        <v>72</v>
      </c>
      <c r="M1006" t="s">
        <v>72</v>
      </c>
      <c r="N1006" s="5"/>
      <c r="O1006" t="str">
        <f t="shared" si="15"/>
        <v/>
      </c>
    </row>
    <row r="1007" spans="1:15" x14ac:dyDescent="0.25">
      <c r="A1007" t="s">
        <v>5281</v>
      </c>
      <c r="B1007" t="s">
        <v>5282</v>
      </c>
      <c r="C1007" t="s">
        <v>5262</v>
      </c>
      <c r="D1007">
        <v>2025</v>
      </c>
      <c r="E1007" t="s">
        <v>56</v>
      </c>
      <c r="F1007" t="s">
        <v>57</v>
      </c>
      <c r="G1007" t="s">
        <v>5283</v>
      </c>
      <c r="H1007" t="s">
        <v>5284</v>
      </c>
      <c r="I1007" t="s">
        <v>5285</v>
      </c>
      <c r="J1007" t="s">
        <v>71</v>
      </c>
      <c r="K1007" t="s">
        <v>18</v>
      </c>
      <c r="L1007" t="s">
        <v>72</v>
      </c>
      <c r="M1007" t="s">
        <v>72</v>
      </c>
      <c r="N1007" s="5"/>
      <c r="O1007" t="str">
        <f t="shared" si="15"/>
        <v/>
      </c>
    </row>
    <row r="1008" spans="1:15" x14ac:dyDescent="0.25">
      <c r="A1008" t="s">
        <v>5286</v>
      </c>
      <c r="B1008" t="s">
        <v>5287</v>
      </c>
      <c r="C1008" t="s">
        <v>571</v>
      </c>
      <c r="D1008">
        <v>2024</v>
      </c>
      <c r="E1008" t="s">
        <v>56</v>
      </c>
      <c r="F1008" t="s">
        <v>67</v>
      </c>
      <c r="G1008" t="s">
        <v>84</v>
      </c>
      <c r="H1008" t="s">
        <v>5288</v>
      </c>
      <c r="I1008" t="s">
        <v>5289</v>
      </c>
      <c r="J1008" t="s">
        <v>71</v>
      </c>
      <c r="K1008" t="s">
        <v>18</v>
      </c>
      <c r="L1008" t="s">
        <v>72</v>
      </c>
      <c r="M1008" t="s">
        <v>72</v>
      </c>
      <c r="N1008" s="5"/>
      <c r="O1008" t="str">
        <f t="shared" si="15"/>
        <v/>
      </c>
    </row>
    <row r="1009" spans="1:15" x14ac:dyDescent="0.25">
      <c r="A1009" t="s">
        <v>5290</v>
      </c>
      <c r="B1009" t="s">
        <v>5291</v>
      </c>
      <c r="C1009" t="s">
        <v>4454</v>
      </c>
      <c r="D1009">
        <v>2024</v>
      </c>
      <c r="E1009" t="s">
        <v>56</v>
      </c>
      <c r="F1009" t="s">
        <v>67</v>
      </c>
      <c r="G1009" t="s">
        <v>5292</v>
      </c>
      <c r="H1009" t="s">
        <v>5293</v>
      </c>
      <c r="I1009" t="s">
        <v>5294</v>
      </c>
      <c r="J1009" t="s">
        <v>98</v>
      </c>
      <c r="K1009" t="s">
        <v>99</v>
      </c>
      <c r="L1009" t="s">
        <v>63</v>
      </c>
      <c r="M1009" t="s">
        <v>72</v>
      </c>
      <c r="N1009" s="5"/>
      <c r="O1009" t="str">
        <f t="shared" si="15"/>
        <v/>
      </c>
    </row>
    <row r="1010" spans="1:15" x14ac:dyDescent="0.25">
      <c r="A1010" t="s">
        <v>5295</v>
      </c>
      <c r="B1010" t="s">
        <v>5296</v>
      </c>
      <c r="C1010" t="s">
        <v>5297</v>
      </c>
      <c r="D1010">
        <v>2024</v>
      </c>
      <c r="E1010" t="s">
        <v>56</v>
      </c>
      <c r="F1010" t="s">
        <v>67</v>
      </c>
      <c r="G1010" t="s">
        <v>679</v>
      </c>
      <c r="H1010" t="s">
        <v>5298</v>
      </c>
      <c r="I1010" t="s">
        <v>5299</v>
      </c>
      <c r="J1010" t="s">
        <v>98</v>
      </c>
      <c r="K1010" t="s">
        <v>99</v>
      </c>
      <c r="L1010" t="s">
        <v>63</v>
      </c>
      <c r="M1010" t="s">
        <v>72</v>
      </c>
      <c r="N1010" s="5"/>
      <c r="O1010" t="str">
        <f t="shared" si="15"/>
        <v/>
      </c>
    </row>
    <row r="1011" spans="1:15" x14ac:dyDescent="0.25">
      <c r="A1011" t="s">
        <v>5300</v>
      </c>
      <c r="B1011" t="s">
        <v>5301</v>
      </c>
      <c r="C1011" t="s">
        <v>5302</v>
      </c>
      <c r="D1011">
        <v>2024</v>
      </c>
      <c r="E1011" t="s">
        <v>56</v>
      </c>
      <c r="F1011" t="s">
        <v>67</v>
      </c>
      <c r="G1011" t="s">
        <v>5303</v>
      </c>
      <c r="H1011" t="s">
        <v>5304</v>
      </c>
      <c r="I1011" t="s">
        <v>5305</v>
      </c>
      <c r="J1011" t="s">
        <v>71</v>
      </c>
      <c r="K1011" t="s">
        <v>18</v>
      </c>
      <c r="L1011" t="s">
        <v>72</v>
      </c>
      <c r="M1011" t="s">
        <v>72</v>
      </c>
      <c r="N1011" s="5"/>
      <c r="O1011" t="str">
        <f t="shared" si="15"/>
        <v/>
      </c>
    </row>
    <row r="1012" spans="1:15" x14ac:dyDescent="0.25">
      <c r="A1012" t="s">
        <v>5306</v>
      </c>
      <c r="B1012" t="s">
        <v>5307</v>
      </c>
      <c r="C1012" t="s">
        <v>5308</v>
      </c>
      <c r="D1012">
        <v>2024</v>
      </c>
      <c r="E1012" t="s">
        <v>56</v>
      </c>
      <c r="F1012" t="s">
        <v>57</v>
      </c>
      <c r="G1012" t="s">
        <v>750</v>
      </c>
      <c r="H1012" t="s">
        <v>5309</v>
      </c>
      <c r="I1012" t="s">
        <v>5310</v>
      </c>
      <c r="J1012" t="s">
        <v>98</v>
      </c>
      <c r="K1012" t="s">
        <v>99</v>
      </c>
      <c r="L1012" t="s">
        <v>63</v>
      </c>
      <c r="M1012" t="s">
        <v>72</v>
      </c>
      <c r="N1012" s="5"/>
      <c r="O1012" t="str">
        <f t="shared" si="15"/>
        <v/>
      </c>
    </row>
    <row r="1013" spans="1:15" x14ac:dyDescent="0.25">
      <c r="A1013" t="s">
        <v>5311</v>
      </c>
      <c r="B1013" t="s">
        <v>5312</v>
      </c>
      <c r="C1013" t="s">
        <v>5313</v>
      </c>
      <c r="D1013">
        <v>2024</v>
      </c>
      <c r="E1013" t="s">
        <v>56</v>
      </c>
      <c r="F1013" t="s">
        <v>57</v>
      </c>
      <c r="G1013" t="s">
        <v>5314</v>
      </c>
      <c r="H1013" t="s">
        <v>5315</v>
      </c>
      <c r="I1013" t="s">
        <v>5316</v>
      </c>
      <c r="J1013" t="s">
        <v>61</v>
      </c>
      <c r="K1013" t="s">
        <v>62</v>
      </c>
      <c r="L1013" t="s">
        <v>63</v>
      </c>
      <c r="M1013" t="s">
        <v>63</v>
      </c>
      <c r="N1013" s="5"/>
      <c r="O1013" t="str">
        <f t="shared" si="15"/>
        <v/>
      </c>
    </row>
    <row r="1014" spans="1:15" x14ac:dyDescent="0.25">
      <c r="A1014" t="s">
        <v>5317</v>
      </c>
      <c r="B1014" t="s">
        <v>5318</v>
      </c>
      <c r="C1014" t="s">
        <v>5319</v>
      </c>
      <c r="D1014">
        <v>2024</v>
      </c>
      <c r="E1014" t="s">
        <v>56</v>
      </c>
      <c r="F1014" t="s">
        <v>57</v>
      </c>
      <c r="G1014" t="s">
        <v>739</v>
      </c>
      <c r="H1014" t="s">
        <v>5320</v>
      </c>
      <c r="I1014" t="s">
        <v>5321</v>
      </c>
      <c r="J1014" t="s">
        <v>98</v>
      </c>
      <c r="K1014" t="s">
        <v>99</v>
      </c>
      <c r="L1014" t="s">
        <v>63</v>
      </c>
      <c r="M1014" t="s">
        <v>72</v>
      </c>
      <c r="N1014" s="5"/>
      <c r="O1014" t="str">
        <f t="shared" si="15"/>
        <v/>
      </c>
    </row>
    <row r="1015" spans="1:15" x14ac:dyDescent="0.25">
      <c r="A1015" t="s">
        <v>5322</v>
      </c>
      <c r="B1015" t="s">
        <v>5323</v>
      </c>
      <c r="C1015" t="s">
        <v>4477</v>
      </c>
      <c r="D1015">
        <v>2024</v>
      </c>
      <c r="E1015" t="s">
        <v>56</v>
      </c>
      <c r="F1015" t="s">
        <v>57</v>
      </c>
      <c r="G1015" t="s">
        <v>1803</v>
      </c>
      <c r="H1015" t="s">
        <v>5324</v>
      </c>
      <c r="I1015" t="s">
        <v>5325</v>
      </c>
      <c r="J1015" t="s">
        <v>61</v>
      </c>
      <c r="K1015" t="s">
        <v>62</v>
      </c>
      <c r="L1015" t="s">
        <v>63</v>
      </c>
      <c r="M1015" t="s">
        <v>63</v>
      </c>
      <c r="N1015" s="5"/>
      <c r="O1015" t="str">
        <f t="shared" si="15"/>
        <v/>
      </c>
    </row>
    <row r="1016" spans="1:15" x14ac:dyDescent="0.25">
      <c r="A1016" t="s">
        <v>5326</v>
      </c>
      <c r="B1016" t="s">
        <v>5327</v>
      </c>
      <c r="C1016" t="s">
        <v>874</v>
      </c>
      <c r="D1016">
        <v>2024</v>
      </c>
      <c r="E1016" t="s">
        <v>56</v>
      </c>
      <c r="F1016" t="s">
        <v>67</v>
      </c>
      <c r="G1016" t="s">
        <v>5328</v>
      </c>
      <c r="H1016" t="s">
        <v>5329</v>
      </c>
      <c r="I1016" t="s">
        <v>5330</v>
      </c>
      <c r="J1016" t="s">
        <v>71</v>
      </c>
      <c r="K1016" t="s">
        <v>18</v>
      </c>
      <c r="L1016" t="s">
        <v>72</v>
      </c>
      <c r="M1016" t="s">
        <v>72</v>
      </c>
      <c r="N1016" s="5"/>
      <c r="O1016" t="str">
        <f t="shared" si="15"/>
        <v/>
      </c>
    </row>
    <row r="1017" spans="1:15" x14ac:dyDescent="0.25">
      <c r="A1017" t="s">
        <v>5331</v>
      </c>
      <c r="B1017" t="s">
        <v>5332</v>
      </c>
      <c r="C1017" t="s">
        <v>428</v>
      </c>
      <c r="D1017">
        <v>2024</v>
      </c>
      <c r="E1017" t="s">
        <v>56</v>
      </c>
      <c r="F1017" t="s">
        <v>67</v>
      </c>
      <c r="G1017" t="s">
        <v>5333</v>
      </c>
      <c r="H1017" t="s">
        <v>5334</v>
      </c>
      <c r="I1017" t="s">
        <v>5335</v>
      </c>
      <c r="J1017" t="s">
        <v>165</v>
      </c>
      <c r="K1017" t="s">
        <v>166</v>
      </c>
      <c r="L1017" t="s">
        <v>63</v>
      </c>
      <c r="M1017" t="s">
        <v>72</v>
      </c>
      <c r="N1017" s="5"/>
      <c r="O1017" t="str">
        <f t="shared" si="15"/>
        <v/>
      </c>
    </row>
    <row r="1018" spans="1:15" x14ac:dyDescent="0.25">
      <c r="A1018" t="s">
        <v>5336</v>
      </c>
      <c r="B1018" t="s">
        <v>5337</v>
      </c>
      <c r="C1018" t="s">
        <v>5338</v>
      </c>
      <c r="D1018">
        <v>2024</v>
      </c>
      <c r="E1018" t="s">
        <v>56</v>
      </c>
      <c r="F1018" t="s">
        <v>67</v>
      </c>
      <c r="G1018" t="s">
        <v>5339</v>
      </c>
      <c r="H1018" t="s">
        <v>5340</v>
      </c>
      <c r="I1018" t="s">
        <v>5341</v>
      </c>
      <c r="J1018" t="s">
        <v>87</v>
      </c>
      <c r="K1018" t="s">
        <v>19</v>
      </c>
      <c r="L1018" t="s">
        <v>72</v>
      </c>
      <c r="M1018" t="s">
        <v>72</v>
      </c>
      <c r="N1018" s="5"/>
      <c r="O1018" t="str">
        <f t="shared" si="15"/>
        <v/>
      </c>
    </row>
    <row r="1019" spans="1:15" x14ac:dyDescent="0.25">
      <c r="A1019" t="s">
        <v>5342</v>
      </c>
      <c r="B1019" t="s">
        <v>5343</v>
      </c>
      <c r="C1019" t="s">
        <v>117</v>
      </c>
      <c r="D1019">
        <v>2024</v>
      </c>
      <c r="E1019" t="s">
        <v>56</v>
      </c>
      <c r="F1019" t="s">
        <v>67</v>
      </c>
      <c r="G1019" t="s">
        <v>5344</v>
      </c>
      <c r="H1019" t="s">
        <v>5345</v>
      </c>
      <c r="I1019" t="s">
        <v>5346</v>
      </c>
      <c r="J1019" t="s">
        <v>71</v>
      </c>
      <c r="K1019" t="s">
        <v>18</v>
      </c>
      <c r="L1019" t="s">
        <v>72</v>
      </c>
      <c r="M1019" t="s">
        <v>72</v>
      </c>
      <c r="N1019" s="5"/>
      <c r="O1019" t="str">
        <f t="shared" si="15"/>
        <v/>
      </c>
    </row>
    <row r="1020" spans="1:15" x14ac:dyDescent="0.25">
      <c r="A1020" t="s">
        <v>5347</v>
      </c>
      <c r="B1020" t="s">
        <v>5348</v>
      </c>
      <c r="C1020" t="s">
        <v>5349</v>
      </c>
      <c r="D1020">
        <v>2024</v>
      </c>
      <c r="E1020" t="s">
        <v>56</v>
      </c>
      <c r="F1020" t="s">
        <v>57</v>
      </c>
      <c r="G1020" t="s">
        <v>302</v>
      </c>
      <c r="H1020" t="s">
        <v>5350</v>
      </c>
      <c r="I1020" t="s">
        <v>5351</v>
      </c>
      <c r="J1020" t="s">
        <v>165</v>
      </c>
      <c r="K1020" t="s">
        <v>166</v>
      </c>
      <c r="L1020" t="s">
        <v>63</v>
      </c>
      <c r="M1020" t="s">
        <v>72</v>
      </c>
      <c r="N1020" s="5"/>
      <c r="O1020" t="str">
        <f t="shared" si="15"/>
        <v/>
      </c>
    </row>
    <row r="1021" spans="1:15" x14ac:dyDescent="0.25">
      <c r="A1021" t="s">
        <v>5352</v>
      </c>
      <c r="B1021" t="s">
        <v>5353</v>
      </c>
      <c r="C1021" t="s">
        <v>5354</v>
      </c>
      <c r="D1021">
        <v>2024</v>
      </c>
      <c r="E1021" t="s">
        <v>56</v>
      </c>
      <c r="F1021" t="s">
        <v>67</v>
      </c>
      <c r="G1021" t="s">
        <v>2119</v>
      </c>
      <c r="H1021" t="s">
        <v>5355</v>
      </c>
      <c r="I1021" t="s">
        <v>5356</v>
      </c>
      <c r="J1021" t="s">
        <v>71</v>
      </c>
      <c r="K1021" t="s">
        <v>18</v>
      </c>
      <c r="L1021" t="s">
        <v>72</v>
      </c>
      <c r="M1021" t="s">
        <v>72</v>
      </c>
      <c r="N1021" s="5"/>
      <c r="O1021" t="str">
        <f t="shared" si="15"/>
        <v/>
      </c>
    </row>
    <row r="1022" spans="1:15" x14ac:dyDescent="0.25">
      <c r="A1022" t="s">
        <v>5357</v>
      </c>
      <c r="B1022" t="s">
        <v>5358</v>
      </c>
      <c r="C1022" t="s">
        <v>5359</v>
      </c>
      <c r="D1022">
        <v>2024</v>
      </c>
      <c r="E1022" t="s">
        <v>56</v>
      </c>
      <c r="F1022" t="s">
        <v>57</v>
      </c>
      <c r="G1022" t="s">
        <v>5360</v>
      </c>
      <c r="H1022" t="s">
        <v>5361</v>
      </c>
      <c r="I1022" t="s">
        <v>5362</v>
      </c>
      <c r="J1022" t="s">
        <v>79</v>
      </c>
      <c r="K1022" t="s">
        <v>80</v>
      </c>
      <c r="L1022" t="s">
        <v>72</v>
      </c>
      <c r="M1022" t="s">
        <v>72</v>
      </c>
      <c r="N1022" s="5"/>
      <c r="O1022" t="str">
        <f t="shared" si="15"/>
        <v/>
      </c>
    </row>
    <row r="1023" spans="1:15" x14ac:dyDescent="0.25">
      <c r="A1023" t="s">
        <v>5363</v>
      </c>
      <c r="B1023" t="s">
        <v>5364</v>
      </c>
      <c r="C1023" t="s">
        <v>5365</v>
      </c>
      <c r="D1023">
        <v>2024</v>
      </c>
      <c r="E1023" t="s">
        <v>56</v>
      </c>
      <c r="F1023" t="s">
        <v>57</v>
      </c>
      <c r="G1023" t="s">
        <v>5366</v>
      </c>
      <c r="H1023" t="s">
        <v>5367</v>
      </c>
      <c r="I1023" t="s">
        <v>5368</v>
      </c>
      <c r="J1023" t="s">
        <v>71</v>
      </c>
      <c r="K1023" t="s">
        <v>18</v>
      </c>
      <c r="L1023" t="s">
        <v>72</v>
      </c>
      <c r="M1023" t="s">
        <v>72</v>
      </c>
      <c r="N1023" s="5"/>
      <c r="O1023" t="str">
        <f t="shared" si="15"/>
        <v/>
      </c>
    </row>
    <row r="1024" spans="1:15" x14ac:dyDescent="0.25">
      <c r="A1024" t="s">
        <v>5369</v>
      </c>
      <c r="B1024" t="s">
        <v>5370</v>
      </c>
      <c r="C1024" t="s">
        <v>5371</v>
      </c>
      <c r="D1024">
        <v>2024</v>
      </c>
      <c r="E1024" t="s">
        <v>56</v>
      </c>
      <c r="F1024" t="s">
        <v>57</v>
      </c>
      <c r="G1024" t="s">
        <v>750</v>
      </c>
      <c r="H1024" t="s">
        <v>5372</v>
      </c>
      <c r="I1024" t="s">
        <v>5373</v>
      </c>
      <c r="J1024" t="s">
        <v>61</v>
      </c>
      <c r="K1024" t="s">
        <v>62</v>
      </c>
      <c r="L1024" t="s">
        <v>63</v>
      </c>
      <c r="M1024" t="s">
        <v>63</v>
      </c>
      <c r="N1024" s="5"/>
      <c r="O1024" t="str">
        <f t="shared" si="15"/>
        <v/>
      </c>
    </row>
    <row r="1025" spans="1:15" x14ac:dyDescent="0.25">
      <c r="A1025" t="s">
        <v>5374</v>
      </c>
      <c r="B1025" t="s">
        <v>5375</v>
      </c>
      <c r="C1025" t="s">
        <v>957</v>
      </c>
      <c r="D1025">
        <v>2024</v>
      </c>
      <c r="E1025" t="s">
        <v>56</v>
      </c>
      <c r="F1025" t="s">
        <v>57</v>
      </c>
      <c r="G1025" t="s">
        <v>2170</v>
      </c>
      <c r="H1025" t="s">
        <v>5376</v>
      </c>
      <c r="I1025" t="s">
        <v>5377</v>
      </c>
      <c r="J1025" t="s">
        <v>71</v>
      </c>
      <c r="K1025" t="s">
        <v>18</v>
      </c>
      <c r="L1025" t="s">
        <v>72</v>
      </c>
      <c r="M1025" t="s">
        <v>72</v>
      </c>
      <c r="N1025" s="5"/>
      <c r="O1025" t="str">
        <f t="shared" si="15"/>
        <v/>
      </c>
    </row>
    <row r="1026" spans="1:15" x14ac:dyDescent="0.25">
      <c r="A1026" t="s">
        <v>5378</v>
      </c>
      <c r="B1026" t="s">
        <v>5379</v>
      </c>
      <c r="C1026" t="s">
        <v>5380</v>
      </c>
      <c r="D1026">
        <v>2024</v>
      </c>
      <c r="E1026" t="s">
        <v>56</v>
      </c>
      <c r="F1026" t="s">
        <v>67</v>
      </c>
      <c r="G1026" t="s">
        <v>5381</v>
      </c>
      <c r="H1026" t="s">
        <v>5382</v>
      </c>
      <c r="I1026" t="s">
        <v>5383</v>
      </c>
      <c r="J1026" t="s">
        <v>71</v>
      </c>
      <c r="K1026" t="s">
        <v>18</v>
      </c>
      <c r="L1026" t="s">
        <v>72</v>
      </c>
      <c r="M1026" t="s">
        <v>72</v>
      </c>
      <c r="N1026" s="5"/>
      <c r="O1026" t="str">
        <f t="shared" ref="O1026:O1089" si="16">IF(N1026="","",IF(N1026=J1026,1,0))</f>
        <v/>
      </c>
    </row>
    <row r="1027" spans="1:15" x14ac:dyDescent="0.25">
      <c r="A1027" t="s">
        <v>5384</v>
      </c>
      <c r="B1027" t="s">
        <v>5385</v>
      </c>
      <c r="C1027" t="s">
        <v>5386</v>
      </c>
      <c r="D1027">
        <v>2024</v>
      </c>
      <c r="E1027" t="s">
        <v>56</v>
      </c>
      <c r="F1027" t="s">
        <v>67</v>
      </c>
      <c r="G1027" t="s">
        <v>5387</v>
      </c>
      <c r="H1027" t="s">
        <v>5388</v>
      </c>
      <c r="I1027" t="s">
        <v>5389</v>
      </c>
      <c r="J1027" t="s">
        <v>71</v>
      </c>
      <c r="K1027" t="s">
        <v>18</v>
      </c>
      <c r="L1027" t="s">
        <v>72</v>
      </c>
      <c r="M1027" t="s">
        <v>72</v>
      </c>
      <c r="N1027" s="5"/>
      <c r="O1027" t="str">
        <f t="shared" si="16"/>
        <v/>
      </c>
    </row>
    <row r="1028" spans="1:15" x14ac:dyDescent="0.25">
      <c r="A1028" t="s">
        <v>5390</v>
      </c>
      <c r="B1028" t="s">
        <v>5391</v>
      </c>
      <c r="C1028" t="s">
        <v>5392</v>
      </c>
      <c r="D1028">
        <v>2024</v>
      </c>
      <c r="E1028" t="s">
        <v>56</v>
      </c>
      <c r="F1028" t="s">
        <v>67</v>
      </c>
      <c r="G1028" t="s">
        <v>5393</v>
      </c>
      <c r="H1028" t="s">
        <v>5394</v>
      </c>
      <c r="I1028" t="s">
        <v>5395</v>
      </c>
      <c r="J1028" t="s">
        <v>71</v>
      </c>
      <c r="K1028" t="s">
        <v>18</v>
      </c>
      <c r="L1028" t="s">
        <v>72</v>
      </c>
      <c r="M1028" t="s">
        <v>72</v>
      </c>
      <c r="N1028" s="5"/>
      <c r="O1028" t="str">
        <f t="shared" si="16"/>
        <v/>
      </c>
    </row>
    <row r="1029" spans="1:15" x14ac:dyDescent="0.25">
      <c r="A1029" t="s">
        <v>5396</v>
      </c>
      <c r="B1029" t="s">
        <v>5397</v>
      </c>
      <c r="C1029" t="s">
        <v>5398</v>
      </c>
      <c r="D1029">
        <v>2024</v>
      </c>
      <c r="E1029" t="s">
        <v>56</v>
      </c>
      <c r="F1029" t="s">
        <v>67</v>
      </c>
      <c r="G1029" t="s">
        <v>5399</v>
      </c>
      <c r="H1029" t="s">
        <v>5394</v>
      </c>
      <c r="I1029" t="s">
        <v>5400</v>
      </c>
      <c r="J1029" t="s">
        <v>71</v>
      </c>
      <c r="K1029" t="s">
        <v>18</v>
      </c>
      <c r="L1029" t="s">
        <v>72</v>
      </c>
      <c r="M1029" t="s">
        <v>72</v>
      </c>
      <c r="N1029" s="5"/>
      <c r="O1029" t="str">
        <f t="shared" si="16"/>
        <v/>
      </c>
    </row>
    <row r="1030" spans="1:15" x14ac:dyDescent="0.25">
      <c r="A1030" t="s">
        <v>5401</v>
      </c>
      <c r="B1030" t="s">
        <v>5402</v>
      </c>
      <c r="C1030" t="s">
        <v>5403</v>
      </c>
      <c r="D1030">
        <v>2024</v>
      </c>
      <c r="E1030" t="s">
        <v>56</v>
      </c>
      <c r="F1030" t="s">
        <v>67</v>
      </c>
      <c r="G1030" t="s">
        <v>5404</v>
      </c>
      <c r="H1030" t="s">
        <v>5405</v>
      </c>
      <c r="I1030" t="s">
        <v>5406</v>
      </c>
      <c r="J1030" t="s">
        <v>71</v>
      </c>
      <c r="K1030" t="s">
        <v>18</v>
      </c>
      <c r="L1030" t="s">
        <v>72</v>
      </c>
      <c r="M1030" t="s">
        <v>72</v>
      </c>
      <c r="N1030" s="5"/>
      <c r="O1030" t="str">
        <f t="shared" si="16"/>
        <v/>
      </c>
    </row>
    <row r="1031" spans="1:15" x14ac:dyDescent="0.25">
      <c r="A1031" t="s">
        <v>5407</v>
      </c>
      <c r="B1031" t="s">
        <v>5408</v>
      </c>
      <c r="C1031" t="s">
        <v>1568</v>
      </c>
      <c r="D1031">
        <v>2024</v>
      </c>
      <c r="E1031" t="s">
        <v>56</v>
      </c>
      <c r="F1031" t="s">
        <v>57</v>
      </c>
      <c r="G1031" t="s">
        <v>5409</v>
      </c>
      <c r="H1031" t="s">
        <v>5410</v>
      </c>
      <c r="I1031" t="s">
        <v>5411</v>
      </c>
      <c r="J1031" t="s">
        <v>71</v>
      </c>
      <c r="K1031" t="s">
        <v>18</v>
      </c>
      <c r="L1031" t="s">
        <v>72</v>
      </c>
      <c r="M1031" t="s">
        <v>72</v>
      </c>
      <c r="N1031" s="5"/>
      <c r="O1031" t="str">
        <f t="shared" si="16"/>
        <v/>
      </c>
    </row>
    <row r="1032" spans="1:15" x14ac:dyDescent="0.25">
      <c r="A1032" t="s">
        <v>5412</v>
      </c>
      <c r="B1032" t="s">
        <v>5413</v>
      </c>
      <c r="C1032" t="s">
        <v>5414</v>
      </c>
      <c r="D1032">
        <v>2024</v>
      </c>
      <c r="E1032" t="s">
        <v>56</v>
      </c>
      <c r="F1032" t="s">
        <v>67</v>
      </c>
      <c r="G1032" t="s">
        <v>5415</v>
      </c>
      <c r="H1032" t="s">
        <v>5416</v>
      </c>
      <c r="I1032" t="s">
        <v>5417</v>
      </c>
      <c r="J1032" t="s">
        <v>71</v>
      </c>
      <c r="K1032" t="s">
        <v>18</v>
      </c>
      <c r="L1032" t="s">
        <v>72</v>
      </c>
      <c r="M1032" t="s">
        <v>72</v>
      </c>
      <c r="N1032" s="5"/>
      <c r="O1032" t="str">
        <f t="shared" si="16"/>
        <v/>
      </c>
    </row>
    <row r="1033" spans="1:15" x14ac:dyDescent="0.25">
      <c r="A1033" t="s">
        <v>5418</v>
      </c>
      <c r="B1033" t="s">
        <v>5419</v>
      </c>
      <c r="C1033" t="s">
        <v>2944</v>
      </c>
      <c r="D1033">
        <v>2024</v>
      </c>
      <c r="E1033" t="s">
        <v>56</v>
      </c>
      <c r="F1033" t="s">
        <v>57</v>
      </c>
      <c r="G1033" t="s">
        <v>134</v>
      </c>
      <c r="H1033" t="s">
        <v>5420</v>
      </c>
      <c r="I1033" t="s">
        <v>5421</v>
      </c>
      <c r="J1033" t="s">
        <v>87</v>
      </c>
      <c r="K1033" t="s">
        <v>19</v>
      </c>
      <c r="L1033" t="s">
        <v>72</v>
      </c>
      <c r="M1033" t="s">
        <v>72</v>
      </c>
      <c r="N1033" s="5"/>
      <c r="O1033" t="str">
        <f t="shared" si="16"/>
        <v/>
      </c>
    </row>
    <row r="1034" spans="1:15" x14ac:dyDescent="0.25">
      <c r="A1034" t="s">
        <v>5422</v>
      </c>
      <c r="B1034" t="s">
        <v>5423</v>
      </c>
      <c r="C1034" t="s">
        <v>5424</v>
      </c>
      <c r="D1034">
        <v>2024</v>
      </c>
      <c r="E1034" t="s">
        <v>56</v>
      </c>
      <c r="F1034" t="s">
        <v>67</v>
      </c>
      <c r="G1034" t="s">
        <v>3288</v>
      </c>
      <c r="H1034" t="s">
        <v>5425</v>
      </c>
      <c r="I1034" t="s">
        <v>5426</v>
      </c>
      <c r="J1034" t="s">
        <v>71</v>
      </c>
      <c r="K1034" t="s">
        <v>18</v>
      </c>
      <c r="L1034" t="s">
        <v>72</v>
      </c>
      <c r="M1034" t="s">
        <v>72</v>
      </c>
      <c r="N1034" s="5"/>
      <c r="O1034" t="str">
        <f t="shared" si="16"/>
        <v/>
      </c>
    </row>
    <row r="1035" spans="1:15" x14ac:dyDescent="0.25">
      <c r="A1035" t="s">
        <v>5427</v>
      </c>
      <c r="B1035" t="s">
        <v>5428</v>
      </c>
      <c r="C1035" t="s">
        <v>5429</v>
      </c>
      <c r="D1035">
        <v>2024</v>
      </c>
      <c r="E1035" t="s">
        <v>56</v>
      </c>
      <c r="F1035" t="s">
        <v>57</v>
      </c>
      <c r="G1035" t="s">
        <v>5430</v>
      </c>
      <c r="H1035" t="s">
        <v>5431</v>
      </c>
      <c r="I1035" t="s">
        <v>5432</v>
      </c>
      <c r="J1035" t="s">
        <v>87</v>
      </c>
      <c r="K1035" t="s">
        <v>19</v>
      </c>
      <c r="L1035" t="s">
        <v>72</v>
      </c>
      <c r="M1035" t="s">
        <v>72</v>
      </c>
      <c r="N1035" s="5"/>
      <c r="O1035" t="str">
        <f t="shared" si="16"/>
        <v/>
      </c>
    </row>
    <row r="1036" spans="1:15" x14ac:dyDescent="0.25">
      <c r="A1036" t="s">
        <v>5433</v>
      </c>
      <c r="B1036" t="s">
        <v>5434</v>
      </c>
      <c r="C1036" t="s">
        <v>5435</v>
      </c>
      <c r="D1036">
        <v>2024</v>
      </c>
      <c r="E1036" t="s">
        <v>56</v>
      </c>
      <c r="F1036" t="s">
        <v>57</v>
      </c>
      <c r="G1036" t="s">
        <v>766</v>
      </c>
      <c r="H1036" t="s">
        <v>5436</v>
      </c>
      <c r="I1036" t="s">
        <v>5437</v>
      </c>
      <c r="J1036" t="s">
        <v>61</v>
      </c>
      <c r="K1036" t="s">
        <v>62</v>
      </c>
      <c r="L1036" t="s">
        <v>63</v>
      </c>
      <c r="M1036" t="s">
        <v>63</v>
      </c>
      <c r="N1036" s="5"/>
      <c r="O1036" t="str">
        <f t="shared" si="16"/>
        <v/>
      </c>
    </row>
    <row r="1037" spans="1:15" x14ac:dyDescent="0.25">
      <c r="A1037" t="s">
        <v>5438</v>
      </c>
      <c r="B1037" t="s">
        <v>5439</v>
      </c>
      <c r="C1037" t="s">
        <v>4380</v>
      </c>
      <c r="D1037">
        <v>2024</v>
      </c>
      <c r="E1037" t="s">
        <v>56</v>
      </c>
      <c r="F1037" t="s">
        <v>67</v>
      </c>
      <c r="G1037" t="s">
        <v>2990</v>
      </c>
      <c r="H1037" t="s">
        <v>5440</v>
      </c>
      <c r="I1037" t="s">
        <v>5441</v>
      </c>
      <c r="J1037" t="s">
        <v>165</v>
      </c>
      <c r="K1037" t="s">
        <v>166</v>
      </c>
      <c r="L1037" t="s">
        <v>63</v>
      </c>
      <c r="M1037" t="s">
        <v>72</v>
      </c>
      <c r="N1037" s="5"/>
      <c r="O1037" t="str">
        <f t="shared" si="16"/>
        <v/>
      </c>
    </row>
    <row r="1038" spans="1:15" x14ac:dyDescent="0.25">
      <c r="A1038" t="s">
        <v>5442</v>
      </c>
      <c r="B1038" t="s">
        <v>5443</v>
      </c>
      <c r="C1038" t="s">
        <v>793</v>
      </c>
      <c r="D1038">
        <v>2024</v>
      </c>
      <c r="E1038" t="s">
        <v>56</v>
      </c>
      <c r="F1038" t="s">
        <v>57</v>
      </c>
      <c r="G1038" t="s">
        <v>1971</v>
      </c>
      <c r="H1038" t="s">
        <v>5444</v>
      </c>
      <c r="I1038" t="s">
        <v>5445</v>
      </c>
      <c r="J1038" t="s">
        <v>71</v>
      </c>
      <c r="K1038" t="s">
        <v>18</v>
      </c>
      <c r="L1038" t="s">
        <v>72</v>
      </c>
      <c r="M1038" t="s">
        <v>72</v>
      </c>
      <c r="N1038" s="5"/>
      <c r="O1038" t="str">
        <f t="shared" si="16"/>
        <v/>
      </c>
    </row>
    <row r="1039" spans="1:15" x14ac:dyDescent="0.25">
      <c r="A1039" t="s">
        <v>5446</v>
      </c>
      <c r="B1039" t="s">
        <v>5447</v>
      </c>
      <c r="C1039" t="s">
        <v>1123</v>
      </c>
      <c r="D1039">
        <v>2024</v>
      </c>
      <c r="E1039" t="s">
        <v>56</v>
      </c>
      <c r="F1039" t="s">
        <v>67</v>
      </c>
      <c r="G1039" t="s">
        <v>5448</v>
      </c>
      <c r="H1039" t="s">
        <v>5449</v>
      </c>
      <c r="I1039" t="s">
        <v>5450</v>
      </c>
      <c r="J1039" t="s">
        <v>71</v>
      </c>
      <c r="K1039" t="s">
        <v>18</v>
      </c>
      <c r="L1039" t="s">
        <v>72</v>
      </c>
      <c r="M1039" t="s">
        <v>72</v>
      </c>
      <c r="N1039" s="5"/>
      <c r="O1039" t="str">
        <f t="shared" si="16"/>
        <v/>
      </c>
    </row>
    <row r="1040" spans="1:15" x14ac:dyDescent="0.25">
      <c r="A1040" t="s">
        <v>5451</v>
      </c>
      <c r="B1040" t="s">
        <v>5452</v>
      </c>
      <c r="C1040" t="s">
        <v>5453</v>
      </c>
      <c r="D1040">
        <v>2024</v>
      </c>
      <c r="E1040" t="s">
        <v>56</v>
      </c>
      <c r="F1040" t="s">
        <v>67</v>
      </c>
      <c r="G1040" t="s">
        <v>188</v>
      </c>
      <c r="H1040" t="s">
        <v>5454</v>
      </c>
      <c r="I1040" t="s">
        <v>5455</v>
      </c>
      <c r="J1040" t="s">
        <v>87</v>
      </c>
      <c r="K1040" t="s">
        <v>19</v>
      </c>
      <c r="L1040" t="s">
        <v>72</v>
      </c>
      <c r="M1040" t="s">
        <v>72</v>
      </c>
      <c r="N1040" s="5"/>
      <c r="O1040" t="str">
        <f t="shared" si="16"/>
        <v/>
      </c>
    </row>
    <row r="1041" spans="1:15" x14ac:dyDescent="0.25">
      <c r="A1041" t="s">
        <v>5456</v>
      </c>
      <c r="B1041" t="s">
        <v>5457</v>
      </c>
      <c r="C1041" t="s">
        <v>589</v>
      </c>
      <c r="D1041">
        <v>2024</v>
      </c>
      <c r="E1041" t="s">
        <v>56</v>
      </c>
      <c r="F1041" t="s">
        <v>67</v>
      </c>
      <c r="G1041" t="s">
        <v>5458</v>
      </c>
      <c r="H1041" t="s">
        <v>5459</v>
      </c>
      <c r="I1041" t="s">
        <v>5460</v>
      </c>
      <c r="J1041" t="s">
        <v>71</v>
      </c>
      <c r="K1041" t="s">
        <v>18</v>
      </c>
      <c r="L1041" t="s">
        <v>72</v>
      </c>
      <c r="M1041" t="s">
        <v>72</v>
      </c>
      <c r="N1041" s="5"/>
      <c r="O1041" t="str">
        <f t="shared" si="16"/>
        <v/>
      </c>
    </row>
    <row r="1042" spans="1:15" x14ac:dyDescent="0.25">
      <c r="A1042" t="s">
        <v>5461</v>
      </c>
      <c r="B1042" t="s">
        <v>5462</v>
      </c>
      <c r="C1042" t="s">
        <v>5231</v>
      </c>
      <c r="D1042">
        <v>2024</v>
      </c>
      <c r="E1042" t="s">
        <v>56</v>
      </c>
      <c r="F1042" t="s">
        <v>67</v>
      </c>
      <c r="G1042" t="s">
        <v>2990</v>
      </c>
      <c r="H1042" t="s">
        <v>5463</v>
      </c>
      <c r="I1042" t="s">
        <v>5464</v>
      </c>
      <c r="J1042" t="s">
        <v>98</v>
      </c>
      <c r="K1042" t="s">
        <v>99</v>
      </c>
      <c r="L1042" t="s">
        <v>63</v>
      </c>
      <c r="M1042" t="s">
        <v>72</v>
      </c>
      <c r="N1042" s="5"/>
      <c r="O1042" t="str">
        <f t="shared" si="16"/>
        <v/>
      </c>
    </row>
    <row r="1043" spans="1:15" x14ac:dyDescent="0.25">
      <c r="A1043" t="s">
        <v>5465</v>
      </c>
      <c r="B1043" t="s">
        <v>5466</v>
      </c>
      <c r="C1043" t="s">
        <v>815</v>
      </c>
      <c r="D1043">
        <v>2024</v>
      </c>
      <c r="E1043" t="s">
        <v>56</v>
      </c>
      <c r="F1043" t="s">
        <v>67</v>
      </c>
      <c r="G1043" t="s">
        <v>5467</v>
      </c>
      <c r="H1043" t="s">
        <v>5468</v>
      </c>
      <c r="I1043" t="s">
        <v>5469</v>
      </c>
      <c r="J1043" t="s">
        <v>71</v>
      </c>
      <c r="K1043" t="s">
        <v>18</v>
      </c>
      <c r="L1043" t="s">
        <v>72</v>
      </c>
      <c r="M1043" t="s">
        <v>72</v>
      </c>
      <c r="N1043" s="5"/>
      <c r="O1043" t="str">
        <f t="shared" si="16"/>
        <v/>
      </c>
    </row>
    <row r="1044" spans="1:15" x14ac:dyDescent="0.25">
      <c r="A1044" t="s">
        <v>5470</v>
      </c>
      <c r="B1044" t="s">
        <v>5471</v>
      </c>
      <c r="C1044" t="s">
        <v>2676</v>
      </c>
      <c r="D1044">
        <v>2024</v>
      </c>
      <c r="E1044" t="s">
        <v>56</v>
      </c>
      <c r="F1044" t="s">
        <v>67</v>
      </c>
      <c r="G1044" t="s">
        <v>5472</v>
      </c>
      <c r="H1044" t="s">
        <v>5473</v>
      </c>
      <c r="I1044" t="s">
        <v>5474</v>
      </c>
      <c r="J1044" t="s">
        <v>71</v>
      </c>
      <c r="K1044" t="s">
        <v>18</v>
      </c>
      <c r="L1044" t="s">
        <v>72</v>
      </c>
      <c r="M1044" t="s">
        <v>72</v>
      </c>
      <c r="N1044" s="5"/>
      <c r="O1044" t="str">
        <f t="shared" si="16"/>
        <v/>
      </c>
    </row>
    <row r="1045" spans="1:15" x14ac:dyDescent="0.25">
      <c r="A1045" t="s">
        <v>5475</v>
      </c>
      <c r="B1045" t="s">
        <v>5476</v>
      </c>
      <c r="C1045" t="s">
        <v>5477</v>
      </c>
      <c r="D1045">
        <v>2024</v>
      </c>
      <c r="E1045" t="s">
        <v>56</v>
      </c>
      <c r="F1045" t="s">
        <v>67</v>
      </c>
      <c r="G1045" t="s">
        <v>5478</v>
      </c>
      <c r="H1045" t="s">
        <v>5479</v>
      </c>
      <c r="I1045" t="s">
        <v>5480</v>
      </c>
      <c r="J1045" t="s">
        <v>71</v>
      </c>
      <c r="K1045" t="s">
        <v>18</v>
      </c>
      <c r="L1045" t="s">
        <v>72</v>
      </c>
      <c r="M1045" t="s">
        <v>72</v>
      </c>
      <c r="N1045" s="5"/>
      <c r="O1045" t="str">
        <f t="shared" si="16"/>
        <v/>
      </c>
    </row>
    <row r="1046" spans="1:15" x14ac:dyDescent="0.25">
      <c r="A1046" t="s">
        <v>5481</v>
      </c>
      <c r="B1046" t="s">
        <v>5482</v>
      </c>
      <c r="C1046" t="s">
        <v>5483</v>
      </c>
      <c r="D1046">
        <v>2024</v>
      </c>
      <c r="E1046" t="s">
        <v>56</v>
      </c>
      <c r="F1046" t="s">
        <v>67</v>
      </c>
      <c r="G1046" t="s">
        <v>5484</v>
      </c>
      <c r="H1046" t="s">
        <v>5485</v>
      </c>
      <c r="I1046" t="s">
        <v>5486</v>
      </c>
      <c r="J1046" t="s">
        <v>71</v>
      </c>
      <c r="K1046" t="s">
        <v>18</v>
      </c>
      <c r="L1046" t="s">
        <v>72</v>
      </c>
      <c r="M1046" t="s">
        <v>72</v>
      </c>
      <c r="N1046" s="5"/>
      <c r="O1046" t="str">
        <f t="shared" si="16"/>
        <v/>
      </c>
    </row>
    <row r="1047" spans="1:15" x14ac:dyDescent="0.25">
      <c r="A1047" t="s">
        <v>5487</v>
      </c>
      <c r="B1047" t="s">
        <v>5488</v>
      </c>
      <c r="C1047" t="s">
        <v>1364</v>
      </c>
      <c r="D1047">
        <v>2024</v>
      </c>
      <c r="E1047" t="s">
        <v>56</v>
      </c>
      <c r="F1047" t="s">
        <v>57</v>
      </c>
      <c r="G1047" t="s">
        <v>4027</v>
      </c>
      <c r="H1047" t="s">
        <v>5489</v>
      </c>
      <c r="I1047" t="s">
        <v>5490</v>
      </c>
      <c r="J1047" t="s">
        <v>98</v>
      </c>
      <c r="K1047" t="s">
        <v>99</v>
      </c>
      <c r="L1047" t="s">
        <v>63</v>
      </c>
      <c r="M1047" t="s">
        <v>72</v>
      </c>
      <c r="N1047" s="5"/>
      <c r="O1047" t="str">
        <f t="shared" si="16"/>
        <v/>
      </c>
    </row>
    <row r="1048" spans="1:15" x14ac:dyDescent="0.25">
      <c r="A1048" t="s">
        <v>5491</v>
      </c>
      <c r="B1048" t="s">
        <v>5492</v>
      </c>
      <c r="C1048" t="s">
        <v>5493</v>
      </c>
      <c r="D1048">
        <v>2024</v>
      </c>
      <c r="E1048" t="s">
        <v>56</v>
      </c>
      <c r="F1048" t="s">
        <v>67</v>
      </c>
      <c r="G1048" t="s">
        <v>5494</v>
      </c>
      <c r="H1048" t="s">
        <v>5495</v>
      </c>
      <c r="I1048" t="s">
        <v>5496</v>
      </c>
      <c r="J1048" t="s">
        <v>79</v>
      </c>
      <c r="K1048" t="s">
        <v>80</v>
      </c>
      <c r="L1048" t="s">
        <v>72</v>
      </c>
      <c r="M1048" t="s">
        <v>72</v>
      </c>
      <c r="N1048" s="5"/>
      <c r="O1048" t="str">
        <f t="shared" si="16"/>
        <v/>
      </c>
    </row>
    <row r="1049" spans="1:15" x14ac:dyDescent="0.25">
      <c r="A1049" t="s">
        <v>5497</v>
      </c>
      <c r="B1049" t="s">
        <v>5498</v>
      </c>
      <c r="C1049" t="s">
        <v>5499</v>
      </c>
      <c r="D1049">
        <v>2024</v>
      </c>
      <c r="E1049" t="s">
        <v>56</v>
      </c>
      <c r="F1049" t="s">
        <v>67</v>
      </c>
      <c r="G1049" t="s">
        <v>151</v>
      </c>
      <c r="H1049" t="s">
        <v>5500</v>
      </c>
      <c r="I1049" t="s">
        <v>5501</v>
      </c>
      <c r="J1049" t="s">
        <v>87</v>
      </c>
      <c r="K1049" t="s">
        <v>19</v>
      </c>
      <c r="L1049" t="s">
        <v>72</v>
      </c>
      <c r="M1049" t="s">
        <v>72</v>
      </c>
      <c r="N1049" s="5"/>
      <c r="O1049" t="str">
        <f t="shared" si="16"/>
        <v/>
      </c>
    </row>
    <row r="1050" spans="1:15" x14ac:dyDescent="0.25">
      <c r="A1050" t="s">
        <v>5502</v>
      </c>
      <c r="B1050" t="s">
        <v>5503</v>
      </c>
      <c r="C1050" t="s">
        <v>5504</v>
      </c>
      <c r="D1050">
        <v>2024</v>
      </c>
      <c r="E1050" t="s">
        <v>56</v>
      </c>
      <c r="F1050" t="s">
        <v>57</v>
      </c>
      <c r="G1050" t="s">
        <v>1102</v>
      </c>
      <c r="H1050" t="s">
        <v>5505</v>
      </c>
      <c r="I1050" t="s">
        <v>5506</v>
      </c>
      <c r="J1050" t="s">
        <v>79</v>
      </c>
      <c r="K1050" t="s">
        <v>80</v>
      </c>
      <c r="L1050" t="s">
        <v>72</v>
      </c>
      <c r="M1050" t="s">
        <v>72</v>
      </c>
      <c r="N1050" s="5"/>
      <c r="O1050" t="str">
        <f t="shared" si="16"/>
        <v/>
      </c>
    </row>
    <row r="1051" spans="1:15" x14ac:dyDescent="0.25">
      <c r="A1051" t="s">
        <v>5507</v>
      </c>
      <c r="B1051" t="s">
        <v>5508</v>
      </c>
      <c r="C1051" t="s">
        <v>5509</v>
      </c>
      <c r="D1051">
        <v>2024</v>
      </c>
      <c r="E1051" t="s">
        <v>56</v>
      </c>
      <c r="F1051" t="s">
        <v>67</v>
      </c>
      <c r="G1051" t="s">
        <v>5510</v>
      </c>
      <c r="H1051" t="s">
        <v>5511</v>
      </c>
      <c r="I1051" t="s">
        <v>5512</v>
      </c>
      <c r="J1051" t="s">
        <v>87</v>
      </c>
      <c r="K1051" t="s">
        <v>19</v>
      </c>
      <c r="L1051" t="s">
        <v>72</v>
      </c>
      <c r="M1051" t="s">
        <v>72</v>
      </c>
      <c r="N1051" s="5"/>
      <c r="O1051" t="str">
        <f t="shared" si="16"/>
        <v/>
      </c>
    </row>
    <row r="1052" spans="1:15" x14ac:dyDescent="0.25">
      <c r="A1052" t="s">
        <v>5513</v>
      </c>
      <c r="B1052" t="s">
        <v>5514</v>
      </c>
      <c r="C1052" t="s">
        <v>5515</v>
      </c>
      <c r="D1052">
        <v>2024</v>
      </c>
      <c r="E1052" t="s">
        <v>56</v>
      </c>
      <c r="F1052" t="s">
        <v>67</v>
      </c>
      <c r="G1052" t="s">
        <v>5516</v>
      </c>
      <c r="H1052" t="s">
        <v>5517</v>
      </c>
      <c r="I1052" t="s">
        <v>5518</v>
      </c>
      <c r="J1052" t="s">
        <v>71</v>
      </c>
      <c r="K1052" t="s">
        <v>18</v>
      </c>
      <c r="L1052" t="s">
        <v>72</v>
      </c>
      <c r="M1052" t="s">
        <v>72</v>
      </c>
      <c r="N1052" s="5"/>
      <c r="O1052" t="str">
        <f t="shared" si="16"/>
        <v/>
      </c>
    </row>
    <row r="1053" spans="1:15" x14ac:dyDescent="0.25">
      <c r="A1053" t="s">
        <v>5519</v>
      </c>
      <c r="B1053" t="s">
        <v>5520</v>
      </c>
      <c r="C1053" t="s">
        <v>5521</v>
      </c>
      <c r="D1053">
        <v>2024</v>
      </c>
      <c r="E1053" t="s">
        <v>56</v>
      </c>
      <c r="F1053" t="s">
        <v>67</v>
      </c>
      <c r="G1053" t="s">
        <v>5522</v>
      </c>
      <c r="H1053" t="s">
        <v>5523</v>
      </c>
      <c r="I1053" t="s">
        <v>5524</v>
      </c>
      <c r="J1053" t="s">
        <v>71</v>
      </c>
      <c r="K1053" t="s">
        <v>18</v>
      </c>
      <c r="L1053" t="s">
        <v>72</v>
      </c>
      <c r="M1053" t="s">
        <v>72</v>
      </c>
      <c r="N1053" s="5"/>
      <c r="O1053" t="str">
        <f t="shared" si="16"/>
        <v/>
      </c>
    </row>
    <row r="1054" spans="1:15" x14ac:dyDescent="0.25">
      <c r="A1054" t="s">
        <v>5525</v>
      </c>
      <c r="B1054" t="s">
        <v>5526</v>
      </c>
      <c r="C1054" t="s">
        <v>5527</v>
      </c>
      <c r="D1054">
        <v>2024</v>
      </c>
      <c r="E1054" t="s">
        <v>56</v>
      </c>
      <c r="F1054" t="s">
        <v>67</v>
      </c>
      <c r="G1054" t="s">
        <v>5528</v>
      </c>
      <c r="H1054" t="s">
        <v>5529</v>
      </c>
      <c r="I1054" t="s">
        <v>5530</v>
      </c>
      <c r="J1054" t="s">
        <v>71</v>
      </c>
      <c r="K1054" t="s">
        <v>18</v>
      </c>
      <c r="L1054" t="s">
        <v>72</v>
      </c>
      <c r="M1054" t="s">
        <v>72</v>
      </c>
      <c r="N1054" s="5"/>
      <c r="O1054" t="str">
        <f t="shared" si="16"/>
        <v/>
      </c>
    </row>
    <row r="1055" spans="1:15" x14ac:dyDescent="0.25">
      <c r="A1055" t="s">
        <v>5531</v>
      </c>
      <c r="B1055" t="s">
        <v>5532</v>
      </c>
      <c r="C1055" t="s">
        <v>5533</v>
      </c>
      <c r="D1055">
        <v>2024</v>
      </c>
      <c r="E1055" t="s">
        <v>56</v>
      </c>
      <c r="F1055" t="s">
        <v>67</v>
      </c>
      <c r="G1055" t="s">
        <v>5534</v>
      </c>
      <c r="H1055" t="s">
        <v>5535</v>
      </c>
      <c r="I1055" t="s">
        <v>5536</v>
      </c>
      <c r="J1055" t="s">
        <v>87</v>
      </c>
      <c r="K1055" t="s">
        <v>19</v>
      </c>
      <c r="L1055" t="s">
        <v>72</v>
      </c>
      <c r="M1055" t="s">
        <v>72</v>
      </c>
      <c r="N1055" s="5"/>
      <c r="O1055" t="str">
        <f t="shared" si="16"/>
        <v/>
      </c>
    </row>
    <row r="1056" spans="1:15" x14ac:dyDescent="0.25">
      <c r="A1056" t="s">
        <v>5537</v>
      </c>
      <c r="B1056" t="s">
        <v>5538</v>
      </c>
      <c r="C1056" t="s">
        <v>95</v>
      </c>
      <c r="D1056">
        <v>2024</v>
      </c>
      <c r="E1056" t="s">
        <v>56</v>
      </c>
      <c r="F1056" t="s">
        <v>67</v>
      </c>
      <c r="G1056" t="s">
        <v>5539</v>
      </c>
      <c r="H1056" t="s">
        <v>5540</v>
      </c>
      <c r="I1056" t="s">
        <v>5541</v>
      </c>
      <c r="J1056" t="s">
        <v>71</v>
      </c>
      <c r="K1056" t="s">
        <v>18</v>
      </c>
      <c r="L1056" t="s">
        <v>72</v>
      </c>
      <c r="M1056" t="s">
        <v>72</v>
      </c>
      <c r="N1056" s="5"/>
      <c r="O1056" t="str">
        <f t="shared" si="16"/>
        <v/>
      </c>
    </row>
    <row r="1057" spans="1:15" x14ac:dyDescent="0.25">
      <c r="A1057" t="s">
        <v>5542</v>
      </c>
      <c r="B1057" t="s">
        <v>5543</v>
      </c>
      <c r="C1057" t="s">
        <v>5544</v>
      </c>
      <c r="D1057">
        <v>2024</v>
      </c>
      <c r="E1057" t="s">
        <v>56</v>
      </c>
      <c r="F1057" t="s">
        <v>57</v>
      </c>
      <c r="G1057" t="s">
        <v>5366</v>
      </c>
      <c r="H1057" t="s">
        <v>5545</v>
      </c>
      <c r="I1057" t="s">
        <v>5546</v>
      </c>
      <c r="J1057" t="s">
        <v>79</v>
      </c>
      <c r="K1057" t="s">
        <v>80</v>
      </c>
      <c r="L1057" t="s">
        <v>72</v>
      </c>
      <c r="M1057" t="s">
        <v>72</v>
      </c>
      <c r="N1057" s="5"/>
      <c r="O1057" t="str">
        <f t="shared" si="16"/>
        <v/>
      </c>
    </row>
    <row r="1058" spans="1:15" x14ac:dyDescent="0.25">
      <c r="A1058" t="s">
        <v>5547</v>
      </c>
      <c r="B1058" t="s">
        <v>5548</v>
      </c>
      <c r="C1058" t="s">
        <v>5549</v>
      </c>
      <c r="D1058">
        <v>2024</v>
      </c>
      <c r="E1058" t="s">
        <v>56</v>
      </c>
      <c r="F1058" t="s">
        <v>67</v>
      </c>
      <c r="G1058" t="s">
        <v>5539</v>
      </c>
      <c r="H1058" t="s">
        <v>5550</v>
      </c>
      <c r="I1058" t="s">
        <v>5551</v>
      </c>
      <c r="J1058" t="s">
        <v>79</v>
      </c>
      <c r="K1058" t="s">
        <v>80</v>
      </c>
      <c r="L1058" t="s">
        <v>72</v>
      </c>
      <c r="M1058" t="s">
        <v>72</v>
      </c>
      <c r="N1058" s="5"/>
      <c r="O1058" t="str">
        <f t="shared" si="16"/>
        <v/>
      </c>
    </row>
    <row r="1059" spans="1:15" x14ac:dyDescent="0.25">
      <c r="A1059" t="s">
        <v>5552</v>
      </c>
      <c r="B1059" t="s">
        <v>5553</v>
      </c>
      <c r="C1059" t="s">
        <v>5554</v>
      </c>
      <c r="D1059">
        <v>2024</v>
      </c>
      <c r="E1059" t="s">
        <v>56</v>
      </c>
      <c r="F1059" t="s">
        <v>57</v>
      </c>
      <c r="G1059" t="s">
        <v>3710</v>
      </c>
      <c r="H1059" t="s">
        <v>5555</v>
      </c>
      <c r="I1059" t="s">
        <v>5556</v>
      </c>
      <c r="J1059" t="s">
        <v>79</v>
      </c>
      <c r="K1059" t="s">
        <v>80</v>
      </c>
      <c r="L1059" t="s">
        <v>72</v>
      </c>
      <c r="M1059" t="s">
        <v>72</v>
      </c>
      <c r="N1059" s="5"/>
      <c r="O1059" t="str">
        <f t="shared" si="16"/>
        <v/>
      </c>
    </row>
    <row r="1060" spans="1:15" x14ac:dyDescent="0.25">
      <c r="A1060" t="s">
        <v>5557</v>
      </c>
      <c r="B1060" t="s">
        <v>5558</v>
      </c>
      <c r="C1060" t="s">
        <v>962</v>
      </c>
      <c r="D1060">
        <v>2024</v>
      </c>
      <c r="E1060" t="s">
        <v>56</v>
      </c>
      <c r="F1060" t="s">
        <v>67</v>
      </c>
      <c r="G1060" t="s">
        <v>1130</v>
      </c>
      <c r="H1060" t="s">
        <v>5559</v>
      </c>
      <c r="I1060" t="s">
        <v>5560</v>
      </c>
      <c r="J1060" t="s">
        <v>71</v>
      </c>
      <c r="K1060" t="s">
        <v>18</v>
      </c>
      <c r="L1060" t="s">
        <v>72</v>
      </c>
      <c r="M1060" t="s">
        <v>72</v>
      </c>
      <c r="N1060" s="5"/>
      <c r="O1060" t="str">
        <f t="shared" si="16"/>
        <v/>
      </c>
    </row>
    <row r="1061" spans="1:15" x14ac:dyDescent="0.25">
      <c r="A1061" t="s">
        <v>5561</v>
      </c>
      <c r="B1061" t="s">
        <v>5562</v>
      </c>
      <c r="C1061" t="s">
        <v>5563</v>
      </c>
      <c r="D1061">
        <v>2024</v>
      </c>
      <c r="E1061" t="s">
        <v>56</v>
      </c>
      <c r="F1061" t="s">
        <v>57</v>
      </c>
      <c r="G1061" t="s">
        <v>412</v>
      </c>
      <c r="H1061" t="s">
        <v>5564</v>
      </c>
      <c r="I1061" t="s">
        <v>5565</v>
      </c>
      <c r="J1061" t="s">
        <v>79</v>
      </c>
      <c r="K1061" t="s">
        <v>80</v>
      </c>
      <c r="L1061" t="s">
        <v>72</v>
      </c>
      <c r="M1061" t="s">
        <v>72</v>
      </c>
      <c r="N1061" s="5"/>
      <c r="O1061" t="str">
        <f t="shared" si="16"/>
        <v/>
      </c>
    </row>
    <row r="1062" spans="1:15" x14ac:dyDescent="0.25">
      <c r="A1062" t="s">
        <v>5566</v>
      </c>
      <c r="B1062" t="s">
        <v>5567</v>
      </c>
      <c r="C1062" t="s">
        <v>5568</v>
      </c>
      <c r="D1062">
        <v>2024</v>
      </c>
      <c r="E1062" t="s">
        <v>56</v>
      </c>
      <c r="F1062" t="s">
        <v>67</v>
      </c>
      <c r="G1062" t="s">
        <v>5569</v>
      </c>
      <c r="H1062" t="s">
        <v>5570</v>
      </c>
      <c r="I1062" t="s">
        <v>5571</v>
      </c>
      <c r="J1062" t="s">
        <v>71</v>
      </c>
      <c r="K1062" t="s">
        <v>18</v>
      </c>
      <c r="L1062" t="s">
        <v>72</v>
      </c>
      <c r="M1062" t="s">
        <v>72</v>
      </c>
      <c r="N1062" s="5"/>
      <c r="O1062" t="str">
        <f t="shared" si="16"/>
        <v/>
      </c>
    </row>
    <row r="1063" spans="1:15" x14ac:dyDescent="0.25">
      <c r="A1063" t="s">
        <v>5572</v>
      </c>
      <c r="B1063" t="s">
        <v>5573</v>
      </c>
      <c r="C1063" t="s">
        <v>5574</v>
      </c>
      <c r="D1063">
        <v>2024</v>
      </c>
      <c r="E1063" t="s">
        <v>56</v>
      </c>
      <c r="F1063" t="s">
        <v>67</v>
      </c>
      <c r="G1063" t="s">
        <v>5575</v>
      </c>
      <c r="H1063" t="s">
        <v>5576</v>
      </c>
      <c r="I1063" t="s">
        <v>5577</v>
      </c>
      <c r="J1063" t="s">
        <v>87</v>
      </c>
      <c r="K1063" t="s">
        <v>19</v>
      </c>
      <c r="L1063" t="s">
        <v>72</v>
      </c>
      <c r="M1063" t="s">
        <v>72</v>
      </c>
      <c r="N1063" s="5"/>
      <c r="O1063" t="str">
        <f t="shared" si="16"/>
        <v/>
      </c>
    </row>
    <row r="1064" spans="1:15" x14ac:dyDescent="0.25">
      <c r="A1064" t="s">
        <v>5578</v>
      </c>
      <c r="B1064" t="s">
        <v>5579</v>
      </c>
      <c r="C1064" t="s">
        <v>5580</v>
      </c>
      <c r="D1064">
        <v>2024</v>
      </c>
      <c r="E1064" t="s">
        <v>56</v>
      </c>
      <c r="F1064" t="s">
        <v>67</v>
      </c>
      <c r="G1064" t="s">
        <v>5581</v>
      </c>
      <c r="H1064" t="s">
        <v>5582</v>
      </c>
      <c r="I1064" t="s">
        <v>5583</v>
      </c>
      <c r="J1064" t="s">
        <v>71</v>
      </c>
      <c r="K1064" t="s">
        <v>18</v>
      </c>
      <c r="L1064" t="s">
        <v>72</v>
      </c>
      <c r="M1064" t="s">
        <v>72</v>
      </c>
      <c r="N1064" s="5"/>
      <c r="O1064" t="str">
        <f t="shared" si="16"/>
        <v/>
      </c>
    </row>
    <row r="1065" spans="1:15" x14ac:dyDescent="0.25">
      <c r="A1065" t="s">
        <v>5584</v>
      </c>
      <c r="B1065" t="s">
        <v>5585</v>
      </c>
      <c r="C1065" t="s">
        <v>5586</v>
      </c>
      <c r="D1065">
        <v>2024</v>
      </c>
      <c r="E1065" t="s">
        <v>56</v>
      </c>
      <c r="F1065" t="s">
        <v>57</v>
      </c>
      <c r="G1065" t="s">
        <v>5587</v>
      </c>
      <c r="H1065" t="s">
        <v>5588</v>
      </c>
      <c r="I1065" t="s">
        <v>5589</v>
      </c>
      <c r="J1065" t="s">
        <v>79</v>
      </c>
      <c r="K1065" t="s">
        <v>80</v>
      </c>
      <c r="L1065" t="s">
        <v>72</v>
      </c>
      <c r="M1065" t="s">
        <v>72</v>
      </c>
      <c r="N1065" s="5"/>
      <c r="O1065" t="str">
        <f t="shared" si="16"/>
        <v/>
      </c>
    </row>
    <row r="1066" spans="1:15" x14ac:dyDescent="0.25">
      <c r="A1066" t="s">
        <v>5590</v>
      </c>
      <c r="B1066" t="s">
        <v>5591</v>
      </c>
      <c r="C1066" t="s">
        <v>5586</v>
      </c>
      <c r="D1066">
        <v>2024</v>
      </c>
      <c r="E1066" t="s">
        <v>56</v>
      </c>
      <c r="F1066" t="s">
        <v>57</v>
      </c>
      <c r="G1066" t="s">
        <v>5592</v>
      </c>
      <c r="H1066" t="s">
        <v>5588</v>
      </c>
      <c r="I1066" t="s">
        <v>5593</v>
      </c>
      <c r="J1066" t="s">
        <v>79</v>
      </c>
      <c r="K1066" t="s">
        <v>80</v>
      </c>
      <c r="L1066" t="s">
        <v>72</v>
      </c>
      <c r="M1066" t="s">
        <v>72</v>
      </c>
      <c r="N1066" s="5"/>
      <c r="O1066" t="str">
        <f t="shared" si="16"/>
        <v/>
      </c>
    </row>
    <row r="1067" spans="1:15" x14ac:dyDescent="0.25">
      <c r="A1067" t="s">
        <v>5594</v>
      </c>
      <c r="B1067" t="s">
        <v>5595</v>
      </c>
      <c r="C1067" t="s">
        <v>117</v>
      </c>
      <c r="D1067">
        <v>2024</v>
      </c>
      <c r="E1067" t="s">
        <v>56</v>
      </c>
      <c r="F1067" t="s">
        <v>67</v>
      </c>
      <c r="G1067" t="s">
        <v>5596</v>
      </c>
      <c r="H1067" t="s">
        <v>5597</v>
      </c>
      <c r="I1067" t="s">
        <v>5598</v>
      </c>
      <c r="J1067" t="s">
        <v>87</v>
      </c>
      <c r="K1067" t="s">
        <v>19</v>
      </c>
      <c r="L1067" t="s">
        <v>72</v>
      </c>
      <c r="M1067" t="s">
        <v>72</v>
      </c>
      <c r="N1067" s="5"/>
      <c r="O1067" t="str">
        <f t="shared" si="16"/>
        <v/>
      </c>
    </row>
    <row r="1068" spans="1:15" x14ac:dyDescent="0.25">
      <c r="A1068" t="s">
        <v>5599</v>
      </c>
      <c r="B1068" t="s">
        <v>5600</v>
      </c>
      <c r="C1068" t="s">
        <v>5601</v>
      </c>
      <c r="D1068">
        <v>2024</v>
      </c>
      <c r="E1068" t="s">
        <v>56</v>
      </c>
      <c r="F1068" t="s">
        <v>67</v>
      </c>
      <c r="G1068" t="s">
        <v>188</v>
      </c>
      <c r="H1068" t="s">
        <v>5602</v>
      </c>
      <c r="I1068" t="s">
        <v>5603</v>
      </c>
      <c r="J1068" t="s">
        <v>71</v>
      </c>
      <c r="K1068" t="s">
        <v>18</v>
      </c>
      <c r="L1068" t="s">
        <v>72</v>
      </c>
      <c r="M1068" t="s">
        <v>72</v>
      </c>
      <c r="N1068" s="5"/>
      <c r="O1068" t="str">
        <f t="shared" si="16"/>
        <v/>
      </c>
    </row>
    <row r="1069" spans="1:15" x14ac:dyDescent="0.25">
      <c r="A1069" t="s">
        <v>5604</v>
      </c>
      <c r="B1069" t="s">
        <v>5605</v>
      </c>
      <c r="C1069" t="s">
        <v>5606</v>
      </c>
      <c r="D1069">
        <v>2024</v>
      </c>
      <c r="E1069" t="s">
        <v>56</v>
      </c>
      <c r="F1069" t="s">
        <v>67</v>
      </c>
      <c r="G1069" t="s">
        <v>5607</v>
      </c>
      <c r="H1069" t="s">
        <v>5608</v>
      </c>
      <c r="I1069" t="s">
        <v>5609</v>
      </c>
      <c r="J1069" t="s">
        <v>87</v>
      </c>
      <c r="K1069" t="s">
        <v>19</v>
      </c>
      <c r="L1069" t="s">
        <v>72</v>
      </c>
      <c r="M1069" t="s">
        <v>72</v>
      </c>
      <c r="N1069" s="5"/>
      <c r="O1069" t="str">
        <f t="shared" si="16"/>
        <v/>
      </c>
    </row>
    <row r="1070" spans="1:15" x14ac:dyDescent="0.25">
      <c r="A1070" t="s">
        <v>5610</v>
      </c>
      <c r="B1070" t="s">
        <v>5611</v>
      </c>
      <c r="C1070" t="s">
        <v>5612</v>
      </c>
      <c r="D1070">
        <v>2024</v>
      </c>
      <c r="E1070" t="s">
        <v>56</v>
      </c>
      <c r="F1070" t="s">
        <v>57</v>
      </c>
      <c r="G1070" t="s">
        <v>5613</v>
      </c>
      <c r="H1070" t="s">
        <v>5614</v>
      </c>
      <c r="I1070" t="s">
        <v>5615</v>
      </c>
      <c r="J1070" t="s">
        <v>87</v>
      </c>
      <c r="K1070" t="s">
        <v>19</v>
      </c>
      <c r="L1070" t="s">
        <v>72</v>
      </c>
      <c r="M1070" t="s">
        <v>72</v>
      </c>
      <c r="N1070" s="5"/>
      <c r="O1070" t="str">
        <f t="shared" si="16"/>
        <v/>
      </c>
    </row>
    <row r="1071" spans="1:15" x14ac:dyDescent="0.25">
      <c r="A1071" t="s">
        <v>5616</v>
      </c>
      <c r="B1071" t="s">
        <v>5617</v>
      </c>
      <c r="C1071" t="s">
        <v>3535</v>
      </c>
      <c r="D1071">
        <v>2024</v>
      </c>
      <c r="E1071" t="s">
        <v>56</v>
      </c>
      <c r="F1071" t="s">
        <v>67</v>
      </c>
      <c r="G1071" t="s">
        <v>3288</v>
      </c>
      <c r="H1071" t="s">
        <v>5618</v>
      </c>
      <c r="I1071" t="s">
        <v>5619</v>
      </c>
      <c r="J1071" t="s">
        <v>98</v>
      </c>
      <c r="K1071" t="s">
        <v>99</v>
      </c>
      <c r="L1071" t="s">
        <v>63</v>
      </c>
      <c r="M1071" t="s">
        <v>72</v>
      </c>
      <c r="N1071" s="5"/>
      <c r="O1071" t="str">
        <f t="shared" si="16"/>
        <v/>
      </c>
    </row>
    <row r="1072" spans="1:15" x14ac:dyDescent="0.25">
      <c r="A1072" t="s">
        <v>5620</v>
      </c>
      <c r="B1072" t="s">
        <v>5621</v>
      </c>
      <c r="C1072" t="s">
        <v>5622</v>
      </c>
      <c r="D1072">
        <v>2024</v>
      </c>
      <c r="E1072" t="s">
        <v>56</v>
      </c>
      <c r="F1072" t="s">
        <v>57</v>
      </c>
      <c r="G1072" t="s">
        <v>5623</v>
      </c>
      <c r="H1072" t="s">
        <v>5624</v>
      </c>
      <c r="I1072" t="s">
        <v>5625</v>
      </c>
      <c r="J1072" t="s">
        <v>79</v>
      </c>
      <c r="K1072" t="s">
        <v>80</v>
      </c>
      <c r="L1072" t="s">
        <v>72</v>
      </c>
      <c r="M1072" t="s">
        <v>72</v>
      </c>
      <c r="N1072" s="5"/>
      <c r="O1072" t="str">
        <f t="shared" si="16"/>
        <v/>
      </c>
    </row>
    <row r="1073" spans="1:15" x14ac:dyDescent="0.25">
      <c r="A1073" t="s">
        <v>5626</v>
      </c>
      <c r="B1073" t="s">
        <v>5627</v>
      </c>
      <c r="C1073" t="s">
        <v>5628</v>
      </c>
      <c r="D1073">
        <v>2024</v>
      </c>
      <c r="E1073" t="s">
        <v>56</v>
      </c>
      <c r="F1073" t="s">
        <v>67</v>
      </c>
      <c r="G1073" t="s">
        <v>5629</v>
      </c>
      <c r="H1073" t="s">
        <v>5630</v>
      </c>
      <c r="I1073" t="s">
        <v>5631</v>
      </c>
      <c r="J1073" t="s">
        <v>71</v>
      </c>
      <c r="K1073" t="s">
        <v>18</v>
      </c>
      <c r="L1073" t="s">
        <v>72</v>
      </c>
      <c r="M1073" t="s">
        <v>72</v>
      </c>
      <c r="N1073" s="5"/>
      <c r="O1073" t="str">
        <f t="shared" si="16"/>
        <v/>
      </c>
    </row>
    <row r="1074" spans="1:15" x14ac:dyDescent="0.25">
      <c r="A1074" t="s">
        <v>5632</v>
      </c>
      <c r="B1074" t="s">
        <v>5633</v>
      </c>
      <c r="C1074" t="s">
        <v>5634</v>
      </c>
      <c r="D1074">
        <v>2024</v>
      </c>
      <c r="E1074" t="s">
        <v>56</v>
      </c>
      <c r="F1074" t="s">
        <v>57</v>
      </c>
      <c r="G1074" t="s">
        <v>5635</v>
      </c>
      <c r="H1074" t="s">
        <v>5636</v>
      </c>
      <c r="I1074" t="s">
        <v>5637</v>
      </c>
      <c r="J1074" t="s">
        <v>79</v>
      </c>
      <c r="K1074" t="s">
        <v>80</v>
      </c>
      <c r="L1074" t="s">
        <v>72</v>
      </c>
      <c r="M1074" t="s">
        <v>72</v>
      </c>
      <c r="N1074" s="5"/>
      <c r="O1074" t="str">
        <f t="shared" si="16"/>
        <v/>
      </c>
    </row>
    <row r="1075" spans="1:15" x14ac:dyDescent="0.25">
      <c r="A1075" t="s">
        <v>5638</v>
      </c>
      <c r="B1075" t="s">
        <v>5639</v>
      </c>
      <c r="C1075" t="s">
        <v>5640</v>
      </c>
      <c r="D1075">
        <v>2024</v>
      </c>
      <c r="E1075" t="s">
        <v>56</v>
      </c>
      <c r="F1075" t="s">
        <v>57</v>
      </c>
      <c r="G1075" t="s">
        <v>5641</v>
      </c>
      <c r="H1075" t="s">
        <v>5642</v>
      </c>
      <c r="I1075" t="s">
        <v>5643</v>
      </c>
      <c r="J1075" t="s">
        <v>79</v>
      </c>
      <c r="K1075" t="s">
        <v>80</v>
      </c>
      <c r="L1075" t="s">
        <v>72</v>
      </c>
      <c r="M1075" t="s">
        <v>72</v>
      </c>
      <c r="N1075" s="5"/>
      <c r="O1075" t="str">
        <f t="shared" si="16"/>
        <v/>
      </c>
    </row>
    <row r="1076" spans="1:15" x14ac:dyDescent="0.25">
      <c r="A1076" t="s">
        <v>5644</v>
      </c>
      <c r="B1076" t="s">
        <v>5645</v>
      </c>
      <c r="C1076" t="s">
        <v>117</v>
      </c>
      <c r="D1076">
        <v>2024</v>
      </c>
      <c r="E1076" t="s">
        <v>56</v>
      </c>
      <c r="F1076" t="s">
        <v>57</v>
      </c>
      <c r="G1076" t="s">
        <v>379</v>
      </c>
      <c r="H1076" t="s">
        <v>5646</v>
      </c>
      <c r="I1076" t="s">
        <v>5647</v>
      </c>
      <c r="J1076" t="s">
        <v>71</v>
      </c>
      <c r="K1076" t="s">
        <v>18</v>
      </c>
      <c r="L1076" t="s">
        <v>72</v>
      </c>
      <c r="M1076" t="s">
        <v>72</v>
      </c>
      <c r="N1076" s="5"/>
      <c r="O1076" t="str">
        <f t="shared" si="16"/>
        <v/>
      </c>
    </row>
    <row r="1077" spans="1:15" x14ac:dyDescent="0.25">
      <c r="A1077" t="s">
        <v>5648</v>
      </c>
      <c r="B1077" t="s">
        <v>5649</v>
      </c>
      <c r="C1077" t="s">
        <v>5650</v>
      </c>
      <c r="D1077">
        <v>2024</v>
      </c>
      <c r="E1077" t="s">
        <v>56</v>
      </c>
      <c r="F1077" t="s">
        <v>57</v>
      </c>
      <c r="G1077" t="s">
        <v>134</v>
      </c>
      <c r="H1077" t="s">
        <v>5651</v>
      </c>
      <c r="I1077" t="s">
        <v>5652</v>
      </c>
      <c r="J1077" t="s">
        <v>87</v>
      </c>
      <c r="K1077" t="s">
        <v>19</v>
      </c>
      <c r="L1077" t="s">
        <v>72</v>
      </c>
      <c r="M1077" t="s">
        <v>72</v>
      </c>
      <c r="N1077" s="5"/>
      <c r="O1077" t="str">
        <f t="shared" si="16"/>
        <v/>
      </c>
    </row>
    <row r="1078" spans="1:15" x14ac:dyDescent="0.25">
      <c r="A1078" t="s">
        <v>5653</v>
      </c>
      <c r="B1078" t="s">
        <v>5654</v>
      </c>
      <c r="C1078" t="s">
        <v>144</v>
      </c>
      <c r="D1078">
        <v>2024</v>
      </c>
      <c r="E1078" t="s">
        <v>56</v>
      </c>
      <c r="F1078" t="s">
        <v>67</v>
      </c>
      <c r="G1078" t="s">
        <v>84</v>
      </c>
      <c r="H1078" t="s">
        <v>5655</v>
      </c>
      <c r="I1078" t="s">
        <v>5656</v>
      </c>
      <c r="J1078" t="s">
        <v>87</v>
      </c>
      <c r="K1078" t="s">
        <v>19</v>
      </c>
      <c r="L1078" t="s">
        <v>72</v>
      </c>
      <c r="M1078" t="s">
        <v>72</v>
      </c>
      <c r="N1078" s="5"/>
      <c r="O1078" t="str">
        <f t="shared" si="16"/>
        <v/>
      </c>
    </row>
    <row r="1079" spans="1:15" x14ac:dyDescent="0.25">
      <c r="A1079" t="s">
        <v>5657</v>
      </c>
      <c r="B1079" t="s">
        <v>5658</v>
      </c>
      <c r="C1079" t="s">
        <v>95</v>
      </c>
      <c r="D1079">
        <v>2024</v>
      </c>
      <c r="E1079" t="s">
        <v>56</v>
      </c>
      <c r="F1079" t="s">
        <v>67</v>
      </c>
      <c r="G1079" t="s">
        <v>5472</v>
      </c>
      <c r="H1079" t="s">
        <v>5659</v>
      </c>
      <c r="I1079" t="s">
        <v>5660</v>
      </c>
      <c r="J1079" t="s">
        <v>71</v>
      </c>
      <c r="K1079" t="s">
        <v>18</v>
      </c>
      <c r="L1079" t="s">
        <v>72</v>
      </c>
      <c r="M1079" t="s">
        <v>72</v>
      </c>
      <c r="N1079" s="5"/>
      <c r="O1079" t="str">
        <f t="shared" si="16"/>
        <v/>
      </c>
    </row>
    <row r="1080" spans="1:15" x14ac:dyDescent="0.25">
      <c r="A1080" t="s">
        <v>5661</v>
      </c>
      <c r="B1080" t="s">
        <v>5662</v>
      </c>
      <c r="C1080" t="s">
        <v>1181</v>
      </c>
      <c r="D1080">
        <v>2024</v>
      </c>
      <c r="E1080" t="s">
        <v>56</v>
      </c>
      <c r="F1080" t="s">
        <v>67</v>
      </c>
      <c r="G1080" t="s">
        <v>5663</v>
      </c>
      <c r="H1080" t="s">
        <v>5664</v>
      </c>
      <c r="I1080" t="s">
        <v>5665</v>
      </c>
      <c r="J1080" t="s">
        <v>87</v>
      </c>
      <c r="K1080" t="s">
        <v>19</v>
      </c>
      <c r="L1080" t="s">
        <v>72</v>
      </c>
      <c r="M1080" t="s">
        <v>72</v>
      </c>
      <c r="N1080" s="5"/>
      <c r="O1080" t="str">
        <f t="shared" si="16"/>
        <v/>
      </c>
    </row>
    <row r="1081" spans="1:15" x14ac:dyDescent="0.25">
      <c r="A1081" t="s">
        <v>5666</v>
      </c>
      <c r="B1081" t="s">
        <v>5667</v>
      </c>
      <c r="C1081" t="s">
        <v>5668</v>
      </c>
      <c r="D1081">
        <v>2024</v>
      </c>
      <c r="E1081" t="s">
        <v>56</v>
      </c>
      <c r="F1081" t="s">
        <v>57</v>
      </c>
      <c r="G1081" t="s">
        <v>5669</v>
      </c>
      <c r="H1081" t="s">
        <v>5670</v>
      </c>
      <c r="I1081" t="s">
        <v>5671</v>
      </c>
      <c r="J1081" t="s">
        <v>71</v>
      </c>
      <c r="K1081" t="s">
        <v>18</v>
      </c>
      <c r="L1081" t="s">
        <v>72</v>
      </c>
      <c r="M1081" t="s">
        <v>72</v>
      </c>
      <c r="N1081" s="5"/>
      <c r="O1081" t="str">
        <f t="shared" si="16"/>
        <v/>
      </c>
    </row>
    <row r="1082" spans="1:15" x14ac:dyDescent="0.25">
      <c r="A1082" t="s">
        <v>5672</v>
      </c>
      <c r="B1082" t="s">
        <v>5673</v>
      </c>
      <c r="C1082" t="s">
        <v>5674</v>
      </c>
      <c r="D1082">
        <v>2024</v>
      </c>
      <c r="E1082" t="s">
        <v>56</v>
      </c>
      <c r="F1082" t="s">
        <v>67</v>
      </c>
      <c r="G1082" t="s">
        <v>84</v>
      </c>
      <c r="H1082" t="s">
        <v>5675</v>
      </c>
      <c r="I1082" t="s">
        <v>5676</v>
      </c>
      <c r="J1082" t="s">
        <v>71</v>
      </c>
      <c r="K1082" t="s">
        <v>18</v>
      </c>
      <c r="L1082" t="s">
        <v>72</v>
      </c>
      <c r="M1082" t="s">
        <v>72</v>
      </c>
      <c r="N1082" s="5"/>
      <c r="O1082" t="str">
        <f t="shared" si="16"/>
        <v/>
      </c>
    </row>
    <row r="1083" spans="1:15" x14ac:dyDescent="0.25">
      <c r="A1083" t="s">
        <v>5677</v>
      </c>
      <c r="B1083" t="s">
        <v>5678</v>
      </c>
      <c r="C1083" t="s">
        <v>428</v>
      </c>
      <c r="D1083">
        <v>2024</v>
      </c>
      <c r="E1083" t="s">
        <v>56</v>
      </c>
      <c r="F1083" t="s">
        <v>67</v>
      </c>
      <c r="G1083" t="s">
        <v>5679</v>
      </c>
      <c r="H1083" t="s">
        <v>5680</v>
      </c>
      <c r="I1083" t="s">
        <v>5681</v>
      </c>
      <c r="J1083" t="s">
        <v>71</v>
      </c>
      <c r="K1083" t="s">
        <v>18</v>
      </c>
      <c r="L1083" t="s">
        <v>72</v>
      </c>
      <c r="M1083" t="s">
        <v>72</v>
      </c>
      <c r="N1083" s="5"/>
      <c r="O1083" t="str">
        <f t="shared" si="16"/>
        <v/>
      </c>
    </row>
    <row r="1084" spans="1:15" x14ac:dyDescent="0.25">
      <c r="A1084" t="s">
        <v>5682</v>
      </c>
      <c r="B1084" t="s">
        <v>5683</v>
      </c>
      <c r="C1084" t="s">
        <v>5684</v>
      </c>
      <c r="D1084">
        <v>2024</v>
      </c>
      <c r="E1084" t="s">
        <v>56</v>
      </c>
      <c r="F1084" t="s">
        <v>67</v>
      </c>
      <c r="G1084" t="s">
        <v>3288</v>
      </c>
      <c r="H1084" t="s">
        <v>5685</v>
      </c>
      <c r="I1084" t="s">
        <v>5686</v>
      </c>
      <c r="J1084" t="s">
        <v>71</v>
      </c>
      <c r="K1084" t="s">
        <v>18</v>
      </c>
      <c r="L1084" t="s">
        <v>72</v>
      </c>
      <c r="M1084" t="s">
        <v>72</v>
      </c>
      <c r="N1084" s="5"/>
      <c r="O1084" t="str">
        <f t="shared" si="16"/>
        <v/>
      </c>
    </row>
    <row r="1085" spans="1:15" x14ac:dyDescent="0.25">
      <c r="A1085" t="s">
        <v>5687</v>
      </c>
      <c r="B1085" t="s">
        <v>5688</v>
      </c>
      <c r="C1085" t="s">
        <v>5689</v>
      </c>
      <c r="D1085">
        <v>2024</v>
      </c>
      <c r="E1085" t="s">
        <v>56</v>
      </c>
      <c r="F1085" t="s">
        <v>57</v>
      </c>
      <c r="G1085" t="s">
        <v>702</v>
      </c>
      <c r="H1085" t="s">
        <v>5690</v>
      </c>
      <c r="I1085" t="s">
        <v>5691</v>
      </c>
      <c r="J1085" t="s">
        <v>98</v>
      </c>
      <c r="K1085" t="s">
        <v>99</v>
      </c>
      <c r="L1085" t="s">
        <v>63</v>
      </c>
      <c r="M1085" t="s">
        <v>72</v>
      </c>
      <c r="N1085" s="5"/>
      <c r="O1085" t="str">
        <f t="shared" si="16"/>
        <v/>
      </c>
    </row>
    <row r="1086" spans="1:15" x14ac:dyDescent="0.25">
      <c r="A1086" t="s">
        <v>5692</v>
      </c>
      <c r="B1086" t="s">
        <v>5693</v>
      </c>
      <c r="C1086" t="s">
        <v>139</v>
      </c>
      <c r="D1086">
        <v>2024</v>
      </c>
      <c r="E1086" t="s">
        <v>56</v>
      </c>
      <c r="F1086" t="s">
        <v>57</v>
      </c>
      <c r="G1086" t="s">
        <v>5694</v>
      </c>
      <c r="H1086" t="s">
        <v>5695</v>
      </c>
      <c r="I1086" t="s">
        <v>5696</v>
      </c>
      <c r="J1086" t="s">
        <v>87</v>
      </c>
      <c r="K1086" t="s">
        <v>19</v>
      </c>
      <c r="L1086" t="s">
        <v>72</v>
      </c>
      <c r="M1086" t="s">
        <v>72</v>
      </c>
      <c r="N1086" s="5"/>
      <c r="O1086" t="str">
        <f t="shared" si="16"/>
        <v/>
      </c>
    </row>
    <row r="1087" spans="1:15" x14ac:dyDescent="0.25">
      <c r="A1087" t="s">
        <v>5697</v>
      </c>
      <c r="B1087" t="s">
        <v>5698</v>
      </c>
      <c r="C1087" t="s">
        <v>1459</v>
      </c>
      <c r="D1087">
        <v>2024</v>
      </c>
      <c r="E1087" t="s">
        <v>56</v>
      </c>
      <c r="F1087" t="s">
        <v>67</v>
      </c>
      <c r="G1087" t="s">
        <v>5699</v>
      </c>
      <c r="H1087" t="s">
        <v>5700</v>
      </c>
      <c r="I1087" t="s">
        <v>5701</v>
      </c>
      <c r="J1087" t="s">
        <v>71</v>
      </c>
      <c r="K1087" t="s">
        <v>18</v>
      </c>
      <c r="L1087" t="s">
        <v>72</v>
      </c>
      <c r="M1087" t="s">
        <v>72</v>
      </c>
      <c r="N1087" s="5"/>
      <c r="O1087" t="str">
        <f t="shared" si="16"/>
        <v/>
      </c>
    </row>
    <row r="1088" spans="1:15" x14ac:dyDescent="0.25">
      <c r="A1088" t="s">
        <v>5702</v>
      </c>
      <c r="B1088" t="s">
        <v>5703</v>
      </c>
      <c r="C1088" t="s">
        <v>5704</v>
      </c>
      <c r="D1088">
        <v>2024</v>
      </c>
      <c r="E1088" t="s">
        <v>56</v>
      </c>
      <c r="F1088" t="s">
        <v>57</v>
      </c>
      <c r="G1088" t="s">
        <v>5705</v>
      </c>
      <c r="H1088" t="s">
        <v>5706</v>
      </c>
      <c r="I1088" t="s">
        <v>5707</v>
      </c>
      <c r="J1088" t="s">
        <v>61</v>
      </c>
      <c r="K1088" t="s">
        <v>62</v>
      </c>
      <c r="L1088" t="s">
        <v>63</v>
      </c>
      <c r="M1088" t="s">
        <v>63</v>
      </c>
      <c r="N1088" s="5"/>
      <c r="O1088" t="str">
        <f t="shared" si="16"/>
        <v/>
      </c>
    </row>
    <row r="1089" spans="1:15" x14ac:dyDescent="0.25">
      <c r="A1089" t="s">
        <v>5708</v>
      </c>
      <c r="B1089" t="s">
        <v>5709</v>
      </c>
      <c r="C1089" t="s">
        <v>5710</v>
      </c>
      <c r="D1089">
        <v>2024</v>
      </c>
      <c r="E1089" t="s">
        <v>56</v>
      </c>
      <c r="F1089" t="s">
        <v>67</v>
      </c>
      <c r="G1089" t="s">
        <v>5711</v>
      </c>
      <c r="H1089" t="s">
        <v>5712</v>
      </c>
      <c r="I1089" t="s">
        <v>5713</v>
      </c>
      <c r="J1089" t="s">
        <v>71</v>
      </c>
      <c r="K1089" t="s">
        <v>18</v>
      </c>
      <c r="L1089" t="s">
        <v>72</v>
      </c>
      <c r="M1089" t="s">
        <v>72</v>
      </c>
      <c r="N1089" s="5"/>
      <c r="O1089" t="str">
        <f t="shared" si="16"/>
        <v/>
      </c>
    </row>
    <row r="1090" spans="1:15" x14ac:dyDescent="0.25">
      <c r="A1090" t="s">
        <v>5714</v>
      </c>
      <c r="B1090" t="s">
        <v>5715</v>
      </c>
      <c r="C1090" t="s">
        <v>117</v>
      </c>
      <c r="D1090">
        <v>2024</v>
      </c>
      <c r="E1090" t="s">
        <v>56</v>
      </c>
      <c r="F1090" t="s">
        <v>67</v>
      </c>
      <c r="G1090" t="s">
        <v>1130</v>
      </c>
      <c r="H1090" t="s">
        <v>5716</v>
      </c>
      <c r="I1090" t="s">
        <v>5717</v>
      </c>
      <c r="J1090" t="s">
        <v>71</v>
      </c>
      <c r="K1090" t="s">
        <v>18</v>
      </c>
      <c r="L1090" t="s">
        <v>72</v>
      </c>
      <c r="M1090" t="s">
        <v>72</v>
      </c>
      <c r="N1090" s="5"/>
      <c r="O1090" t="str">
        <f t="shared" ref="O1090:O1153" si="17">IF(N1090="","",IF(N1090=J1090,1,0))</f>
        <v/>
      </c>
    </row>
    <row r="1091" spans="1:15" x14ac:dyDescent="0.25">
      <c r="A1091" t="s">
        <v>5718</v>
      </c>
      <c r="B1091" t="s">
        <v>5719</v>
      </c>
      <c r="C1091" t="s">
        <v>3535</v>
      </c>
      <c r="D1091">
        <v>2024</v>
      </c>
      <c r="E1091" t="s">
        <v>56</v>
      </c>
      <c r="F1091" t="s">
        <v>57</v>
      </c>
      <c r="G1091" t="s">
        <v>5720</v>
      </c>
      <c r="H1091" t="s">
        <v>5721</v>
      </c>
      <c r="I1091" t="s">
        <v>5722</v>
      </c>
      <c r="J1091" t="s">
        <v>98</v>
      </c>
      <c r="K1091" t="s">
        <v>99</v>
      </c>
      <c r="L1091" t="s">
        <v>63</v>
      </c>
      <c r="M1091" t="s">
        <v>72</v>
      </c>
      <c r="N1091" s="5"/>
      <c r="O1091" t="str">
        <f t="shared" si="17"/>
        <v/>
      </c>
    </row>
    <row r="1092" spans="1:15" x14ac:dyDescent="0.25">
      <c r="A1092" t="s">
        <v>5723</v>
      </c>
      <c r="B1092" t="s">
        <v>5724</v>
      </c>
      <c r="C1092" t="s">
        <v>5725</v>
      </c>
      <c r="D1092">
        <v>2024</v>
      </c>
      <c r="E1092" t="s">
        <v>56</v>
      </c>
      <c r="F1092" t="s">
        <v>57</v>
      </c>
      <c r="G1092" t="s">
        <v>1091</v>
      </c>
      <c r="H1092" t="s">
        <v>5726</v>
      </c>
      <c r="I1092" t="s">
        <v>5727</v>
      </c>
      <c r="J1092" t="s">
        <v>165</v>
      </c>
      <c r="K1092" t="s">
        <v>166</v>
      </c>
      <c r="L1092" t="s">
        <v>63</v>
      </c>
      <c r="M1092" t="s">
        <v>72</v>
      </c>
      <c r="N1092" s="5"/>
      <c r="O1092" t="str">
        <f t="shared" si="17"/>
        <v/>
      </c>
    </row>
    <row r="1093" spans="1:15" x14ac:dyDescent="0.25">
      <c r="A1093" t="s">
        <v>5728</v>
      </c>
      <c r="B1093" t="s">
        <v>5729</v>
      </c>
      <c r="C1093" t="s">
        <v>452</v>
      </c>
      <c r="D1093">
        <v>2024</v>
      </c>
      <c r="E1093" t="s">
        <v>56</v>
      </c>
      <c r="F1093" t="s">
        <v>67</v>
      </c>
      <c r="G1093" t="s">
        <v>5730</v>
      </c>
      <c r="H1093" t="s">
        <v>5731</v>
      </c>
      <c r="I1093" t="s">
        <v>5732</v>
      </c>
      <c r="J1093" t="s">
        <v>87</v>
      </c>
      <c r="K1093" t="s">
        <v>19</v>
      </c>
      <c r="L1093" t="s">
        <v>72</v>
      </c>
      <c r="M1093" t="s">
        <v>72</v>
      </c>
      <c r="N1093" s="5"/>
      <c r="O1093" t="str">
        <f t="shared" si="17"/>
        <v/>
      </c>
    </row>
    <row r="1094" spans="1:15" x14ac:dyDescent="0.25">
      <c r="A1094" t="s">
        <v>5733</v>
      </c>
      <c r="B1094" t="s">
        <v>5734</v>
      </c>
      <c r="C1094" t="s">
        <v>5735</v>
      </c>
      <c r="D1094">
        <v>2024</v>
      </c>
      <c r="E1094" t="s">
        <v>56</v>
      </c>
      <c r="F1094" t="s">
        <v>67</v>
      </c>
      <c r="G1094" t="s">
        <v>5736</v>
      </c>
      <c r="H1094" t="s">
        <v>5737</v>
      </c>
      <c r="I1094" t="s">
        <v>5738</v>
      </c>
      <c r="J1094" t="s">
        <v>87</v>
      </c>
      <c r="K1094" t="s">
        <v>19</v>
      </c>
      <c r="L1094" t="s">
        <v>72</v>
      </c>
      <c r="M1094" t="s">
        <v>72</v>
      </c>
      <c r="N1094" s="5"/>
      <c r="O1094" t="str">
        <f t="shared" si="17"/>
        <v/>
      </c>
    </row>
    <row r="1095" spans="1:15" x14ac:dyDescent="0.25">
      <c r="A1095" t="s">
        <v>5739</v>
      </c>
      <c r="B1095" t="s">
        <v>5740</v>
      </c>
      <c r="C1095" t="s">
        <v>771</v>
      </c>
      <c r="D1095">
        <v>2024</v>
      </c>
      <c r="E1095" t="s">
        <v>56</v>
      </c>
      <c r="F1095" t="s">
        <v>67</v>
      </c>
      <c r="G1095" t="s">
        <v>5741</v>
      </c>
      <c r="H1095" t="s">
        <v>5742</v>
      </c>
      <c r="I1095" t="s">
        <v>5743</v>
      </c>
      <c r="J1095" t="s">
        <v>71</v>
      </c>
      <c r="K1095" t="s">
        <v>18</v>
      </c>
      <c r="L1095" t="s">
        <v>72</v>
      </c>
      <c r="M1095" t="s">
        <v>72</v>
      </c>
      <c r="N1095" s="5"/>
      <c r="O1095" t="str">
        <f t="shared" si="17"/>
        <v/>
      </c>
    </row>
    <row r="1096" spans="1:15" x14ac:dyDescent="0.25">
      <c r="A1096" t="s">
        <v>5744</v>
      </c>
      <c r="B1096" t="s">
        <v>5745</v>
      </c>
      <c r="C1096" t="s">
        <v>95</v>
      </c>
      <c r="D1096">
        <v>2024</v>
      </c>
      <c r="E1096" t="s">
        <v>56</v>
      </c>
      <c r="F1096" t="s">
        <v>67</v>
      </c>
      <c r="G1096" t="s">
        <v>5746</v>
      </c>
      <c r="H1096" t="s">
        <v>5747</v>
      </c>
      <c r="I1096" t="s">
        <v>5748</v>
      </c>
      <c r="J1096" t="s">
        <v>71</v>
      </c>
      <c r="K1096" t="s">
        <v>18</v>
      </c>
      <c r="L1096" t="s">
        <v>72</v>
      </c>
      <c r="M1096" t="s">
        <v>72</v>
      </c>
      <c r="N1096" s="5"/>
      <c r="O1096" t="str">
        <f t="shared" si="17"/>
        <v/>
      </c>
    </row>
    <row r="1097" spans="1:15" x14ac:dyDescent="0.25">
      <c r="A1097" t="s">
        <v>5749</v>
      </c>
      <c r="B1097" t="s">
        <v>5750</v>
      </c>
      <c r="C1097" t="s">
        <v>5751</v>
      </c>
      <c r="D1097">
        <v>2024</v>
      </c>
      <c r="E1097" t="s">
        <v>56</v>
      </c>
      <c r="F1097" t="s">
        <v>67</v>
      </c>
      <c r="G1097" t="s">
        <v>151</v>
      </c>
      <c r="H1097" t="s">
        <v>5752</v>
      </c>
      <c r="I1097" t="s">
        <v>5753</v>
      </c>
      <c r="J1097" t="s">
        <v>71</v>
      </c>
      <c r="K1097" t="s">
        <v>18</v>
      </c>
      <c r="L1097" t="s">
        <v>72</v>
      </c>
      <c r="M1097" t="s">
        <v>72</v>
      </c>
      <c r="N1097" s="5"/>
      <c r="O1097" t="str">
        <f t="shared" si="17"/>
        <v/>
      </c>
    </row>
    <row r="1098" spans="1:15" x14ac:dyDescent="0.25">
      <c r="A1098" t="s">
        <v>5754</v>
      </c>
      <c r="B1098" t="s">
        <v>5755</v>
      </c>
      <c r="C1098" t="s">
        <v>5756</v>
      </c>
      <c r="D1098">
        <v>2024</v>
      </c>
      <c r="E1098" t="s">
        <v>56</v>
      </c>
      <c r="F1098" t="s">
        <v>67</v>
      </c>
      <c r="G1098" t="s">
        <v>151</v>
      </c>
      <c r="H1098" t="s">
        <v>5757</v>
      </c>
      <c r="I1098" t="s">
        <v>5758</v>
      </c>
      <c r="J1098" t="s">
        <v>71</v>
      </c>
      <c r="K1098" t="s">
        <v>18</v>
      </c>
      <c r="L1098" t="s">
        <v>72</v>
      </c>
      <c r="M1098" t="s">
        <v>72</v>
      </c>
      <c r="N1098" s="5"/>
      <c r="O1098" t="str">
        <f t="shared" si="17"/>
        <v/>
      </c>
    </row>
    <row r="1099" spans="1:15" x14ac:dyDescent="0.25">
      <c r="A1099" t="s">
        <v>5759</v>
      </c>
      <c r="B1099" t="s">
        <v>5760</v>
      </c>
      <c r="C1099" t="s">
        <v>5761</v>
      </c>
      <c r="D1099">
        <v>2024</v>
      </c>
      <c r="E1099" t="s">
        <v>56</v>
      </c>
      <c r="F1099" t="s">
        <v>67</v>
      </c>
      <c r="G1099" t="s">
        <v>3288</v>
      </c>
      <c r="H1099" t="s">
        <v>5762</v>
      </c>
      <c r="I1099" t="s">
        <v>5763</v>
      </c>
      <c r="J1099" t="s">
        <v>71</v>
      </c>
      <c r="K1099" t="s">
        <v>18</v>
      </c>
      <c r="L1099" t="s">
        <v>72</v>
      </c>
      <c r="M1099" t="s">
        <v>72</v>
      </c>
      <c r="N1099" s="5"/>
      <c r="O1099" t="str">
        <f t="shared" si="17"/>
        <v/>
      </c>
    </row>
    <row r="1100" spans="1:15" x14ac:dyDescent="0.25">
      <c r="A1100" t="s">
        <v>5764</v>
      </c>
      <c r="B1100" t="s">
        <v>5765</v>
      </c>
      <c r="C1100" t="s">
        <v>5766</v>
      </c>
      <c r="D1100">
        <v>2024</v>
      </c>
      <c r="E1100" t="s">
        <v>56</v>
      </c>
      <c r="F1100" t="s">
        <v>67</v>
      </c>
      <c r="G1100" t="s">
        <v>5767</v>
      </c>
      <c r="H1100" t="s">
        <v>5768</v>
      </c>
      <c r="I1100" t="s">
        <v>5769</v>
      </c>
      <c r="J1100" t="s">
        <v>71</v>
      </c>
      <c r="K1100" t="s">
        <v>18</v>
      </c>
      <c r="L1100" t="s">
        <v>72</v>
      </c>
      <c r="M1100" t="s">
        <v>72</v>
      </c>
      <c r="N1100" s="5"/>
      <c r="O1100" t="str">
        <f t="shared" si="17"/>
        <v/>
      </c>
    </row>
    <row r="1101" spans="1:15" x14ac:dyDescent="0.25">
      <c r="A1101" t="s">
        <v>5770</v>
      </c>
      <c r="B1101" t="s">
        <v>5771</v>
      </c>
      <c r="C1101" t="s">
        <v>5772</v>
      </c>
      <c r="D1101">
        <v>2024</v>
      </c>
      <c r="E1101" t="s">
        <v>56</v>
      </c>
      <c r="F1101" t="s">
        <v>67</v>
      </c>
      <c r="G1101" t="s">
        <v>3288</v>
      </c>
      <c r="H1101" t="s">
        <v>5773</v>
      </c>
      <c r="I1101" t="s">
        <v>5774</v>
      </c>
      <c r="J1101" t="s">
        <v>71</v>
      </c>
      <c r="K1101" t="s">
        <v>18</v>
      </c>
      <c r="L1101" t="s">
        <v>72</v>
      </c>
      <c r="M1101" t="s">
        <v>72</v>
      </c>
      <c r="N1101" s="5"/>
      <c r="O1101" t="str">
        <f t="shared" si="17"/>
        <v/>
      </c>
    </row>
    <row r="1102" spans="1:15" x14ac:dyDescent="0.25">
      <c r="A1102" t="s">
        <v>5775</v>
      </c>
      <c r="B1102" t="s">
        <v>5776</v>
      </c>
      <c r="C1102" t="s">
        <v>5777</v>
      </c>
      <c r="D1102">
        <v>2024</v>
      </c>
      <c r="E1102" t="s">
        <v>56</v>
      </c>
      <c r="F1102" t="s">
        <v>67</v>
      </c>
      <c r="G1102" t="s">
        <v>5778</v>
      </c>
      <c r="H1102" t="s">
        <v>5779</v>
      </c>
      <c r="I1102" t="s">
        <v>5780</v>
      </c>
      <c r="J1102" t="s">
        <v>87</v>
      </c>
      <c r="K1102" t="s">
        <v>19</v>
      </c>
      <c r="L1102" t="s">
        <v>72</v>
      </c>
      <c r="M1102" t="s">
        <v>72</v>
      </c>
      <c r="N1102" s="5"/>
      <c r="O1102" t="str">
        <f t="shared" si="17"/>
        <v/>
      </c>
    </row>
    <row r="1103" spans="1:15" x14ac:dyDescent="0.25">
      <c r="A1103" t="s">
        <v>5781</v>
      </c>
      <c r="B1103" t="s">
        <v>5782</v>
      </c>
      <c r="C1103" t="s">
        <v>5783</v>
      </c>
      <c r="D1103">
        <v>2024</v>
      </c>
      <c r="E1103" t="s">
        <v>56</v>
      </c>
      <c r="F1103" t="s">
        <v>57</v>
      </c>
      <c r="G1103" t="s">
        <v>2513</v>
      </c>
      <c r="H1103" t="s">
        <v>5784</v>
      </c>
      <c r="I1103" t="s">
        <v>5785</v>
      </c>
      <c r="J1103" t="s">
        <v>71</v>
      </c>
      <c r="K1103" t="s">
        <v>18</v>
      </c>
      <c r="L1103" t="s">
        <v>72</v>
      </c>
      <c r="M1103" t="s">
        <v>72</v>
      </c>
      <c r="N1103" s="5"/>
      <c r="O1103" t="str">
        <f t="shared" si="17"/>
        <v/>
      </c>
    </row>
    <row r="1104" spans="1:15" x14ac:dyDescent="0.25">
      <c r="A1104" t="s">
        <v>5786</v>
      </c>
      <c r="B1104" t="s">
        <v>5787</v>
      </c>
      <c r="C1104" t="s">
        <v>4477</v>
      </c>
      <c r="D1104">
        <v>2024</v>
      </c>
      <c r="E1104" t="s">
        <v>56</v>
      </c>
      <c r="F1104" t="s">
        <v>57</v>
      </c>
      <c r="G1104" t="s">
        <v>766</v>
      </c>
      <c r="H1104" t="s">
        <v>5788</v>
      </c>
      <c r="I1104" t="s">
        <v>5789</v>
      </c>
      <c r="J1104" t="s">
        <v>61</v>
      </c>
      <c r="K1104" t="s">
        <v>62</v>
      </c>
      <c r="L1104" t="s">
        <v>63</v>
      </c>
      <c r="M1104" t="s">
        <v>63</v>
      </c>
      <c r="N1104" s="5"/>
      <c r="O1104" t="str">
        <f t="shared" si="17"/>
        <v/>
      </c>
    </row>
    <row r="1105" spans="1:15" x14ac:dyDescent="0.25">
      <c r="A1105" t="s">
        <v>5790</v>
      </c>
      <c r="B1105" t="s">
        <v>5791</v>
      </c>
      <c r="C1105" t="s">
        <v>5792</v>
      </c>
      <c r="D1105">
        <v>2024</v>
      </c>
      <c r="E1105" t="s">
        <v>56</v>
      </c>
      <c r="F1105" t="s">
        <v>67</v>
      </c>
      <c r="G1105" t="s">
        <v>5793</v>
      </c>
      <c r="H1105" t="s">
        <v>5794</v>
      </c>
      <c r="I1105" t="s">
        <v>5795</v>
      </c>
      <c r="J1105" t="s">
        <v>71</v>
      </c>
      <c r="K1105" t="s">
        <v>18</v>
      </c>
      <c r="L1105" t="s">
        <v>72</v>
      </c>
      <c r="M1105" t="s">
        <v>72</v>
      </c>
      <c r="N1105" s="5"/>
      <c r="O1105" t="str">
        <f t="shared" si="17"/>
        <v/>
      </c>
    </row>
    <row r="1106" spans="1:15" x14ac:dyDescent="0.25">
      <c r="A1106" t="s">
        <v>5796</v>
      </c>
      <c r="B1106" t="s">
        <v>5797</v>
      </c>
      <c r="C1106" t="s">
        <v>5798</v>
      </c>
      <c r="D1106">
        <v>2024</v>
      </c>
      <c r="E1106" t="s">
        <v>56</v>
      </c>
      <c r="F1106" t="s">
        <v>57</v>
      </c>
      <c r="G1106" t="s">
        <v>5799</v>
      </c>
      <c r="H1106" t="s">
        <v>5800</v>
      </c>
      <c r="I1106" t="s">
        <v>5801</v>
      </c>
      <c r="J1106" t="s">
        <v>165</v>
      </c>
      <c r="K1106" t="s">
        <v>166</v>
      </c>
      <c r="L1106" t="s">
        <v>63</v>
      </c>
      <c r="M1106" t="s">
        <v>72</v>
      </c>
      <c r="N1106" s="5"/>
      <c r="O1106" t="str">
        <f t="shared" si="17"/>
        <v/>
      </c>
    </row>
    <row r="1107" spans="1:15" x14ac:dyDescent="0.25">
      <c r="A1107" t="s">
        <v>5802</v>
      </c>
      <c r="B1107" t="s">
        <v>5803</v>
      </c>
      <c r="C1107" t="s">
        <v>5804</v>
      </c>
      <c r="D1107">
        <v>2024</v>
      </c>
      <c r="E1107" t="s">
        <v>56</v>
      </c>
      <c r="F1107" t="s">
        <v>67</v>
      </c>
      <c r="G1107" t="s">
        <v>5805</v>
      </c>
      <c r="H1107" t="s">
        <v>5806</v>
      </c>
      <c r="I1107" t="s">
        <v>5807</v>
      </c>
      <c r="J1107" t="s">
        <v>165</v>
      </c>
      <c r="K1107" t="s">
        <v>166</v>
      </c>
      <c r="L1107" t="s">
        <v>63</v>
      </c>
      <c r="M1107" t="s">
        <v>72</v>
      </c>
      <c r="N1107" s="5"/>
      <c r="O1107" t="str">
        <f t="shared" si="17"/>
        <v/>
      </c>
    </row>
    <row r="1108" spans="1:15" x14ac:dyDescent="0.25">
      <c r="A1108" t="s">
        <v>5808</v>
      </c>
      <c r="B1108" t="s">
        <v>5809</v>
      </c>
      <c r="C1108" t="s">
        <v>5810</v>
      </c>
      <c r="D1108">
        <v>2024</v>
      </c>
      <c r="E1108" t="s">
        <v>56</v>
      </c>
      <c r="F1108" t="s">
        <v>67</v>
      </c>
      <c r="G1108" t="s">
        <v>5811</v>
      </c>
      <c r="H1108" t="s">
        <v>5812</v>
      </c>
      <c r="I1108" t="s">
        <v>5813</v>
      </c>
      <c r="J1108" t="s">
        <v>87</v>
      </c>
      <c r="K1108" t="s">
        <v>19</v>
      </c>
      <c r="L1108" t="s">
        <v>72</v>
      </c>
      <c r="M1108" t="s">
        <v>72</v>
      </c>
      <c r="N1108" s="5"/>
      <c r="O1108" t="str">
        <f t="shared" si="17"/>
        <v/>
      </c>
    </row>
    <row r="1109" spans="1:15" x14ac:dyDescent="0.25">
      <c r="A1109" t="s">
        <v>5814</v>
      </c>
      <c r="B1109" t="s">
        <v>5815</v>
      </c>
      <c r="C1109" t="s">
        <v>3267</v>
      </c>
      <c r="D1109">
        <v>2024</v>
      </c>
      <c r="E1109" t="s">
        <v>56</v>
      </c>
      <c r="F1109" t="s">
        <v>67</v>
      </c>
      <c r="G1109" t="s">
        <v>5816</v>
      </c>
      <c r="I1109" t="s">
        <v>5817</v>
      </c>
      <c r="J1109" t="s">
        <v>87</v>
      </c>
      <c r="K1109" t="s">
        <v>19</v>
      </c>
      <c r="L1109" t="s">
        <v>72</v>
      </c>
      <c r="M1109" t="s">
        <v>72</v>
      </c>
      <c r="N1109" s="5"/>
      <c r="O1109" t="str">
        <f t="shared" si="17"/>
        <v/>
      </c>
    </row>
    <row r="1110" spans="1:15" x14ac:dyDescent="0.25">
      <c r="A1110" t="s">
        <v>5818</v>
      </c>
      <c r="B1110" t="s">
        <v>5819</v>
      </c>
      <c r="C1110" t="s">
        <v>5820</v>
      </c>
      <c r="D1110">
        <v>2024</v>
      </c>
      <c r="E1110" t="s">
        <v>56</v>
      </c>
      <c r="F1110" t="s">
        <v>57</v>
      </c>
      <c r="G1110" t="s">
        <v>5821</v>
      </c>
      <c r="H1110" t="s">
        <v>5822</v>
      </c>
      <c r="I1110" t="s">
        <v>5823</v>
      </c>
      <c r="J1110" t="s">
        <v>71</v>
      </c>
      <c r="K1110" t="s">
        <v>18</v>
      </c>
      <c r="L1110" t="s">
        <v>72</v>
      </c>
      <c r="M1110" t="s">
        <v>72</v>
      </c>
      <c r="N1110" s="5"/>
      <c r="O1110" t="str">
        <f t="shared" si="17"/>
        <v/>
      </c>
    </row>
    <row r="1111" spans="1:15" x14ac:dyDescent="0.25">
      <c r="A1111" t="s">
        <v>5824</v>
      </c>
      <c r="B1111" t="s">
        <v>5825</v>
      </c>
      <c r="C1111" t="s">
        <v>5826</v>
      </c>
      <c r="D1111">
        <v>2024</v>
      </c>
      <c r="E1111" t="s">
        <v>56</v>
      </c>
      <c r="F1111" t="s">
        <v>67</v>
      </c>
      <c r="G1111" t="s">
        <v>5827</v>
      </c>
      <c r="H1111" t="s">
        <v>5828</v>
      </c>
      <c r="I1111" t="s">
        <v>5829</v>
      </c>
      <c r="J1111" t="s">
        <v>71</v>
      </c>
      <c r="K1111" t="s">
        <v>18</v>
      </c>
      <c r="L1111" t="s">
        <v>72</v>
      </c>
      <c r="M1111" t="s">
        <v>72</v>
      </c>
      <c r="N1111" s="5"/>
      <c r="O1111" t="str">
        <f t="shared" si="17"/>
        <v/>
      </c>
    </row>
    <row r="1112" spans="1:15" x14ac:dyDescent="0.25">
      <c r="A1112" t="s">
        <v>5830</v>
      </c>
      <c r="B1112" t="s">
        <v>5831</v>
      </c>
      <c r="C1112" t="s">
        <v>5832</v>
      </c>
      <c r="D1112">
        <v>2024</v>
      </c>
      <c r="E1112" t="s">
        <v>56</v>
      </c>
      <c r="F1112" t="s">
        <v>57</v>
      </c>
      <c r="G1112" t="s">
        <v>145</v>
      </c>
      <c r="H1112" t="s">
        <v>5833</v>
      </c>
      <c r="I1112" t="s">
        <v>5834</v>
      </c>
      <c r="J1112" t="s">
        <v>87</v>
      </c>
      <c r="K1112" t="s">
        <v>19</v>
      </c>
      <c r="L1112" t="s">
        <v>72</v>
      </c>
      <c r="M1112" t="s">
        <v>72</v>
      </c>
      <c r="N1112" s="5"/>
      <c r="O1112" t="str">
        <f t="shared" si="17"/>
        <v/>
      </c>
    </row>
    <row r="1113" spans="1:15" x14ac:dyDescent="0.25">
      <c r="A1113" t="s">
        <v>5835</v>
      </c>
      <c r="B1113" t="s">
        <v>5836</v>
      </c>
      <c r="C1113" t="s">
        <v>2061</v>
      </c>
      <c r="D1113">
        <v>2024</v>
      </c>
      <c r="E1113" t="s">
        <v>56</v>
      </c>
      <c r="F1113" t="s">
        <v>67</v>
      </c>
      <c r="G1113" t="s">
        <v>3900</v>
      </c>
      <c r="H1113" t="s">
        <v>5837</v>
      </c>
      <c r="I1113" t="s">
        <v>5838</v>
      </c>
      <c r="J1113" t="s">
        <v>71</v>
      </c>
      <c r="K1113" t="s">
        <v>18</v>
      </c>
      <c r="L1113" t="s">
        <v>72</v>
      </c>
      <c r="M1113" t="s">
        <v>72</v>
      </c>
      <c r="N1113" s="5"/>
      <c r="O1113" t="str">
        <f t="shared" si="17"/>
        <v/>
      </c>
    </row>
    <row r="1114" spans="1:15" x14ac:dyDescent="0.25">
      <c r="A1114" t="s">
        <v>5839</v>
      </c>
      <c r="B1114" t="s">
        <v>5840</v>
      </c>
      <c r="C1114" t="s">
        <v>962</v>
      </c>
      <c r="D1114">
        <v>2024</v>
      </c>
      <c r="E1114" t="s">
        <v>56</v>
      </c>
      <c r="F1114" t="s">
        <v>67</v>
      </c>
      <c r="G1114" t="s">
        <v>5841</v>
      </c>
      <c r="H1114" t="s">
        <v>5842</v>
      </c>
      <c r="I1114" t="s">
        <v>5843</v>
      </c>
      <c r="J1114" t="s">
        <v>71</v>
      </c>
      <c r="K1114" t="s">
        <v>18</v>
      </c>
      <c r="L1114" t="s">
        <v>72</v>
      </c>
      <c r="M1114" t="s">
        <v>72</v>
      </c>
      <c r="N1114" s="5"/>
      <c r="O1114" t="str">
        <f t="shared" si="17"/>
        <v/>
      </c>
    </row>
    <row r="1115" spans="1:15" x14ac:dyDescent="0.25">
      <c r="A1115" t="s">
        <v>5844</v>
      </c>
      <c r="B1115" t="s">
        <v>5845</v>
      </c>
      <c r="C1115" t="s">
        <v>5846</v>
      </c>
      <c r="D1115">
        <v>2024</v>
      </c>
      <c r="E1115" t="s">
        <v>56</v>
      </c>
      <c r="F1115" t="s">
        <v>67</v>
      </c>
      <c r="G1115" t="s">
        <v>5847</v>
      </c>
      <c r="H1115" t="s">
        <v>5848</v>
      </c>
      <c r="I1115" t="s">
        <v>5849</v>
      </c>
      <c r="J1115" t="s">
        <v>71</v>
      </c>
      <c r="K1115" t="s">
        <v>18</v>
      </c>
      <c r="L1115" t="s">
        <v>72</v>
      </c>
      <c r="M1115" t="s">
        <v>72</v>
      </c>
      <c r="N1115" s="5"/>
      <c r="O1115" t="str">
        <f t="shared" si="17"/>
        <v/>
      </c>
    </row>
    <row r="1116" spans="1:15" x14ac:dyDescent="0.25">
      <c r="A1116" t="s">
        <v>5850</v>
      </c>
      <c r="B1116" t="s">
        <v>5851</v>
      </c>
      <c r="C1116" t="s">
        <v>384</v>
      </c>
      <c r="D1116">
        <v>2024</v>
      </c>
      <c r="E1116" t="s">
        <v>56</v>
      </c>
      <c r="F1116" t="s">
        <v>67</v>
      </c>
      <c r="G1116" t="s">
        <v>5852</v>
      </c>
      <c r="H1116" t="s">
        <v>5853</v>
      </c>
      <c r="I1116" t="s">
        <v>5854</v>
      </c>
      <c r="J1116" t="s">
        <v>71</v>
      </c>
      <c r="K1116" t="s">
        <v>18</v>
      </c>
      <c r="L1116" t="s">
        <v>72</v>
      </c>
      <c r="M1116" t="s">
        <v>72</v>
      </c>
      <c r="N1116" s="5"/>
      <c r="O1116" t="str">
        <f t="shared" si="17"/>
        <v/>
      </c>
    </row>
    <row r="1117" spans="1:15" x14ac:dyDescent="0.25">
      <c r="A1117" t="s">
        <v>5855</v>
      </c>
      <c r="B1117" t="s">
        <v>5856</v>
      </c>
      <c r="C1117" t="s">
        <v>777</v>
      </c>
      <c r="D1117">
        <v>2024</v>
      </c>
      <c r="E1117" t="s">
        <v>56</v>
      </c>
      <c r="F1117" t="s">
        <v>67</v>
      </c>
      <c r="G1117" t="s">
        <v>3288</v>
      </c>
      <c r="H1117" t="s">
        <v>5857</v>
      </c>
      <c r="I1117" t="s">
        <v>5858</v>
      </c>
      <c r="J1117" t="s">
        <v>71</v>
      </c>
      <c r="K1117" t="s">
        <v>18</v>
      </c>
      <c r="L1117" t="s">
        <v>72</v>
      </c>
      <c r="M1117" t="s">
        <v>72</v>
      </c>
      <c r="N1117" s="5"/>
      <c r="O1117" t="str">
        <f t="shared" si="17"/>
        <v/>
      </c>
    </row>
    <row r="1118" spans="1:15" x14ac:dyDescent="0.25">
      <c r="A1118" t="s">
        <v>5859</v>
      </c>
      <c r="B1118" t="s">
        <v>5860</v>
      </c>
      <c r="C1118" t="s">
        <v>2001</v>
      </c>
      <c r="D1118">
        <v>2024</v>
      </c>
      <c r="E1118" t="s">
        <v>56</v>
      </c>
      <c r="F1118" t="s">
        <v>57</v>
      </c>
      <c r="G1118" t="s">
        <v>766</v>
      </c>
      <c r="H1118" t="s">
        <v>5861</v>
      </c>
      <c r="I1118" t="s">
        <v>5862</v>
      </c>
      <c r="J1118" t="s">
        <v>61</v>
      </c>
      <c r="K1118" t="s">
        <v>62</v>
      </c>
      <c r="L1118" t="s">
        <v>63</v>
      </c>
      <c r="M1118" t="s">
        <v>63</v>
      </c>
      <c r="N1118" s="5"/>
      <c r="O1118" t="str">
        <f t="shared" si="17"/>
        <v/>
      </c>
    </row>
    <row r="1119" spans="1:15" x14ac:dyDescent="0.25">
      <c r="A1119" t="s">
        <v>5863</v>
      </c>
      <c r="B1119" t="s">
        <v>5864</v>
      </c>
      <c r="C1119" t="s">
        <v>5865</v>
      </c>
      <c r="D1119">
        <v>2024</v>
      </c>
      <c r="E1119" t="s">
        <v>56</v>
      </c>
      <c r="F1119" t="s">
        <v>57</v>
      </c>
      <c r="G1119" t="s">
        <v>5866</v>
      </c>
      <c r="H1119" t="s">
        <v>5867</v>
      </c>
      <c r="I1119" t="s">
        <v>5868</v>
      </c>
      <c r="J1119" t="s">
        <v>61</v>
      </c>
      <c r="K1119" t="s">
        <v>62</v>
      </c>
      <c r="L1119" t="s">
        <v>63</v>
      </c>
      <c r="M1119" t="s">
        <v>63</v>
      </c>
      <c r="N1119" s="5"/>
      <c r="O1119" t="str">
        <f t="shared" si="17"/>
        <v/>
      </c>
    </row>
    <row r="1120" spans="1:15" x14ac:dyDescent="0.25">
      <c r="A1120" t="s">
        <v>5869</v>
      </c>
      <c r="B1120" t="s">
        <v>5870</v>
      </c>
      <c r="C1120" t="s">
        <v>5871</v>
      </c>
      <c r="D1120">
        <v>2024</v>
      </c>
      <c r="E1120" t="s">
        <v>56</v>
      </c>
      <c r="F1120" t="s">
        <v>57</v>
      </c>
      <c r="G1120" t="s">
        <v>750</v>
      </c>
      <c r="H1120" t="s">
        <v>5872</v>
      </c>
      <c r="I1120" t="s">
        <v>5873</v>
      </c>
      <c r="J1120" t="s">
        <v>61</v>
      </c>
      <c r="K1120" t="s">
        <v>62</v>
      </c>
      <c r="L1120" t="s">
        <v>63</v>
      </c>
      <c r="M1120" t="s">
        <v>63</v>
      </c>
      <c r="N1120" s="5"/>
      <c r="O1120" t="str">
        <f t="shared" si="17"/>
        <v/>
      </c>
    </row>
    <row r="1121" spans="1:15" x14ac:dyDescent="0.25">
      <c r="A1121" t="s">
        <v>5874</v>
      </c>
      <c r="B1121" t="s">
        <v>5875</v>
      </c>
      <c r="C1121" t="s">
        <v>5876</v>
      </c>
      <c r="D1121">
        <v>2024</v>
      </c>
      <c r="E1121" t="s">
        <v>56</v>
      </c>
      <c r="F1121" t="s">
        <v>57</v>
      </c>
      <c r="G1121" t="s">
        <v>750</v>
      </c>
      <c r="H1121" t="s">
        <v>5877</v>
      </c>
      <c r="I1121" t="s">
        <v>5878</v>
      </c>
      <c r="J1121" t="s">
        <v>61</v>
      </c>
      <c r="K1121" t="s">
        <v>62</v>
      </c>
      <c r="L1121" t="s">
        <v>63</v>
      </c>
      <c r="M1121" t="s">
        <v>63</v>
      </c>
      <c r="N1121" s="5"/>
      <c r="O1121" t="str">
        <f t="shared" si="17"/>
        <v/>
      </c>
    </row>
    <row r="1122" spans="1:15" x14ac:dyDescent="0.25">
      <c r="A1122" t="s">
        <v>5879</v>
      </c>
      <c r="B1122" t="s">
        <v>5880</v>
      </c>
      <c r="C1122" t="s">
        <v>5881</v>
      </c>
      <c r="D1122">
        <v>2024</v>
      </c>
      <c r="E1122" t="s">
        <v>56</v>
      </c>
      <c r="F1122" t="s">
        <v>57</v>
      </c>
      <c r="G1122" t="s">
        <v>418</v>
      </c>
      <c r="H1122" t="s">
        <v>5882</v>
      </c>
      <c r="I1122" t="s">
        <v>5883</v>
      </c>
      <c r="J1122" t="s">
        <v>61</v>
      </c>
      <c r="K1122" t="s">
        <v>62</v>
      </c>
      <c r="L1122" t="s">
        <v>63</v>
      </c>
      <c r="M1122" t="s">
        <v>63</v>
      </c>
      <c r="N1122" s="5"/>
      <c r="O1122" t="str">
        <f t="shared" si="17"/>
        <v/>
      </c>
    </row>
    <row r="1123" spans="1:15" x14ac:dyDescent="0.25">
      <c r="A1123" t="s">
        <v>5884</v>
      </c>
      <c r="B1123" t="s">
        <v>5885</v>
      </c>
      <c r="C1123" t="s">
        <v>5886</v>
      </c>
      <c r="D1123">
        <v>2024</v>
      </c>
      <c r="E1123" t="s">
        <v>56</v>
      </c>
      <c r="F1123" t="s">
        <v>57</v>
      </c>
      <c r="G1123" t="s">
        <v>1682</v>
      </c>
      <c r="H1123" t="s">
        <v>5887</v>
      </c>
      <c r="I1123" t="s">
        <v>5888</v>
      </c>
      <c r="J1123" t="s">
        <v>61</v>
      </c>
      <c r="K1123" t="s">
        <v>62</v>
      </c>
      <c r="L1123" t="s">
        <v>63</v>
      </c>
      <c r="M1123" t="s">
        <v>63</v>
      </c>
      <c r="N1123" s="5"/>
      <c r="O1123" t="str">
        <f t="shared" si="17"/>
        <v/>
      </c>
    </row>
    <row r="1124" spans="1:15" x14ac:dyDescent="0.25">
      <c r="A1124" t="s">
        <v>5889</v>
      </c>
      <c r="B1124" t="s">
        <v>5890</v>
      </c>
      <c r="C1124" t="s">
        <v>5891</v>
      </c>
      <c r="D1124">
        <v>2024</v>
      </c>
      <c r="E1124" t="s">
        <v>56</v>
      </c>
      <c r="F1124" t="s">
        <v>67</v>
      </c>
      <c r="G1124" t="s">
        <v>5892</v>
      </c>
      <c r="H1124" t="s">
        <v>5893</v>
      </c>
      <c r="I1124" t="s">
        <v>5894</v>
      </c>
      <c r="J1124" t="s">
        <v>87</v>
      </c>
      <c r="K1124" t="s">
        <v>19</v>
      </c>
      <c r="L1124" t="s">
        <v>72</v>
      </c>
      <c r="M1124" t="s">
        <v>72</v>
      </c>
      <c r="N1124" s="5"/>
      <c r="O1124" t="str">
        <f t="shared" si="17"/>
        <v/>
      </c>
    </row>
    <row r="1125" spans="1:15" x14ac:dyDescent="0.25">
      <c r="A1125" t="s">
        <v>5895</v>
      </c>
      <c r="B1125" t="s">
        <v>5896</v>
      </c>
      <c r="C1125" t="s">
        <v>5897</v>
      </c>
      <c r="D1125">
        <v>2024</v>
      </c>
      <c r="E1125" t="s">
        <v>56</v>
      </c>
      <c r="F1125" t="s">
        <v>67</v>
      </c>
      <c r="G1125" t="s">
        <v>5892</v>
      </c>
      <c r="H1125" t="s">
        <v>5898</v>
      </c>
      <c r="I1125" t="s">
        <v>5899</v>
      </c>
      <c r="J1125" t="s">
        <v>87</v>
      </c>
      <c r="K1125" t="s">
        <v>19</v>
      </c>
      <c r="L1125" t="s">
        <v>72</v>
      </c>
      <c r="M1125" t="s">
        <v>72</v>
      </c>
      <c r="N1125" s="5"/>
      <c r="O1125" t="str">
        <f t="shared" si="17"/>
        <v/>
      </c>
    </row>
    <row r="1126" spans="1:15" x14ac:dyDescent="0.25">
      <c r="A1126" t="s">
        <v>5900</v>
      </c>
      <c r="B1126" t="s">
        <v>5901</v>
      </c>
      <c r="C1126" t="s">
        <v>5902</v>
      </c>
      <c r="D1126">
        <v>2024</v>
      </c>
      <c r="E1126" t="s">
        <v>56</v>
      </c>
      <c r="F1126" t="s">
        <v>67</v>
      </c>
      <c r="G1126" t="s">
        <v>5903</v>
      </c>
      <c r="H1126" t="s">
        <v>5904</v>
      </c>
      <c r="I1126" t="s">
        <v>5905</v>
      </c>
      <c r="J1126" t="s">
        <v>71</v>
      </c>
      <c r="K1126" t="s">
        <v>18</v>
      </c>
      <c r="L1126" t="s">
        <v>72</v>
      </c>
      <c r="M1126" t="s">
        <v>72</v>
      </c>
      <c r="N1126" s="5"/>
      <c r="O1126" t="str">
        <f t="shared" si="17"/>
        <v/>
      </c>
    </row>
    <row r="1127" spans="1:15" x14ac:dyDescent="0.25">
      <c r="A1127" t="s">
        <v>5906</v>
      </c>
      <c r="B1127" t="s">
        <v>5901</v>
      </c>
      <c r="C1127" t="s">
        <v>5907</v>
      </c>
      <c r="D1127">
        <v>2024</v>
      </c>
      <c r="E1127" t="s">
        <v>56</v>
      </c>
      <c r="F1127" t="s">
        <v>67</v>
      </c>
      <c r="G1127" t="s">
        <v>5908</v>
      </c>
      <c r="H1127" t="s">
        <v>5904</v>
      </c>
      <c r="I1127" t="s">
        <v>5909</v>
      </c>
      <c r="J1127" t="s">
        <v>71</v>
      </c>
      <c r="K1127" t="s">
        <v>18</v>
      </c>
      <c r="L1127" t="s">
        <v>72</v>
      </c>
      <c r="M1127" t="s">
        <v>72</v>
      </c>
      <c r="N1127" s="5"/>
      <c r="O1127" t="str">
        <f t="shared" si="17"/>
        <v/>
      </c>
    </row>
    <row r="1128" spans="1:15" x14ac:dyDescent="0.25">
      <c r="A1128" t="s">
        <v>5910</v>
      </c>
      <c r="B1128" t="s">
        <v>5911</v>
      </c>
      <c r="C1128" t="s">
        <v>5912</v>
      </c>
      <c r="D1128">
        <v>2024</v>
      </c>
      <c r="E1128" t="s">
        <v>56</v>
      </c>
      <c r="F1128" t="s">
        <v>67</v>
      </c>
      <c r="G1128" t="s">
        <v>5913</v>
      </c>
      <c r="H1128" t="s">
        <v>5914</v>
      </c>
      <c r="I1128" t="s">
        <v>5915</v>
      </c>
      <c r="J1128" t="s">
        <v>71</v>
      </c>
      <c r="K1128" t="s">
        <v>18</v>
      </c>
      <c r="L1128" t="s">
        <v>72</v>
      </c>
      <c r="M1128" t="s">
        <v>72</v>
      </c>
      <c r="N1128" s="5"/>
      <c r="O1128" t="str">
        <f t="shared" si="17"/>
        <v/>
      </c>
    </row>
    <row r="1129" spans="1:15" x14ac:dyDescent="0.25">
      <c r="A1129" t="s">
        <v>5916</v>
      </c>
      <c r="B1129" t="s">
        <v>5917</v>
      </c>
      <c r="C1129" t="s">
        <v>5918</v>
      </c>
      <c r="D1129">
        <v>2024</v>
      </c>
      <c r="E1129" t="s">
        <v>56</v>
      </c>
      <c r="F1129" t="s">
        <v>67</v>
      </c>
      <c r="G1129" t="s">
        <v>5919</v>
      </c>
      <c r="H1129" t="s">
        <v>5920</v>
      </c>
      <c r="I1129" t="s">
        <v>5921</v>
      </c>
      <c r="J1129" t="s">
        <v>87</v>
      </c>
      <c r="K1129" t="s">
        <v>19</v>
      </c>
      <c r="L1129" t="s">
        <v>72</v>
      </c>
      <c r="M1129" t="s">
        <v>72</v>
      </c>
      <c r="N1129" s="5"/>
      <c r="O1129" t="str">
        <f t="shared" si="17"/>
        <v/>
      </c>
    </row>
    <row r="1130" spans="1:15" x14ac:dyDescent="0.25">
      <c r="A1130" t="s">
        <v>5922</v>
      </c>
      <c r="B1130" t="s">
        <v>5923</v>
      </c>
      <c r="C1130" t="s">
        <v>3381</v>
      </c>
      <c r="D1130">
        <v>2024</v>
      </c>
      <c r="E1130" t="s">
        <v>56</v>
      </c>
      <c r="F1130" t="s">
        <v>67</v>
      </c>
      <c r="G1130" t="s">
        <v>3288</v>
      </c>
      <c r="H1130" t="s">
        <v>5924</v>
      </c>
      <c r="I1130" t="s">
        <v>5925</v>
      </c>
      <c r="J1130" t="s">
        <v>71</v>
      </c>
      <c r="K1130" t="s">
        <v>18</v>
      </c>
      <c r="L1130" t="s">
        <v>72</v>
      </c>
      <c r="M1130" t="s">
        <v>72</v>
      </c>
      <c r="N1130" s="5"/>
      <c r="O1130" t="str">
        <f t="shared" si="17"/>
        <v/>
      </c>
    </row>
    <row r="1131" spans="1:15" x14ac:dyDescent="0.25">
      <c r="A1131" t="s">
        <v>5926</v>
      </c>
      <c r="B1131" t="s">
        <v>5927</v>
      </c>
      <c r="C1131" t="s">
        <v>428</v>
      </c>
      <c r="D1131">
        <v>2024</v>
      </c>
      <c r="E1131" t="s">
        <v>56</v>
      </c>
      <c r="F1131" t="s">
        <v>67</v>
      </c>
      <c r="G1131" t="s">
        <v>188</v>
      </c>
      <c r="H1131" t="s">
        <v>5928</v>
      </c>
      <c r="I1131" t="s">
        <v>5929</v>
      </c>
      <c r="J1131" t="s">
        <v>71</v>
      </c>
      <c r="K1131" t="s">
        <v>18</v>
      </c>
      <c r="L1131" t="s">
        <v>72</v>
      </c>
      <c r="M1131" t="s">
        <v>72</v>
      </c>
      <c r="N1131" s="5"/>
      <c r="O1131" t="str">
        <f t="shared" si="17"/>
        <v/>
      </c>
    </row>
    <row r="1132" spans="1:15" x14ac:dyDescent="0.25">
      <c r="A1132" t="s">
        <v>5930</v>
      </c>
      <c r="B1132" t="s">
        <v>5931</v>
      </c>
      <c r="C1132" t="s">
        <v>4210</v>
      </c>
      <c r="D1132">
        <v>2024</v>
      </c>
      <c r="E1132" t="s">
        <v>56</v>
      </c>
      <c r="F1132" t="s">
        <v>67</v>
      </c>
      <c r="G1132" t="s">
        <v>5932</v>
      </c>
      <c r="H1132" t="s">
        <v>5933</v>
      </c>
      <c r="I1132" t="s">
        <v>5934</v>
      </c>
      <c r="J1132" t="s">
        <v>87</v>
      </c>
      <c r="K1132" t="s">
        <v>19</v>
      </c>
      <c r="L1132" t="s">
        <v>72</v>
      </c>
      <c r="M1132" t="s">
        <v>72</v>
      </c>
      <c r="N1132" s="5"/>
      <c r="O1132" t="str">
        <f t="shared" si="17"/>
        <v/>
      </c>
    </row>
    <row r="1133" spans="1:15" x14ac:dyDescent="0.25">
      <c r="A1133" t="s">
        <v>5935</v>
      </c>
      <c r="B1133" t="s">
        <v>5936</v>
      </c>
      <c r="C1133" t="s">
        <v>5937</v>
      </c>
      <c r="D1133">
        <v>2024</v>
      </c>
      <c r="E1133" t="s">
        <v>56</v>
      </c>
      <c r="F1133" t="s">
        <v>67</v>
      </c>
      <c r="G1133" t="s">
        <v>5938</v>
      </c>
      <c r="H1133" t="s">
        <v>5939</v>
      </c>
      <c r="I1133" t="s">
        <v>5940</v>
      </c>
      <c r="J1133" t="s">
        <v>71</v>
      </c>
      <c r="K1133" t="s">
        <v>18</v>
      </c>
      <c r="L1133" t="s">
        <v>72</v>
      </c>
      <c r="M1133" t="s">
        <v>72</v>
      </c>
      <c r="N1133" s="5"/>
      <c r="O1133" t="str">
        <f t="shared" si="17"/>
        <v/>
      </c>
    </row>
    <row r="1134" spans="1:15" x14ac:dyDescent="0.25">
      <c r="A1134" t="s">
        <v>5941</v>
      </c>
      <c r="B1134" t="s">
        <v>5942</v>
      </c>
      <c r="C1134" t="s">
        <v>428</v>
      </c>
      <c r="D1134">
        <v>2024</v>
      </c>
      <c r="E1134" t="s">
        <v>56</v>
      </c>
      <c r="F1134" t="s">
        <v>67</v>
      </c>
      <c r="G1134" t="s">
        <v>5943</v>
      </c>
      <c r="H1134" t="s">
        <v>5944</v>
      </c>
      <c r="I1134" t="s">
        <v>5945</v>
      </c>
      <c r="J1134" t="s">
        <v>71</v>
      </c>
      <c r="K1134" t="s">
        <v>18</v>
      </c>
      <c r="L1134" t="s">
        <v>72</v>
      </c>
      <c r="M1134" t="s">
        <v>72</v>
      </c>
      <c r="N1134" s="5"/>
      <c r="O1134" t="str">
        <f t="shared" si="17"/>
        <v/>
      </c>
    </row>
    <row r="1135" spans="1:15" x14ac:dyDescent="0.25">
      <c r="A1135" t="s">
        <v>5946</v>
      </c>
      <c r="B1135" t="s">
        <v>5947</v>
      </c>
      <c r="C1135" t="s">
        <v>2469</v>
      </c>
      <c r="D1135">
        <v>2024</v>
      </c>
      <c r="E1135" t="s">
        <v>56</v>
      </c>
      <c r="F1135" t="s">
        <v>67</v>
      </c>
      <c r="G1135" t="s">
        <v>5948</v>
      </c>
      <c r="H1135" t="s">
        <v>5949</v>
      </c>
      <c r="I1135" t="s">
        <v>5950</v>
      </c>
      <c r="J1135" t="s">
        <v>87</v>
      </c>
      <c r="K1135" t="s">
        <v>19</v>
      </c>
      <c r="L1135" t="s">
        <v>72</v>
      </c>
      <c r="M1135" t="s">
        <v>72</v>
      </c>
      <c r="N1135" s="5"/>
      <c r="O1135" t="str">
        <f t="shared" si="17"/>
        <v/>
      </c>
    </row>
    <row r="1136" spans="1:15" x14ac:dyDescent="0.25">
      <c r="A1136" t="s">
        <v>5951</v>
      </c>
      <c r="B1136" t="s">
        <v>5952</v>
      </c>
      <c r="C1136" t="s">
        <v>5953</v>
      </c>
      <c r="D1136">
        <v>2024</v>
      </c>
      <c r="E1136" t="s">
        <v>56</v>
      </c>
      <c r="F1136" t="s">
        <v>57</v>
      </c>
      <c r="G1136" t="s">
        <v>5954</v>
      </c>
      <c r="H1136" t="s">
        <v>5955</v>
      </c>
      <c r="I1136" t="s">
        <v>5956</v>
      </c>
      <c r="J1136" t="s">
        <v>87</v>
      </c>
      <c r="K1136" t="s">
        <v>19</v>
      </c>
      <c r="L1136" t="s">
        <v>72</v>
      </c>
      <c r="M1136" t="s">
        <v>72</v>
      </c>
      <c r="N1136" s="5"/>
      <c r="O1136" t="str">
        <f t="shared" si="17"/>
        <v/>
      </c>
    </row>
    <row r="1137" spans="1:15" x14ac:dyDescent="0.25">
      <c r="A1137" t="s">
        <v>5957</v>
      </c>
      <c r="B1137" t="s">
        <v>5958</v>
      </c>
      <c r="C1137" t="s">
        <v>367</v>
      </c>
      <c r="D1137">
        <v>2024</v>
      </c>
      <c r="E1137" t="s">
        <v>56</v>
      </c>
      <c r="F1137" t="s">
        <v>67</v>
      </c>
      <c r="G1137" t="s">
        <v>5959</v>
      </c>
      <c r="H1137" t="s">
        <v>5960</v>
      </c>
      <c r="I1137" t="s">
        <v>5961</v>
      </c>
      <c r="J1137" t="s">
        <v>71</v>
      </c>
      <c r="K1137" t="s">
        <v>18</v>
      </c>
      <c r="L1137" t="s">
        <v>72</v>
      </c>
      <c r="M1137" t="s">
        <v>72</v>
      </c>
      <c r="N1137" s="5"/>
      <c r="O1137" t="str">
        <f t="shared" si="17"/>
        <v/>
      </c>
    </row>
    <row r="1138" spans="1:15" x14ac:dyDescent="0.25">
      <c r="A1138" t="s">
        <v>5962</v>
      </c>
      <c r="B1138" t="s">
        <v>5963</v>
      </c>
      <c r="C1138" t="s">
        <v>5964</v>
      </c>
      <c r="D1138">
        <v>2024</v>
      </c>
      <c r="E1138" t="s">
        <v>56</v>
      </c>
      <c r="F1138" t="s">
        <v>67</v>
      </c>
      <c r="G1138" t="s">
        <v>5404</v>
      </c>
      <c r="H1138" t="s">
        <v>5965</v>
      </c>
      <c r="I1138" t="s">
        <v>5966</v>
      </c>
      <c r="J1138" t="s">
        <v>71</v>
      </c>
      <c r="K1138" t="s">
        <v>18</v>
      </c>
      <c r="L1138" t="s">
        <v>72</v>
      </c>
      <c r="M1138" t="s">
        <v>72</v>
      </c>
      <c r="N1138" s="5"/>
      <c r="O1138" t="str">
        <f t="shared" si="17"/>
        <v/>
      </c>
    </row>
    <row r="1139" spans="1:15" x14ac:dyDescent="0.25">
      <c r="A1139" t="s">
        <v>5967</v>
      </c>
      <c r="B1139" t="s">
        <v>5963</v>
      </c>
      <c r="C1139" t="s">
        <v>5968</v>
      </c>
      <c r="D1139">
        <v>2024</v>
      </c>
      <c r="E1139" t="s">
        <v>56</v>
      </c>
      <c r="F1139" t="s">
        <v>67</v>
      </c>
      <c r="G1139" t="s">
        <v>5969</v>
      </c>
      <c r="H1139" t="s">
        <v>5965</v>
      </c>
      <c r="I1139" t="s">
        <v>5970</v>
      </c>
      <c r="J1139" t="s">
        <v>71</v>
      </c>
      <c r="K1139" t="s">
        <v>18</v>
      </c>
      <c r="L1139" t="s">
        <v>72</v>
      </c>
      <c r="M1139" t="s">
        <v>72</v>
      </c>
      <c r="N1139" s="5"/>
      <c r="O1139" t="str">
        <f t="shared" si="17"/>
        <v/>
      </c>
    </row>
    <row r="1140" spans="1:15" x14ac:dyDescent="0.25">
      <c r="A1140" t="s">
        <v>5971</v>
      </c>
      <c r="B1140" t="s">
        <v>5972</v>
      </c>
      <c r="C1140" t="s">
        <v>5973</v>
      </c>
      <c r="D1140">
        <v>2024</v>
      </c>
      <c r="E1140" t="s">
        <v>56</v>
      </c>
      <c r="F1140" t="s">
        <v>67</v>
      </c>
      <c r="G1140" t="s">
        <v>5974</v>
      </c>
      <c r="H1140" t="s">
        <v>5975</v>
      </c>
      <c r="I1140" t="s">
        <v>5976</v>
      </c>
      <c r="J1140" t="s">
        <v>71</v>
      </c>
      <c r="K1140" t="s">
        <v>18</v>
      </c>
      <c r="L1140" t="s">
        <v>72</v>
      </c>
      <c r="M1140" t="s">
        <v>72</v>
      </c>
      <c r="N1140" s="5"/>
      <c r="O1140" t="str">
        <f t="shared" si="17"/>
        <v/>
      </c>
    </row>
    <row r="1141" spans="1:15" x14ac:dyDescent="0.25">
      <c r="A1141" t="s">
        <v>5977</v>
      </c>
      <c r="B1141" t="s">
        <v>5978</v>
      </c>
      <c r="C1141" t="s">
        <v>2034</v>
      </c>
      <c r="D1141">
        <v>2024</v>
      </c>
      <c r="E1141" t="s">
        <v>56</v>
      </c>
      <c r="F1141" t="s">
        <v>67</v>
      </c>
      <c r="G1141" t="s">
        <v>5979</v>
      </c>
      <c r="H1141" t="s">
        <v>5980</v>
      </c>
      <c r="I1141" t="s">
        <v>5981</v>
      </c>
      <c r="J1141" t="s">
        <v>71</v>
      </c>
      <c r="K1141" t="s">
        <v>18</v>
      </c>
      <c r="L1141" t="s">
        <v>72</v>
      </c>
      <c r="M1141" t="s">
        <v>72</v>
      </c>
      <c r="N1141" s="5"/>
      <c r="O1141" t="str">
        <f t="shared" si="17"/>
        <v/>
      </c>
    </row>
    <row r="1142" spans="1:15" x14ac:dyDescent="0.25">
      <c r="A1142" t="s">
        <v>5982</v>
      </c>
      <c r="B1142" t="s">
        <v>5983</v>
      </c>
      <c r="C1142" t="s">
        <v>4001</v>
      </c>
      <c r="D1142">
        <v>2024</v>
      </c>
      <c r="E1142" t="s">
        <v>56</v>
      </c>
      <c r="F1142" t="s">
        <v>67</v>
      </c>
      <c r="G1142" t="s">
        <v>5984</v>
      </c>
      <c r="H1142" t="s">
        <v>5985</v>
      </c>
      <c r="I1142" t="s">
        <v>5986</v>
      </c>
      <c r="J1142" t="s">
        <v>71</v>
      </c>
      <c r="K1142" t="s">
        <v>18</v>
      </c>
      <c r="L1142" t="s">
        <v>72</v>
      </c>
      <c r="M1142" t="s">
        <v>72</v>
      </c>
      <c r="N1142" s="5"/>
      <c r="O1142" t="str">
        <f t="shared" si="17"/>
        <v/>
      </c>
    </row>
    <row r="1143" spans="1:15" x14ac:dyDescent="0.25">
      <c r="A1143" t="s">
        <v>5987</v>
      </c>
      <c r="B1143" t="s">
        <v>5988</v>
      </c>
      <c r="C1143" t="s">
        <v>2469</v>
      </c>
      <c r="D1143">
        <v>2024</v>
      </c>
      <c r="E1143" t="s">
        <v>56</v>
      </c>
      <c r="F1143" t="s">
        <v>67</v>
      </c>
      <c r="G1143" t="s">
        <v>5989</v>
      </c>
      <c r="H1143" t="s">
        <v>5990</v>
      </c>
      <c r="I1143" t="s">
        <v>5991</v>
      </c>
      <c r="J1143" t="s">
        <v>87</v>
      </c>
      <c r="K1143" t="s">
        <v>19</v>
      </c>
      <c r="L1143" t="s">
        <v>72</v>
      </c>
      <c r="M1143" t="s">
        <v>72</v>
      </c>
      <c r="N1143" s="5"/>
      <c r="O1143" t="str">
        <f t="shared" si="17"/>
        <v/>
      </c>
    </row>
    <row r="1144" spans="1:15" x14ac:dyDescent="0.25">
      <c r="A1144" t="s">
        <v>5992</v>
      </c>
      <c r="B1144" t="s">
        <v>5993</v>
      </c>
      <c r="C1144" t="s">
        <v>325</v>
      </c>
      <c r="D1144">
        <v>2024</v>
      </c>
      <c r="E1144" t="s">
        <v>56</v>
      </c>
      <c r="F1144" t="s">
        <v>67</v>
      </c>
      <c r="G1144" t="s">
        <v>5994</v>
      </c>
      <c r="H1144" t="s">
        <v>5995</v>
      </c>
      <c r="I1144" t="s">
        <v>5996</v>
      </c>
      <c r="J1144" t="s">
        <v>71</v>
      </c>
      <c r="K1144" t="s">
        <v>18</v>
      </c>
      <c r="L1144" t="s">
        <v>72</v>
      </c>
      <c r="M1144" t="s">
        <v>72</v>
      </c>
      <c r="N1144" s="5"/>
      <c r="O1144" t="str">
        <f t="shared" si="17"/>
        <v/>
      </c>
    </row>
    <row r="1145" spans="1:15" x14ac:dyDescent="0.25">
      <c r="A1145" t="s">
        <v>5997</v>
      </c>
      <c r="B1145" t="s">
        <v>5998</v>
      </c>
      <c r="C1145" t="s">
        <v>117</v>
      </c>
      <c r="D1145">
        <v>2024</v>
      </c>
      <c r="E1145" t="s">
        <v>56</v>
      </c>
      <c r="F1145" t="s">
        <v>67</v>
      </c>
      <c r="G1145" t="s">
        <v>1130</v>
      </c>
      <c r="H1145" t="s">
        <v>5999</v>
      </c>
      <c r="I1145" t="s">
        <v>6000</v>
      </c>
      <c r="J1145" t="s">
        <v>71</v>
      </c>
      <c r="K1145" t="s">
        <v>18</v>
      </c>
      <c r="L1145" t="s">
        <v>72</v>
      </c>
      <c r="M1145" t="s">
        <v>72</v>
      </c>
      <c r="N1145" s="5"/>
      <c r="O1145" t="str">
        <f t="shared" si="17"/>
        <v/>
      </c>
    </row>
    <row r="1146" spans="1:15" x14ac:dyDescent="0.25">
      <c r="A1146" t="s">
        <v>6001</v>
      </c>
      <c r="B1146" t="s">
        <v>6002</v>
      </c>
      <c r="C1146" t="s">
        <v>2108</v>
      </c>
      <c r="D1146">
        <v>2024</v>
      </c>
      <c r="E1146" t="s">
        <v>56</v>
      </c>
      <c r="F1146" t="s">
        <v>67</v>
      </c>
      <c r="G1146" t="s">
        <v>84</v>
      </c>
      <c r="H1146" t="s">
        <v>6003</v>
      </c>
      <c r="I1146" t="s">
        <v>6004</v>
      </c>
      <c r="J1146" t="s">
        <v>79</v>
      </c>
      <c r="K1146" t="s">
        <v>80</v>
      </c>
      <c r="L1146" t="s">
        <v>72</v>
      </c>
      <c r="M1146" t="s">
        <v>72</v>
      </c>
      <c r="N1146" s="5"/>
      <c r="O1146" t="str">
        <f t="shared" si="17"/>
        <v/>
      </c>
    </row>
    <row r="1147" spans="1:15" x14ac:dyDescent="0.25">
      <c r="A1147" t="s">
        <v>6005</v>
      </c>
      <c r="B1147" t="s">
        <v>6006</v>
      </c>
      <c r="C1147" t="s">
        <v>1601</v>
      </c>
      <c r="D1147">
        <v>2024</v>
      </c>
      <c r="E1147" t="s">
        <v>56</v>
      </c>
      <c r="F1147" t="s">
        <v>67</v>
      </c>
      <c r="G1147" t="s">
        <v>3288</v>
      </c>
      <c r="H1147" t="s">
        <v>6007</v>
      </c>
      <c r="I1147" t="s">
        <v>6008</v>
      </c>
      <c r="J1147" t="s">
        <v>87</v>
      </c>
      <c r="K1147" t="s">
        <v>19</v>
      </c>
      <c r="L1147" t="s">
        <v>72</v>
      </c>
      <c r="M1147" t="s">
        <v>72</v>
      </c>
      <c r="N1147" s="5"/>
      <c r="O1147" t="str">
        <f t="shared" si="17"/>
        <v/>
      </c>
    </row>
    <row r="1148" spans="1:15" x14ac:dyDescent="0.25">
      <c r="A1148" t="s">
        <v>6009</v>
      </c>
      <c r="B1148" t="s">
        <v>6010</v>
      </c>
      <c r="C1148" t="s">
        <v>6011</v>
      </c>
      <c r="D1148">
        <v>2024</v>
      </c>
      <c r="E1148" t="s">
        <v>56</v>
      </c>
      <c r="F1148" t="s">
        <v>57</v>
      </c>
      <c r="G1148" t="s">
        <v>6012</v>
      </c>
      <c r="H1148" t="s">
        <v>6013</v>
      </c>
      <c r="I1148" t="s">
        <v>6014</v>
      </c>
      <c r="J1148" t="s">
        <v>165</v>
      </c>
      <c r="K1148" t="s">
        <v>166</v>
      </c>
      <c r="L1148" t="s">
        <v>63</v>
      </c>
      <c r="M1148" t="s">
        <v>72</v>
      </c>
      <c r="N1148" s="5"/>
      <c r="O1148" t="str">
        <f t="shared" si="17"/>
        <v/>
      </c>
    </row>
    <row r="1149" spans="1:15" x14ac:dyDescent="0.25">
      <c r="A1149" t="s">
        <v>6015</v>
      </c>
      <c r="B1149" t="s">
        <v>6016</v>
      </c>
      <c r="C1149" t="s">
        <v>1568</v>
      </c>
      <c r="D1149">
        <v>2024</v>
      </c>
      <c r="E1149" t="s">
        <v>56</v>
      </c>
      <c r="F1149" t="s">
        <v>57</v>
      </c>
      <c r="G1149" t="s">
        <v>279</v>
      </c>
      <c r="H1149" t="s">
        <v>6017</v>
      </c>
      <c r="I1149" t="s">
        <v>6018</v>
      </c>
      <c r="J1149" t="s">
        <v>165</v>
      </c>
      <c r="K1149" t="s">
        <v>166</v>
      </c>
      <c r="L1149" t="s">
        <v>63</v>
      </c>
      <c r="M1149" t="s">
        <v>72</v>
      </c>
      <c r="N1149" s="5"/>
      <c r="O1149" t="str">
        <f t="shared" si="17"/>
        <v/>
      </c>
    </row>
    <row r="1150" spans="1:15" x14ac:dyDescent="0.25">
      <c r="A1150" t="s">
        <v>6019</v>
      </c>
      <c r="B1150" t="s">
        <v>6020</v>
      </c>
      <c r="C1150" t="s">
        <v>6021</v>
      </c>
      <c r="D1150">
        <v>2024</v>
      </c>
      <c r="E1150" t="s">
        <v>56</v>
      </c>
      <c r="F1150" t="s">
        <v>57</v>
      </c>
      <c r="G1150" t="s">
        <v>750</v>
      </c>
      <c r="H1150" t="s">
        <v>6022</v>
      </c>
      <c r="I1150" t="s">
        <v>6023</v>
      </c>
      <c r="J1150" t="s">
        <v>165</v>
      </c>
      <c r="K1150" t="s">
        <v>166</v>
      </c>
      <c r="L1150" t="s">
        <v>63</v>
      </c>
      <c r="M1150" t="s">
        <v>72</v>
      </c>
      <c r="N1150" s="5"/>
      <c r="O1150" t="str">
        <f t="shared" si="17"/>
        <v/>
      </c>
    </row>
    <row r="1151" spans="1:15" x14ac:dyDescent="0.25">
      <c r="A1151" t="s">
        <v>6024</v>
      </c>
      <c r="B1151" t="s">
        <v>6025</v>
      </c>
      <c r="C1151" t="s">
        <v>6026</v>
      </c>
      <c r="D1151">
        <v>2024</v>
      </c>
      <c r="E1151" t="s">
        <v>56</v>
      </c>
      <c r="F1151" t="s">
        <v>67</v>
      </c>
      <c r="G1151" t="s">
        <v>6027</v>
      </c>
      <c r="H1151" t="s">
        <v>6028</v>
      </c>
      <c r="I1151" t="s">
        <v>6029</v>
      </c>
      <c r="J1151" t="s">
        <v>71</v>
      </c>
      <c r="K1151" t="s">
        <v>18</v>
      </c>
      <c r="L1151" t="s">
        <v>72</v>
      </c>
      <c r="M1151" t="s">
        <v>72</v>
      </c>
      <c r="N1151" s="5"/>
      <c r="O1151" t="str">
        <f t="shared" si="17"/>
        <v/>
      </c>
    </row>
    <row r="1152" spans="1:15" x14ac:dyDescent="0.25">
      <c r="A1152" t="s">
        <v>6030</v>
      </c>
      <c r="B1152" t="s">
        <v>6031</v>
      </c>
      <c r="C1152" t="s">
        <v>3659</v>
      </c>
      <c r="D1152">
        <v>2024</v>
      </c>
      <c r="E1152" t="s">
        <v>56</v>
      </c>
      <c r="F1152" t="s">
        <v>67</v>
      </c>
      <c r="G1152" t="s">
        <v>76</v>
      </c>
      <c r="H1152" t="s">
        <v>6032</v>
      </c>
      <c r="I1152" t="s">
        <v>6033</v>
      </c>
      <c r="J1152" t="s">
        <v>87</v>
      </c>
      <c r="K1152" t="s">
        <v>19</v>
      </c>
      <c r="L1152" t="s">
        <v>72</v>
      </c>
      <c r="M1152" t="s">
        <v>72</v>
      </c>
      <c r="N1152" s="5"/>
      <c r="O1152" t="str">
        <f t="shared" si="17"/>
        <v/>
      </c>
    </row>
    <row r="1153" spans="1:15" x14ac:dyDescent="0.25">
      <c r="A1153" t="s">
        <v>6034</v>
      </c>
      <c r="B1153" t="s">
        <v>6035</v>
      </c>
      <c r="C1153" t="s">
        <v>6036</v>
      </c>
      <c r="D1153">
        <v>2024</v>
      </c>
      <c r="E1153" t="s">
        <v>56</v>
      </c>
      <c r="F1153" t="s">
        <v>57</v>
      </c>
      <c r="G1153" t="s">
        <v>596</v>
      </c>
      <c r="H1153" t="s">
        <v>6037</v>
      </c>
      <c r="I1153" t="s">
        <v>6038</v>
      </c>
      <c r="J1153" t="s">
        <v>87</v>
      </c>
      <c r="K1153" t="s">
        <v>19</v>
      </c>
      <c r="L1153" t="s">
        <v>72</v>
      </c>
      <c r="M1153" t="s">
        <v>72</v>
      </c>
      <c r="N1153" s="5"/>
      <c r="O1153" t="str">
        <f t="shared" si="17"/>
        <v/>
      </c>
    </row>
    <row r="1154" spans="1:15" x14ac:dyDescent="0.25">
      <c r="A1154" t="s">
        <v>6039</v>
      </c>
      <c r="B1154" t="s">
        <v>6040</v>
      </c>
      <c r="C1154" t="s">
        <v>5891</v>
      </c>
      <c r="D1154">
        <v>2024</v>
      </c>
      <c r="E1154" t="s">
        <v>56</v>
      </c>
      <c r="F1154" t="s">
        <v>57</v>
      </c>
      <c r="G1154" t="s">
        <v>6041</v>
      </c>
      <c r="H1154" t="s">
        <v>6042</v>
      </c>
      <c r="I1154" t="s">
        <v>6043</v>
      </c>
      <c r="J1154" t="s">
        <v>87</v>
      </c>
      <c r="K1154" t="s">
        <v>19</v>
      </c>
      <c r="L1154" t="s">
        <v>72</v>
      </c>
      <c r="M1154" t="s">
        <v>72</v>
      </c>
      <c r="N1154" s="5"/>
      <c r="O1154" t="str">
        <f t="shared" ref="O1154:O1217" si="18">IF(N1154="","",IF(N1154=J1154,1,0))</f>
        <v/>
      </c>
    </row>
    <row r="1155" spans="1:15" x14ac:dyDescent="0.25">
      <c r="A1155" t="s">
        <v>6044</v>
      </c>
      <c r="B1155" t="s">
        <v>6045</v>
      </c>
      <c r="C1155" t="s">
        <v>117</v>
      </c>
      <c r="D1155">
        <v>2024</v>
      </c>
      <c r="E1155" t="s">
        <v>56</v>
      </c>
      <c r="F1155" t="s">
        <v>67</v>
      </c>
      <c r="G1155" t="s">
        <v>679</v>
      </c>
      <c r="H1155" t="s">
        <v>6046</v>
      </c>
      <c r="I1155" t="s">
        <v>6047</v>
      </c>
      <c r="J1155" t="s">
        <v>71</v>
      </c>
      <c r="K1155" t="s">
        <v>18</v>
      </c>
      <c r="L1155" t="s">
        <v>72</v>
      </c>
      <c r="M1155" t="s">
        <v>72</v>
      </c>
      <c r="N1155" s="5"/>
      <c r="O1155" t="str">
        <f t="shared" si="18"/>
        <v/>
      </c>
    </row>
    <row r="1156" spans="1:15" x14ac:dyDescent="0.25">
      <c r="A1156" t="s">
        <v>6048</v>
      </c>
      <c r="B1156" t="s">
        <v>6049</v>
      </c>
      <c r="C1156" t="s">
        <v>4380</v>
      </c>
      <c r="D1156">
        <v>2024</v>
      </c>
      <c r="E1156" t="s">
        <v>56</v>
      </c>
      <c r="F1156" t="s">
        <v>67</v>
      </c>
      <c r="G1156" t="s">
        <v>1130</v>
      </c>
      <c r="H1156" t="s">
        <v>6050</v>
      </c>
      <c r="I1156" t="s">
        <v>6051</v>
      </c>
      <c r="J1156" t="s">
        <v>71</v>
      </c>
      <c r="K1156" t="s">
        <v>18</v>
      </c>
      <c r="L1156" t="s">
        <v>72</v>
      </c>
      <c r="M1156" t="s">
        <v>72</v>
      </c>
      <c r="N1156" s="5"/>
      <c r="O1156" t="str">
        <f t="shared" si="18"/>
        <v/>
      </c>
    </row>
    <row r="1157" spans="1:15" x14ac:dyDescent="0.25">
      <c r="A1157" t="s">
        <v>6052</v>
      </c>
      <c r="B1157" t="s">
        <v>6053</v>
      </c>
      <c r="C1157" t="s">
        <v>1527</v>
      </c>
      <c r="D1157">
        <v>2024</v>
      </c>
      <c r="E1157" t="s">
        <v>56</v>
      </c>
      <c r="F1157" t="s">
        <v>67</v>
      </c>
      <c r="G1157" t="s">
        <v>4222</v>
      </c>
      <c r="H1157" t="s">
        <v>6054</v>
      </c>
      <c r="I1157" t="s">
        <v>6055</v>
      </c>
      <c r="J1157" t="s">
        <v>71</v>
      </c>
      <c r="K1157" t="s">
        <v>18</v>
      </c>
      <c r="L1157" t="s">
        <v>72</v>
      </c>
      <c r="M1157" t="s">
        <v>72</v>
      </c>
      <c r="N1157" s="5"/>
      <c r="O1157" t="str">
        <f t="shared" si="18"/>
        <v/>
      </c>
    </row>
    <row r="1158" spans="1:15" x14ac:dyDescent="0.25">
      <c r="A1158" t="s">
        <v>6056</v>
      </c>
      <c r="B1158" t="s">
        <v>6057</v>
      </c>
      <c r="C1158" t="s">
        <v>6058</v>
      </c>
      <c r="D1158">
        <v>2024</v>
      </c>
      <c r="E1158" t="s">
        <v>56</v>
      </c>
      <c r="F1158" t="s">
        <v>67</v>
      </c>
      <c r="G1158" t="s">
        <v>6059</v>
      </c>
      <c r="H1158" t="s">
        <v>6060</v>
      </c>
      <c r="I1158" t="s">
        <v>6061</v>
      </c>
      <c r="J1158" t="s">
        <v>61</v>
      </c>
      <c r="K1158" t="s">
        <v>62</v>
      </c>
      <c r="L1158" t="s">
        <v>63</v>
      </c>
      <c r="M1158" t="s">
        <v>63</v>
      </c>
      <c r="N1158" s="5"/>
      <c r="O1158" t="str">
        <f t="shared" si="18"/>
        <v/>
      </c>
    </row>
    <row r="1159" spans="1:15" x14ac:dyDescent="0.25">
      <c r="A1159" t="s">
        <v>6062</v>
      </c>
      <c r="B1159" t="s">
        <v>6063</v>
      </c>
      <c r="C1159" t="s">
        <v>1232</v>
      </c>
      <c r="D1159">
        <v>2024</v>
      </c>
      <c r="E1159" t="s">
        <v>56</v>
      </c>
      <c r="F1159" t="s">
        <v>57</v>
      </c>
      <c r="G1159" t="s">
        <v>418</v>
      </c>
      <c r="H1159" t="s">
        <v>6064</v>
      </c>
      <c r="I1159" t="s">
        <v>6065</v>
      </c>
      <c r="J1159" t="s">
        <v>71</v>
      </c>
      <c r="K1159" t="s">
        <v>18</v>
      </c>
      <c r="L1159" t="s">
        <v>72</v>
      </c>
      <c r="M1159" t="s">
        <v>72</v>
      </c>
      <c r="N1159" s="5"/>
      <c r="O1159" t="str">
        <f t="shared" si="18"/>
        <v/>
      </c>
    </row>
    <row r="1160" spans="1:15" x14ac:dyDescent="0.25">
      <c r="A1160" t="s">
        <v>6066</v>
      </c>
      <c r="B1160" t="s">
        <v>6067</v>
      </c>
      <c r="C1160" t="s">
        <v>6068</v>
      </c>
      <c r="D1160">
        <v>2024</v>
      </c>
      <c r="E1160" t="s">
        <v>56</v>
      </c>
      <c r="F1160" t="s">
        <v>67</v>
      </c>
      <c r="G1160" t="s">
        <v>6069</v>
      </c>
      <c r="H1160" t="s">
        <v>6070</v>
      </c>
      <c r="I1160" t="s">
        <v>6071</v>
      </c>
      <c r="J1160" t="s">
        <v>71</v>
      </c>
      <c r="K1160" t="s">
        <v>18</v>
      </c>
      <c r="L1160" t="s">
        <v>72</v>
      </c>
      <c r="M1160" t="s">
        <v>72</v>
      </c>
      <c r="N1160" s="5"/>
      <c r="O1160" t="str">
        <f t="shared" si="18"/>
        <v/>
      </c>
    </row>
    <row r="1161" spans="1:15" x14ac:dyDescent="0.25">
      <c r="A1161" t="s">
        <v>6072</v>
      </c>
      <c r="B1161" t="s">
        <v>6073</v>
      </c>
      <c r="C1161" t="s">
        <v>2934</v>
      </c>
      <c r="D1161">
        <v>2024</v>
      </c>
      <c r="E1161" t="s">
        <v>56</v>
      </c>
      <c r="F1161" t="s">
        <v>67</v>
      </c>
      <c r="G1161" t="s">
        <v>3900</v>
      </c>
      <c r="H1161" t="s">
        <v>6074</v>
      </c>
      <c r="I1161" t="s">
        <v>6075</v>
      </c>
      <c r="J1161" t="s">
        <v>87</v>
      </c>
      <c r="K1161" t="s">
        <v>19</v>
      </c>
      <c r="L1161" t="s">
        <v>72</v>
      </c>
      <c r="M1161" t="s">
        <v>72</v>
      </c>
      <c r="N1161" s="5"/>
      <c r="O1161" t="str">
        <f t="shared" si="18"/>
        <v/>
      </c>
    </row>
    <row r="1162" spans="1:15" x14ac:dyDescent="0.25">
      <c r="A1162" t="s">
        <v>6076</v>
      </c>
      <c r="B1162" t="s">
        <v>6077</v>
      </c>
      <c r="C1162" t="s">
        <v>815</v>
      </c>
      <c r="D1162">
        <v>2024</v>
      </c>
      <c r="E1162" t="s">
        <v>56</v>
      </c>
      <c r="F1162" t="s">
        <v>67</v>
      </c>
      <c r="G1162" t="s">
        <v>6078</v>
      </c>
      <c r="H1162" t="s">
        <v>6079</v>
      </c>
      <c r="I1162" t="s">
        <v>6080</v>
      </c>
      <c r="J1162" t="s">
        <v>71</v>
      </c>
      <c r="K1162" t="s">
        <v>18</v>
      </c>
      <c r="L1162" t="s">
        <v>72</v>
      </c>
      <c r="M1162" t="s">
        <v>72</v>
      </c>
      <c r="N1162" s="5"/>
      <c r="O1162" t="str">
        <f t="shared" si="18"/>
        <v/>
      </c>
    </row>
    <row r="1163" spans="1:15" x14ac:dyDescent="0.25">
      <c r="A1163" t="s">
        <v>6081</v>
      </c>
      <c r="B1163" t="s">
        <v>6082</v>
      </c>
      <c r="C1163" t="s">
        <v>2194</v>
      </c>
      <c r="D1163">
        <v>2024</v>
      </c>
      <c r="E1163" t="s">
        <v>56</v>
      </c>
      <c r="F1163" t="s">
        <v>57</v>
      </c>
      <c r="G1163" t="s">
        <v>6083</v>
      </c>
      <c r="H1163" t="s">
        <v>6084</v>
      </c>
      <c r="I1163" t="s">
        <v>6085</v>
      </c>
      <c r="J1163" t="s">
        <v>61</v>
      </c>
      <c r="K1163" t="s">
        <v>62</v>
      </c>
      <c r="L1163" t="s">
        <v>63</v>
      </c>
      <c r="M1163" t="s">
        <v>63</v>
      </c>
      <c r="N1163" s="5"/>
      <c r="O1163" t="str">
        <f t="shared" si="18"/>
        <v/>
      </c>
    </row>
    <row r="1164" spans="1:15" x14ac:dyDescent="0.25">
      <c r="A1164" t="s">
        <v>6086</v>
      </c>
      <c r="B1164" t="s">
        <v>6087</v>
      </c>
      <c r="C1164" t="s">
        <v>6088</v>
      </c>
      <c r="D1164">
        <v>2024</v>
      </c>
      <c r="E1164" t="s">
        <v>56</v>
      </c>
      <c r="F1164" t="s">
        <v>57</v>
      </c>
      <c r="G1164" t="s">
        <v>6089</v>
      </c>
      <c r="H1164" t="s">
        <v>6090</v>
      </c>
      <c r="I1164" t="s">
        <v>6091</v>
      </c>
      <c r="J1164" t="s">
        <v>165</v>
      </c>
      <c r="K1164" t="s">
        <v>166</v>
      </c>
      <c r="L1164" t="s">
        <v>63</v>
      </c>
      <c r="M1164" t="s">
        <v>72</v>
      </c>
      <c r="N1164" s="5"/>
      <c r="O1164" t="str">
        <f t="shared" si="18"/>
        <v/>
      </c>
    </row>
    <row r="1165" spans="1:15" x14ac:dyDescent="0.25">
      <c r="A1165" t="s">
        <v>6092</v>
      </c>
      <c r="B1165" t="s">
        <v>6093</v>
      </c>
      <c r="C1165" t="s">
        <v>6094</v>
      </c>
      <c r="D1165">
        <v>2024</v>
      </c>
      <c r="E1165" t="s">
        <v>56</v>
      </c>
      <c r="F1165" t="s">
        <v>67</v>
      </c>
      <c r="G1165" t="s">
        <v>1130</v>
      </c>
      <c r="H1165" t="s">
        <v>6095</v>
      </c>
      <c r="I1165" t="s">
        <v>6096</v>
      </c>
      <c r="J1165" t="s">
        <v>71</v>
      </c>
      <c r="K1165" t="s">
        <v>18</v>
      </c>
      <c r="L1165" t="s">
        <v>72</v>
      </c>
      <c r="M1165" t="s">
        <v>72</v>
      </c>
      <c r="N1165" s="5"/>
      <c r="O1165" t="str">
        <f t="shared" si="18"/>
        <v/>
      </c>
    </row>
    <row r="1166" spans="1:15" x14ac:dyDescent="0.25">
      <c r="A1166" t="s">
        <v>6097</v>
      </c>
      <c r="B1166" t="s">
        <v>6098</v>
      </c>
      <c r="C1166" t="s">
        <v>6099</v>
      </c>
      <c r="D1166">
        <v>2024</v>
      </c>
      <c r="E1166" t="s">
        <v>56</v>
      </c>
      <c r="F1166" t="s">
        <v>67</v>
      </c>
      <c r="G1166" t="s">
        <v>3900</v>
      </c>
      <c r="H1166" t="s">
        <v>6100</v>
      </c>
      <c r="I1166" t="s">
        <v>6101</v>
      </c>
      <c r="J1166" t="s">
        <v>71</v>
      </c>
      <c r="K1166" t="s">
        <v>18</v>
      </c>
      <c r="L1166" t="s">
        <v>72</v>
      </c>
      <c r="M1166" t="s">
        <v>72</v>
      </c>
      <c r="N1166" s="5"/>
      <c r="O1166" t="str">
        <f t="shared" si="18"/>
        <v/>
      </c>
    </row>
    <row r="1167" spans="1:15" x14ac:dyDescent="0.25">
      <c r="A1167" t="s">
        <v>6102</v>
      </c>
      <c r="B1167" t="s">
        <v>6103</v>
      </c>
      <c r="C1167" t="s">
        <v>6104</v>
      </c>
      <c r="D1167">
        <v>2024</v>
      </c>
      <c r="E1167" t="s">
        <v>56</v>
      </c>
      <c r="F1167" t="s">
        <v>67</v>
      </c>
      <c r="G1167" t="s">
        <v>6105</v>
      </c>
      <c r="H1167" t="s">
        <v>6106</v>
      </c>
      <c r="I1167" t="s">
        <v>6107</v>
      </c>
      <c r="J1167" t="s">
        <v>71</v>
      </c>
      <c r="K1167" t="s">
        <v>18</v>
      </c>
      <c r="L1167" t="s">
        <v>72</v>
      </c>
      <c r="M1167" t="s">
        <v>72</v>
      </c>
      <c r="N1167" s="5"/>
      <c r="O1167" t="str">
        <f t="shared" si="18"/>
        <v/>
      </c>
    </row>
    <row r="1168" spans="1:15" x14ac:dyDescent="0.25">
      <c r="A1168" t="s">
        <v>6108</v>
      </c>
      <c r="B1168" t="s">
        <v>6109</v>
      </c>
      <c r="C1168" t="s">
        <v>6110</v>
      </c>
      <c r="D1168">
        <v>2024</v>
      </c>
      <c r="E1168" t="s">
        <v>56</v>
      </c>
      <c r="F1168" t="s">
        <v>67</v>
      </c>
      <c r="G1168" t="s">
        <v>6111</v>
      </c>
      <c r="H1168" t="s">
        <v>6112</v>
      </c>
      <c r="I1168" t="s">
        <v>6113</v>
      </c>
      <c r="J1168" t="s">
        <v>71</v>
      </c>
      <c r="K1168" t="s">
        <v>18</v>
      </c>
      <c r="L1168" t="s">
        <v>72</v>
      </c>
      <c r="M1168" t="s">
        <v>72</v>
      </c>
      <c r="N1168" s="5"/>
      <c r="O1168" t="str">
        <f t="shared" si="18"/>
        <v/>
      </c>
    </row>
    <row r="1169" spans="1:15" x14ac:dyDescent="0.25">
      <c r="A1169" t="s">
        <v>6114</v>
      </c>
      <c r="B1169" t="s">
        <v>6115</v>
      </c>
      <c r="C1169" t="s">
        <v>144</v>
      </c>
      <c r="D1169">
        <v>2024</v>
      </c>
      <c r="E1169" t="s">
        <v>56</v>
      </c>
      <c r="F1169" t="s">
        <v>57</v>
      </c>
      <c r="G1169" t="s">
        <v>3710</v>
      </c>
      <c r="H1169" t="s">
        <v>6116</v>
      </c>
      <c r="I1169" t="s">
        <v>6117</v>
      </c>
      <c r="J1169" t="s">
        <v>87</v>
      </c>
      <c r="K1169" t="s">
        <v>19</v>
      </c>
      <c r="L1169" t="s">
        <v>72</v>
      </c>
      <c r="M1169" t="s">
        <v>72</v>
      </c>
      <c r="N1169" s="5"/>
      <c r="O1169" t="str">
        <f t="shared" si="18"/>
        <v/>
      </c>
    </row>
    <row r="1170" spans="1:15" x14ac:dyDescent="0.25">
      <c r="A1170" t="s">
        <v>6118</v>
      </c>
      <c r="B1170" t="s">
        <v>6119</v>
      </c>
      <c r="C1170" t="s">
        <v>6120</v>
      </c>
      <c r="D1170">
        <v>2024</v>
      </c>
      <c r="E1170" t="s">
        <v>56</v>
      </c>
      <c r="F1170" t="s">
        <v>67</v>
      </c>
      <c r="G1170" t="s">
        <v>5494</v>
      </c>
      <c r="H1170" t="s">
        <v>6121</v>
      </c>
      <c r="I1170" t="s">
        <v>6122</v>
      </c>
      <c r="J1170" t="s">
        <v>71</v>
      </c>
      <c r="K1170" t="s">
        <v>18</v>
      </c>
      <c r="L1170" t="s">
        <v>72</v>
      </c>
      <c r="M1170" t="s">
        <v>72</v>
      </c>
      <c r="N1170" s="5"/>
      <c r="O1170" t="str">
        <f t="shared" si="18"/>
        <v/>
      </c>
    </row>
    <row r="1171" spans="1:15" x14ac:dyDescent="0.25">
      <c r="A1171" t="s">
        <v>6123</v>
      </c>
      <c r="B1171" t="s">
        <v>6124</v>
      </c>
      <c r="C1171" t="s">
        <v>6125</v>
      </c>
      <c r="D1171">
        <v>2024</v>
      </c>
      <c r="E1171" t="s">
        <v>56</v>
      </c>
      <c r="F1171" t="s">
        <v>67</v>
      </c>
      <c r="G1171" t="s">
        <v>6126</v>
      </c>
      <c r="H1171" t="s">
        <v>6127</v>
      </c>
      <c r="I1171" t="s">
        <v>6128</v>
      </c>
      <c r="J1171" t="s">
        <v>71</v>
      </c>
      <c r="K1171" t="s">
        <v>18</v>
      </c>
      <c r="L1171" t="s">
        <v>72</v>
      </c>
      <c r="M1171" t="s">
        <v>72</v>
      </c>
      <c r="N1171" s="5"/>
      <c r="O1171" t="str">
        <f t="shared" si="18"/>
        <v/>
      </c>
    </row>
    <row r="1172" spans="1:15" x14ac:dyDescent="0.25">
      <c r="A1172" t="s">
        <v>6129</v>
      </c>
      <c r="B1172" t="s">
        <v>6124</v>
      </c>
      <c r="C1172" t="s">
        <v>6130</v>
      </c>
      <c r="D1172">
        <v>2024</v>
      </c>
      <c r="E1172" t="s">
        <v>56</v>
      </c>
      <c r="F1172" t="s">
        <v>67</v>
      </c>
      <c r="G1172" t="s">
        <v>6131</v>
      </c>
      <c r="H1172" t="s">
        <v>6127</v>
      </c>
      <c r="I1172" t="s">
        <v>6132</v>
      </c>
      <c r="J1172" t="s">
        <v>71</v>
      </c>
      <c r="K1172" t="s">
        <v>18</v>
      </c>
      <c r="L1172" t="s">
        <v>72</v>
      </c>
      <c r="M1172" t="s">
        <v>72</v>
      </c>
      <c r="N1172" s="5"/>
      <c r="O1172" t="str">
        <f t="shared" si="18"/>
        <v/>
      </c>
    </row>
    <row r="1173" spans="1:15" x14ac:dyDescent="0.25">
      <c r="A1173" t="s">
        <v>6133</v>
      </c>
      <c r="B1173" t="s">
        <v>6134</v>
      </c>
      <c r="C1173" t="s">
        <v>3456</v>
      </c>
      <c r="D1173">
        <v>2024</v>
      </c>
      <c r="E1173" t="s">
        <v>56</v>
      </c>
      <c r="F1173" t="s">
        <v>57</v>
      </c>
      <c r="G1173" t="s">
        <v>6135</v>
      </c>
      <c r="H1173" t="s">
        <v>6136</v>
      </c>
      <c r="I1173" t="s">
        <v>6137</v>
      </c>
      <c r="J1173" t="s">
        <v>71</v>
      </c>
      <c r="K1173" t="s">
        <v>18</v>
      </c>
      <c r="L1173" t="s">
        <v>72</v>
      </c>
      <c r="M1173" t="s">
        <v>72</v>
      </c>
      <c r="N1173" s="5"/>
      <c r="O1173" t="str">
        <f t="shared" si="18"/>
        <v/>
      </c>
    </row>
    <row r="1174" spans="1:15" x14ac:dyDescent="0.25">
      <c r="A1174" t="s">
        <v>6138</v>
      </c>
      <c r="B1174" t="s">
        <v>6139</v>
      </c>
      <c r="C1174" t="s">
        <v>6140</v>
      </c>
      <c r="D1174">
        <v>2024</v>
      </c>
      <c r="E1174" t="s">
        <v>56</v>
      </c>
      <c r="F1174" t="s">
        <v>67</v>
      </c>
      <c r="G1174" t="s">
        <v>6141</v>
      </c>
      <c r="H1174" t="s">
        <v>6142</v>
      </c>
      <c r="I1174" t="s">
        <v>6143</v>
      </c>
      <c r="J1174" t="s">
        <v>71</v>
      </c>
      <c r="K1174" t="s">
        <v>18</v>
      </c>
      <c r="L1174" t="s">
        <v>72</v>
      </c>
      <c r="M1174" t="s">
        <v>72</v>
      </c>
      <c r="N1174" s="5"/>
      <c r="O1174" t="str">
        <f t="shared" si="18"/>
        <v/>
      </c>
    </row>
    <row r="1175" spans="1:15" x14ac:dyDescent="0.25">
      <c r="A1175" t="s">
        <v>6144</v>
      </c>
      <c r="B1175" t="s">
        <v>6145</v>
      </c>
      <c r="C1175" t="s">
        <v>6146</v>
      </c>
      <c r="D1175">
        <v>2024</v>
      </c>
      <c r="E1175" t="s">
        <v>56</v>
      </c>
      <c r="F1175" t="s">
        <v>57</v>
      </c>
      <c r="G1175" t="s">
        <v>2646</v>
      </c>
      <c r="H1175" t="s">
        <v>6147</v>
      </c>
      <c r="I1175" t="s">
        <v>6148</v>
      </c>
      <c r="J1175" t="s">
        <v>79</v>
      </c>
      <c r="K1175" t="s">
        <v>80</v>
      </c>
      <c r="L1175" t="s">
        <v>72</v>
      </c>
      <c r="M1175" t="s">
        <v>72</v>
      </c>
      <c r="N1175" s="5"/>
      <c r="O1175" t="str">
        <f t="shared" si="18"/>
        <v/>
      </c>
    </row>
    <row r="1176" spans="1:15" x14ac:dyDescent="0.25">
      <c r="A1176" t="s">
        <v>6149</v>
      </c>
      <c r="B1176" t="s">
        <v>6150</v>
      </c>
      <c r="C1176" t="s">
        <v>6151</v>
      </c>
      <c r="D1176">
        <v>2024</v>
      </c>
      <c r="E1176" t="s">
        <v>56</v>
      </c>
      <c r="F1176" t="s">
        <v>67</v>
      </c>
      <c r="G1176" t="s">
        <v>151</v>
      </c>
      <c r="H1176" t="s">
        <v>6152</v>
      </c>
      <c r="I1176" t="s">
        <v>6153</v>
      </c>
      <c r="J1176" t="s">
        <v>87</v>
      </c>
      <c r="K1176" t="s">
        <v>19</v>
      </c>
      <c r="L1176" t="s">
        <v>72</v>
      </c>
      <c r="M1176" t="s">
        <v>72</v>
      </c>
      <c r="N1176" s="5"/>
      <c r="O1176" t="str">
        <f t="shared" si="18"/>
        <v/>
      </c>
    </row>
    <row r="1177" spans="1:15" x14ac:dyDescent="0.25">
      <c r="A1177" t="s">
        <v>6154</v>
      </c>
      <c r="B1177" t="s">
        <v>6155</v>
      </c>
      <c r="C1177" t="s">
        <v>6156</v>
      </c>
      <c r="D1177">
        <v>2024</v>
      </c>
      <c r="E1177" t="s">
        <v>56</v>
      </c>
      <c r="F1177" t="s">
        <v>67</v>
      </c>
      <c r="G1177" t="s">
        <v>6157</v>
      </c>
      <c r="H1177" t="s">
        <v>6158</v>
      </c>
      <c r="I1177" t="s">
        <v>6159</v>
      </c>
      <c r="J1177" t="s">
        <v>71</v>
      </c>
      <c r="K1177" t="s">
        <v>18</v>
      </c>
      <c r="L1177" t="s">
        <v>72</v>
      </c>
      <c r="M1177" t="s">
        <v>72</v>
      </c>
      <c r="N1177" s="5"/>
      <c r="O1177" t="str">
        <f t="shared" si="18"/>
        <v/>
      </c>
    </row>
    <row r="1178" spans="1:15" x14ac:dyDescent="0.25">
      <c r="A1178" t="s">
        <v>6160</v>
      </c>
      <c r="B1178" t="s">
        <v>6161</v>
      </c>
      <c r="C1178" t="s">
        <v>6162</v>
      </c>
      <c r="D1178">
        <v>2024</v>
      </c>
      <c r="E1178" t="s">
        <v>56</v>
      </c>
      <c r="F1178" t="s">
        <v>57</v>
      </c>
      <c r="G1178" t="s">
        <v>6163</v>
      </c>
      <c r="H1178" t="s">
        <v>6164</v>
      </c>
      <c r="I1178" t="s">
        <v>6165</v>
      </c>
      <c r="J1178" t="s">
        <v>71</v>
      </c>
      <c r="K1178" t="s">
        <v>18</v>
      </c>
      <c r="L1178" t="s">
        <v>72</v>
      </c>
      <c r="M1178" t="s">
        <v>72</v>
      </c>
      <c r="N1178" s="5"/>
      <c r="O1178" t="str">
        <f t="shared" si="18"/>
        <v/>
      </c>
    </row>
    <row r="1179" spans="1:15" x14ac:dyDescent="0.25">
      <c r="A1179" t="s">
        <v>6166</v>
      </c>
      <c r="B1179" t="s">
        <v>6167</v>
      </c>
      <c r="C1179" t="s">
        <v>95</v>
      </c>
      <c r="D1179">
        <v>2024</v>
      </c>
      <c r="E1179" t="s">
        <v>56</v>
      </c>
      <c r="F1179" t="s">
        <v>67</v>
      </c>
      <c r="G1179" t="s">
        <v>6168</v>
      </c>
      <c r="H1179" t="s">
        <v>6169</v>
      </c>
      <c r="I1179" t="s">
        <v>6170</v>
      </c>
      <c r="J1179" t="s">
        <v>71</v>
      </c>
      <c r="K1179" t="s">
        <v>18</v>
      </c>
      <c r="L1179" t="s">
        <v>72</v>
      </c>
      <c r="M1179" t="s">
        <v>72</v>
      </c>
      <c r="N1179" s="5"/>
      <c r="O1179" t="str">
        <f t="shared" si="18"/>
        <v/>
      </c>
    </row>
    <row r="1180" spans="1:15" x14ac:dyDescent="0.25">
      <c r="A1180" t="s">
        <v>6171</v>
      </c>
      <c r="B1180" t="s">
        <v>6172</v>
      </c>
      <c r="C1180" t="s">
        <v>6173</v>
      </c>
      <c r="D1180">
        <v>2024</v>
      </c>
      <c r="E1180" t="s">
        <v>56</v>
      </c>
      <c r="F1180" t="s">
        <v>57</v>
      </c>
      <c r="G1180" t="s">
        <v>859</v>
      </c>
      <c r="H1180" t="s">
        <v>6174</v>
      </c>
      <c r="I1180" t="s">
        <v>6175</v>
      </c>
      <c r="J1180" t="s">
        <v>98</v>
      </c>
      <c r="K1180" t="s">
        <v>99</v>
      </c>
      <c r="L1180" t="s">
        <v>63</v>
      </c>
      <c r="M1180" t="s">
        <v>72</v>
      </c>
      <c r="N1180" s="5"/>
      <c r="O1180" t="str">
        <f t="shared" si="18"/>
        <v/>
      </c>
    </row>
    <row r="1181" spans="1:15" x14ac:dyDescent="0.25">
      <c r="A1181" t="s">
        <v>6176</v>
      </c>
      <c r="B1181" t="s">
        <v>6177</v>
      </c>
      <c r="C1181" t="s">
        <v>6178</v>
      </c>
      <c r="D1181">
        <v>2024</v>
      </c>
      <c r="E1181" t="s">
        <v>56</v>
      </c>
      <c r="F1181" t="s">
        <v>67</v>
      </c>
      <c r="G1181" t="s">
        <v>2134</v>
      </c>
      <c r="H1181" t="s">
        <v>6179</v>
      </c>
      <c r="I1181" t="s">
        <v>6180</v>
      </c>
      <c r="J1181" t="s">
        <v>71</v>
      </c>
      <c r="K1181" t="s">
        <v>18</v>
      </c>
      <c r="L1181" t="s">
        <v>72</v>
      </c>
      <c r="M1181" t="s">
        <v>72</v>
      </c>
      <c r="N1181" s="5"/>
      <c r="O1181" t="str">
        <f t="shared" si="18"/>
        <v/>
      </c>
    </row>
    <row r="1182" spans="1:15" x14ac:dyDescent="0.25">
      <c r="A1182" t="s">
        <v>6181</v>
      </c>
      <c r="B1182" t="s">
        <v>6182</v>
      </c>
      <c r="C1182" t="s">
        <v>555</v>
      </c>
      <c r="D1182">
        <v>2024</v>
      </c>
      <c r="E1182" t="s">
        <v>56</v>
      </c>
      <c r="F1182" t="s">
        <v>67</v>
      </c>
      <c r="G1182" t="s">
        <v>3288</v>
      </c>
      <c r="H1182" t="s">
        <v>6183</v>
      </c>
      <c r="I1182" t="s">
        <v>6184</v>
      </c>
      <c r="J1182" t="s">
        <v>71</v>
      </c>
      <c r="K1182" t="s">
        <v>18</v>
      </c>
      <c r="L1182" t="s">
        <v>72</v>
      </c>
      <c r="M1182" t="s">
        <v>72</v>
      </c>
      <c r="N1182" s="5"/>
      <c r="O1182" t="str">
        <f t="shared" si="18"/>
        <v/>
      </c>
    </row>
    <row r="1183" spans="1:15" x14ac:dyDescent="0.25">
      <c r="A1183" t="s">
        <v>6185</v>
      </c>
      <c r="B1183" t="s">
        <v>6186</v>
      </c>
      <c r="C1183" t="s">
        <v>4690</v>
      </c>
      <c r="D1183">
        <v>2024</v>
      </c>
      <c r="E1183" t="s">
        <v>56</v>
      </c>
      <c r="F1183" t="s">
        <v>67</v>
      </c>
      <c r="G1183" t="s">
        <v>6187</v>
      </c>
      <c r="H1183" t="s">
        <v>6188</v>
      </c>
      <c r="I1183" t="s">
        <v>6189</v>
      </c>
      <c r="J1183" t="s">
        <v>71</v>
      </c>
      <c r="K1183" t="s">
        <v>18</v>
      </c>
      <c r="L1183" t="s">
        <v>72</v>
      </c>
      <c r="M1183" t="s">
        <v>72</v>
      </c>
      <c r="N1183" s="5"/>
      <c r="O1183" t="str">
        <f t="shared" si="18"/>
        <v/>
      </c>
    </row>
    <row r="1184" spans="1:15" x14ac:dyDescent="0.25">
      <c r="A1184" t="s">
        <v>6190</v>
      </c>
      <c r="B1184" t="s">
        <v>6191</v>
      </c>
      <c r="C1184" t="s">
        <v>6192</v>
      </c>
      <c r="D1184">
        <v>2024</v>
      </c>
      <c r="E1184" t="s">
        <v>56</v>
      </c>
      <c r="F1184" t="s">
        <v>57</v>
      </c>
      <c r="G1184" t="s">
        <v>5059</v>
      </c>
      <c r="H1184" t="s">
        <v>6193</v>
      </c>
      <c r="I1184" t="s">
        <v>6194</v>
      </c>
      <c r="J1184" t="s">
        <v>79</v>
      </c>
      <c r="K1184" t="s">
        <v>80</v>
      </c>
      <c r="L1184" t="s">
        <v>72</v>
      </c>
      <c r="M1184" t="s">
        <v>72</v>
      </c>
      <c r="N1184" s="5"/>
      <c r="O1184" t="str">
        <f t="shared" si="18"/>
        <v/>
      </c>
    </row>
    <row r="1185" spans="1:15" x14ac:dyDescent="0.25">
      <c r="A1185" t="s">
        <v>6195</v>
      </c>
      <c r="B1185" t="s">
        <v>6196</v>
      </c>
      <c r="C1185" t="s">
        <v>6197</v>
      </c>
      <c r="D1185">
        <v>2024</v>
      </c>
      <c r="E1185" t="s">
        <v>56</v>
      </c>
      <c r="F1185" t="s">
        <v>67</v>
      </c>
      <c r="G1185" t="s">
        <v>2056</v>
      </c>
      <c r="H1185" t="s">
        <v>6198</v>
      </c>
      <c r="I1185" t="s">
        <v>6199</v>
      </c>
      <c r="J1185" t="s">
        <v>71</v>
      </c>
      <c r="K1185" t="s">
        <v>18</v>
      </c>
      <c r="L1185" t="s">
        <v>72</v>
      </c>
      <c r="M1185" t="s">
        <v>72</v>
      </c>
      <c r="N1185" s="5"/>
      <c r="O1185" t="str">
        <f t="shared" si="18"/>
        <v/>
      </c>
    </row>
    <row r="1186" spans="1:15" x14ac:dyDescent="0.25">
      <c r="A1186" t="s">
        <v>6200</v>
      </c>
      <c r="B1186" t="s">
        <v>6201</v>
      </c>
      <c r="C1186" t="s">
        <v>6202</v>
      </c>
      <c r="D1186">
        <v>2024</v>
      </c>
      <c r="E1186" t="s">
        <v>56</v>
      </c>
      <c r="F1186" t="s">
        <v>67</v>
      </c>
      <c r="G1186" t="s">
        <v>6203</v>
      </c>
      <c r="H1186" t="s">
        <v>6204</v>
      </c>
      <c r="I1186" t="s">
        <v>6205</v>
      </c>
      <c r="J1186" t="s">
        <v>71</v>
      </c>
      <c r="K1186" t="s">
        <v>18</v>
      </c>
      <c r="L1186" t="s">
        <v>72</v>
      </c>
      <c r="M1186" t="s">
        <v>72</v>
      </c>
      <c r="N1186" s="5"/>
      <c r="O1186" t="str">
        <f t="shared" si="18"/>
        <v/>
      </c>
    </row>
    <row r="1187" spans="1:15" x14ac:dyDescent="0.25">
      <c r="A1187" t="s">
        <v>6206</v>
      </c>
      <c r="B1187" t="s">
        <v>6207</v>
      </c>
      <c r="C1187" t="s">
        <v>571</v>
      </c>
      <c r="D1187">
        <v>2024</v>
      </c>
      <c r="E1187" t="s">
        <v>56</v>
      </c>
      <c r="F1187" t="s">
        <v>67</v>
      </c>
      <c r="G1187" t="s">
        <v>679</v>
      </c>
      <c r="H1187" t="s">
        <v>6208</v>
      </c>
      <c r="I1187" t="s">
        <v>6209</v>
      </c>
      <c r="J1187" t="s">
        <v>71</v>
      </c>
      <c r="K1187" t="s">
        <v>18</v>
      </c>
      <c r="L1187" t="s">
        <v>72</v>
      </c>
      <c r="M1187" t="s">
        <v>72</v>
      </c>
      <c r="N1187" s="5"/>
      <c r="O1187" t="str">
        <f t="shared" si="18"/>
        <v/>
      </c>
    </row>
    <row r="1188" spans="1:15" x14ac:dyDescent="0.25">
      <c r="A1188" t="s">
        <v>6210</v>
      </c>
      <c r="B1188" t="s">
        <v>6211</v>
      </c>
      <c r="C1188" t="s">
        <v>6212</v>
      </c>
      <c r="D1188">
        <v>2024</v>
      </c>
      <c r="E1188" t="s">
        <v>56</v>
      </c>
      <c r="F1188" t="s">
        <v>67</v>
      </c>
      <c r="G1188" t="s">
        <v>151</v>
      </c>
      <c r="H1188" t="s">
        <v>6213</v>
      </c>
      <c r="I1188" t="s">
        <v>6214</v>
      </c>
      <c r="J1188" t="s">
        <v>71</v>
      </c>
      <c r="K1188" t="s">
        <v>18</v>
      </c>
      <c r="L1188" t="s">
        <v>72</v>
      </c>
      <c r="M1188" t="s">
        <v>72</v>
      </c>
      <c r="N1188" s="5"/>
      <c r="O1188" t="str">
        <f t="shared" si="18"/>
        <v/>
      </c>
    </row>
    <row r="1189" spans="1:15" x14ac:dyDescent="0.25">
      <c r="A1189" t="s">
        <v>6215</v>
      </c>
      <c r="B1189" t="s">
        <v>6216</v>
      </c>
      <c r="C1189" t="s">
        <v>6217</v>
      </c>
      <c r="D1189">
        <v>2024</v>
      </c>
      <c r="E1189" t="s">
        <v>56</v>
      </c>
      <c r="F1189" t="s">
        <v>67</v>
      </c>
      <c r="G1189" t="s">
        <v>188</v>
      </c>
      <c r="H1189" t="s">
        <v>6218</v>
      </c>
      <c r="I1189" t="s">
        <v>6219</v>
      </c>
      <c r="J1189" t="s">
        <v>71</v>
      </c>
      <c r="K1189" t="s">
        <v>18</v>
      </c>
      <c r="L1189" t="s">
        <v>72</v>
      </c>
      <c r="M1189" t="s">
        <v>72</v>
      </c>
      <c r="N1189" s="5"/>
      <c r="O1189" t="str">
        <f t="shared" si="18"/>
        <v/>
      </c>
    </row>
    <row r="1190" spans="1:15" x14ac:dyDescent="0.25">
      <c r="A1190" t="s">
        <v>6220</v>
      </c>
      <c r="B1190" t="s">
        <v>6221</v>
      </c>
      <c r="C1190" t="s">
        <v>2092</v>
      </c>
      <c r="D1190">
        <v>2024</v>
      </c>
      <c r="E1190" t="s">
        <v>56</v>
      </c>
      <c r="F1190" t="s">
        <v>67</v>
      </c>
      <c r="G1190" t="s">
        <v>6222</v>
      </c>
      <c r="H1190" t="s">
        <v>6223</v>
      </c>
      <c r="I1190" t="s">
        <v>6224</v>
      </c>
      <c r="J1190" t="s">
        <v>71</v>
      </c>
      <c r="K1190" t="s">
        <v>18</v>
      </c>
      <c r="L1190" t="s">
        <v>72</v>
      </c>
      <c r="M1190" t="s">
        <v>72</v>
      </c>
      <c r="N1190" s="5"/>
      <c r="O1190" t="str">
        <f t="shared" si="18"/>
        <v/>
      </c>
    </row>
    <row r="1191" spans="1:15" x14ac:dyDescent="0.25">
      <c r="A1191" t="s">
        <v>6225</v>
      </c>
      <c r="B1191" t="s">
        <v>6221</v>
      </c>
      <c r="C1191" t="s">
        <v>6226</v>
      </c>
      <c r="D1191">
        <v>2024</v>
      </c>
      <c r="E1191" t="s">
        <v>56</v>
      </c>
      <c r="F1191" t="s">
        <v>67</v>
      </c>
      <c r="G1191" t="s">
        <v>6227</v>
      </c>
      <c r="H1191" t="s">
        <v>6223</v>
      </c>
      <c r="I1191" t="s">
        <v>6228</v>
      </c>
      <c r="J1191" t="s">
        <v>71</v>
      </c>
      <c r="K1191" t="s">
        <v>18</v>
      </c>
      <c r="L1191" t="s">
        <v>72</v>
      </c>
      <c r="M1191" t="s">
        <v>72</v>
      </c>
      <c r="N1191" s="5"/>
      <c r="O1191" t="str">
        <f t="shared" si="18"/>
        <v/>
      </c>
    </row>
    <row r="1192" spans="1:15" x14ac:dyDescent="0.25">
      <c r="A1192" t="s">
        <v>6229</v>
      </c>
      <c r="B1192" t="s">
        <v>6230</v>
      </c>
      <c r="C1192" t="s">
        <v>6231</v>
      </c>
      <c r="D1192">
        <v>2024</v>
      </c>
      <c r="E1192" t="s">
        <v>56</v>
      </c>
      <c r="F1192" t="s">
        <v>67</v>
      </c>
      <c r="G1192" t="s">
        <v>6232</v>
      </c>
      <c r="H1192" t="s">
        <v>6233</v>
      </c>
      <c r="I1192" t="s">
        <v>6234</v>
      </c>
      <c r="J1192" t="s">
        <v>71</v>
      </c>
      <c r="K1192" t="s">
        <v>18</v>
      </c>
      <c r="L1192" t="s">
        <v>72</v>
      </c>
      <c r="M1192" t="s">
        <v>72</v>
      </c>
      <c r="N1192" s="5"/>
      <c r="O1192" t="str">
        <f t="shared" si="18"/>
        <v/>
      </c>
    </row>
    <row r="1193" spans="1:15" x14ac:dyDescent="0.25">
      <c r="A1193" t="s">
        <v>6235</v>
      </c>
      <c r="B1193" t="s">
        <v>6236</v>
      </c>
      <c r="C1193" t="s">
        <v>6237</v>
      </c>
      <c r="D1193">
        <v>2024</v>
      </c>
      <c r="E1193" t="s">
        <v>56</v>
      </c>
      <c r="F1193" t="s">
        <v>67</v>
      </c>
      <c r="G1193" t="s">
        <v>6238</v>
      </c>
      <c r="H1193" t="s">
        <v>6239</v>
      </c>
      <c r="I1193" t="s">
        <v>6240</v>
      </c>
      <c r="J1193" t="s">
        <v>71</v>
      </c>
      <c r="K1193" t="s">
        <v>18</v>
      </c>
      <c r="L1193" t="s">
        <v>72</v>
      </c>
      <c r="M1193" t="s">
        <v>72</v>
      </c>
      <c r="N1193" s="5"/>
      <c r="O1193" t="str">
        <f t="shared" si="18"/>
        <v/>
      </c>
    </row>
    <row r="1194" spans="1:15" x14ac:dyDescent="0.25">
      <c r="A1194" t="s">
        <v>6241</v>
      </c>
      <c r="B1194" t="s">
        <v>6242</v>
      </c>
      <c r="C1194" t="s">
        <v>6243</v>
      </c>
      <c r="D1194">
        <v>2024</v>
      </c>
      <c r="E1194" t="s">
        <v>56</v>
      </c>
      <c r="F1194" t="s">
        <v>67</v>
      </c>
      <c r="G1194" t="s">
        <v>6244</v>
      </c>
      <c r="H1194" t="s">
        <v>6245</v>
      </c>
      <c r="I1194" t="s">
        <v>6246</v>
      </c>
      <c r="J1194" t="s">
        <v>71</v>
      </c>
      <c r="K1194" t="s">
        <v>18</v>
      </c>
      <c r="L1194" t="s">
        <v>72</v>
      </c>
      <c r="M1194" t="s">
        <v>72</v>
      </c>
      <c r="N1194" s="5"/>
      <c r="O1194" t="str">
        <f t="shared" si="18"/>
        <v/>
      </c>
    </row>
    <row r="1195" spans="1:15" x14ac:dyDescent="0.25">
      <c r="A1195" t="s">
        <v>6247</v>
      </c>
      <c r="B1195" t="s">
        <v>6248</v>
      </c>
      <c r="C1195" t="s">
        <v>6249</v>
      </c>
      <c r="D1195">
        <v>2024</v>
      </c>
      <c r="E1195" t="s">
        <v>56</v>
      </c>
      <c r="F1195" t="s">
        <v>67</v>
      </c>
      <c r="G1195" t="s">
        <v>6250</v>
      </c>
      <c r="H1195" t="s">
        <v>6251</v>
      </c>
      <c r="I1195" t="s">
        <v>6252</v>
      </c>
      <c r="J1195" t="s">
        <v>71</v>
      </c>
      <c r="K1195" t="s">
        <v>18</v>
      </c>
      <c r="L1195" t="s">
        <v>72</v>
      </c>
      <c r="M1195" t="s">
        <v>72</v>
      </c>
      <c r="N1195" s="5"/>
      <c r="O1195" t="str">
        <f t="shared" si="18"/>
        <v/>
      </c>
    </row>
    <row r="1196" spans="1:15" x14ac:dyDescent="0.25">
      <c r="A1196" t="s">
        <v>6253</v>
      </c>
      <c r="B1196" t="s">
        <v>6254</v>
      </c>
      <c r="C1196" t="s">
        <v>4016</v>
      </c>
      <c r="D1196">
        <v>2024</v>
      </c>
      <c r="E1196" t="s">
        <v>56</v>
      </c>
      <c r="F1196" t="s">
        <v>67</v>
      </c>
      <c r="G1196" t="s">
        <v>151</v>
      </c>
      <c r="H1196" t="s">
        <v>6255</v>
      </c>
      <c r="I1196" t="s">
        <v>6256</v>
      </c>
      <c r="J1196" t="s">
        <v>71</v>
      </c>
      <c r="K1196" t="s">
        <v>18</v>
      </c>
      <c r="L1196" t="s">
        <v>72</v>
      </c>
      <c r="M1196" t="s">
        <v>72</v>
      </c>
      <c r="N1196" s="5"/>
      <c r="O1196" t="str">
        <f t="shared" si="18"/>
        <v/>
      </c>
    </row>
    <row r="1197" spans="1:15" x14ac:dyDescent="0.25">
      <c r="A1197" t="s">
        <v>6257</v>
      </c>
      <c r="B1197" t="s">
        <v>6258</v>
      </c>
      <c r="C1197" t="s">
        <v>6259</v>
      </c>
      <c r="D1197">
        <v>2024</v>
      </c>
      <c r="E1197" t="s">
        <v>56</v>
      </c>
      <c r="F1197" t="s">
        <v>67</v>
      </c>
      <c r="G1197" t="s">
        <v>5472</v>
      </c>
      <c r="H1197" t="s">
        <v>6260</v>
      </c>
      <c r="I1197" t="s">
        <v>6261</v>
      </c>
      <c r="J1197" t="s">
        <v>71</v>
      </c>
      <c r="K1197" t="s">
        <v>18</v>
      </c>
      <c r="L1197" t="s">
        <v>72</v>
      </c>
      <c r="M1197" t="s">
        <v>72</v>
      </c>
      <c r="N1197" s="5"/>
      <c r="O1197" t="str">
        <f t="shared" si="18"/>
        <v/>
      </c>
    </row>
    <row r="1198" spans="1:15" x14ac:dyDescent="0.25">
      <c r="A1198" t="s">
        <v>6262</v>
      </c>
      <c r="B1198" t="s">
        <v>6263</v>
      </c>
      <c r="C1198" t="s">
        <v>205</v>
      </c>
      <c r="D1198">
        <v>2024</v>
      </c>
      <c r="E1198" t="s">
        <v>56</v>
      </c>
      <c r="F1198" t="s">
        <v>67</v>
      </c>
      <c r="G1198" t="s">
        <v>3288</v>
      </c>
      <c r="H1198" t="s">
        <v>6264</v>
      </c>
      <c r="I1198" t="s">
        <v>6265</v>
      </c>
      <c r="J1198" t="s">
        <v>71</v>
      </c>
      <c r="K1198" t="s">
        <v>18</v>
      </c>
      <c r="L1198" t="s">
        <v>72</v>
      </c>
      <c r="M1198" t="s">
        <v>72</v>
      </c>
      <c r="N1198" s="5"/>
      <c r="O1198" t="str">
        <f t="shared" si="18"/>
        <v/>
      </c>
    </row>
    <row r="1199" spans="1:15" x14ac:dyDescent="0.25">
      <c r="A1199" t="s">
        <v>6266</v>
      </c>
      <c r="B1199" t="s">
        <v>6267</v>
      </c>
      <c r="C1199" t="s">
        <v>661</v>
      </c>
      <c r="D1199">
        <v>2024</v>
      </c>
      <c r="E1199" t="s">
        <v>56</v>
      </c>
      <c r="F1199" t="s">
        <v>67</v>
      </c>
      <c r="G1199" t="s">
        <v>84</v>
      </c>
      <c r="H1199" t="s">
        <v>6268</v>
      </c>
      <c r="I1199" t="s">
        <v>6269</v>
      </c>
      <c r="J1199" t="s">
        <v>87</v>
      </c>
      <c r="K1199" t="s">
        <v>19</v>
      </c>
      <c r="L1199" t="s">
        <v>72</v>
      </c>
      <c r="M1199" t="s">
        <v>72</v>
      </c>
      <c r="N1199" s="5"/>
      <c r="O1199" t="str">
        <f t="shared" si="18"/>
        <v/>
      </c>
    </row>
    <row r="1200" spans="1:15" x14ac:dyDescent="0.25">
      <c r="A1200" t="s">
        <v>6270</v>
      </c>
      <c r="B1200" t="s">
        <v>6271</v>
      </c>
      <c r="C1200" t="s">
        <v>6272</v>
      </c>
      <c r="D1200">
        <v>2024</v>
      </c>
      <c r="E1200" t="s">
        <v>56</v>
      </c>
      <c r="F1200" t="s">
        <v>67</v>
      </c>
      <c r="G1200" t="s">
        <v>5699</v>
      </c>
      <c r="H1200" t="s">
        <v>6273</v>
      </c>
      <c r="I1200" t="s">
        <v>6274</v>
      </c>
      <c r="J1200" t="s">
        <v>71</v>
      </c>
      <c r="K1200" t="s">
        <v>18</v>
      </c>
      <c r="L1200" t="s">
        <v>72</v>
      </c>
      <c r="M1200" t="s">
        <v>72</v>
      </c>
      <c r="N1200" s="5"/>
      <c r="O1200" t="str">
        <f t="shared" si="18"/>
        <v/>
      </c>
    </row>
    <row r="1201" spans="1:15" x14ac:dyDescent="0.25">
      <c r="A1201" t="s">
        <v>6275</v>
      </c>
      <c r="B1201" t="s">
        <v>6276</v>
      </c>
      <c r="C1201" t="s">
        <v>793</v>
      </c>
      <c r="D1201">
        <v>2024</v>
      </c>
      <c r="E1201" t="s">
        <v>56</v>
      </c>
      <c r="F1201" t="s">
        <v>67</v>
      </c>
      <c r="G1201" t="s">
        <v>6277</v>
      </c>
      <c r="H1201" t="s">
        <v>6278</v>
      </c>
      <c r="I1201" t="s">
        <v>6279</v>
      </c>
      <c r="J1201" t="s">
        <v>71</v>
      </c>
      <c r="K1201" t="s">
        <v>18</v>
      </c>
      <c r="L1201" t="s">
        <v>72</v>
      </c>
      <c r="M1201" t="s">
        <v>72</v>
      </c>
      <c r="N1201" s="5"/>
      <c r="O1201" t="str">
        <f t="shared" si="18"/>
        <v/>
      </c>
    </row>
    <row r="1202" spans="1:15" x14ac:dyDescent="0.25">
      <c r="A1202" t="s">
        <v>6280</v>
      </c>
      <c r="B1202" t="s">
        <v>6281</v>
      </c>
      <c r="C1202" t="s">
        <v>5674</v>
      </c>
      <c r="D1202">
        <v>2024</v>
      </c>
      <c r="E1202" t="s">
        <v>56</v>
      </c>
      <c r="F1202" t="s">
        <v>67</v>
      </c>
      <c r="G1202" t="s">
        <v>6282</v>
      </c>
      <c r="H1202" t="s">
        <v>6283</v>
      </c>
      <c r="I1202" t="s">
        <v>6284</v>
      </c>
      <c r="J1202" t="s">
        <v>87</v>
      </c>
      <c r="K1202" t="s">
        <v>19</v>
      </c>
      <c r="L1202" t="s">
        <v>72</v>
      </c>
      <c r="M1202" t="s">
        <v>72</v>
      </c>
      <c r="N1202" s="5"/>
      <c r="O1202" t="str">
        <f t="shared" si="18"/>
        <v/>
      </c>
    </row>
    <row r="1203" spans="1:15" x14ac:dyDescent="0.25">
      <c r="A1203" t="s">
        <v>6285</v>
      </c>
      <c r="B1203" t="s">
        <v>6286</v>
      </c>
      <c r="C1203" t="s">
        <v>6287</v>
      </c>
      <c r="D1203">
        <v>2024</v>
      </c>
      <c r="E1203" t="s">
        <v>56</v>
      </c>
      <c r="F1203" t="s">
        <v>67</v>
      </c>
      <c r="G1203" t="s">
        <v>6288</v>
      </c>
      <c r="H1203" t="s">
        <v>6289</v>
      </c>
      <c r="I1203" t="s">
        <v>6290</v>
      </c>
      <c r="J1203" t="s">
        <v>87</v>
      </c>
      <c r="K1203" t="s">
        <v>19</v>
      </c>
      <c r="L1203" t="s">
        <v>72</v>
      </c>
      <c r="M1203" t="s">
        <v>72</v>
      </c>
      <c r="N1203" s="5"/>
      <c r="O1203" t="str">
        <f t="shared" si="18"/>
        <v/>
      </c>
    </row>
    <row r="1204" spans="1:15" x14ac:dyDescent="0.25">
      <c r="A1204" t="s">
        <v>6291</v>
      </c>
      <c r="B1204" t="s">
        <v>6292</v>
      </c>
      <c r="C1204" t="s">
        <v>6293</v>
      </c>
      <c r="D1204">
        <v>2024</v>
      </c>
      <c r="E1204" t="s">
        <v>56</v>
      </c>
      <c r="F1204" t="s">
        <v>67</v>
      </c>
      <c r="G1204" t="s">
        <v>5539</v>
      </c>
      <c r="H1204" t="s">
        <v>6294</v>
      </c>
      <c r="I1204" t="s">
        <v>6295</v>
      </c>
      <c r="J1204" t="s">
        <v>98</v>
      </c>
      <c r="K1204" t="s">
        <v>99</v>
      </c>
      <c r="L1204" t="s">
        <v>63</v>
      </c>
      <c r="M1204" t="s">
        <v>72</v>
      </c>
      <c r="N1204" s="5"/>
      <c r="O1204" t="str">
        <f t="shared" si="18"/>
        <v/>
      </c>
    </row>
    <row r="1205" spans="1:15" x14ac:dyDescent="0.25">
      <c r="A1205" t="s">
        <v>6296</v>
      </c>
      <c r="B1205" t="s">
        <v>6297</v>
      </c>
      <c r="C1205" t="s">
        <v>6298</v>
      </c>
      <c r="D1205">
        <v>2024</v>
      </c>
      <c r="E1205" t="s">
        <v>56</v>
      </c>
      <c r="F1205" t="s">
        <v>57</v>
      </c>
      <c r="G1205" t="s">
        <v>6299</v>
      </c>
      <c r="H1205" t="s">
        <v>6300</v>
      </c>
      <c r="I1205" t="s">
        <v>6301</v>
      </c>
      <c r="J1205" t="s">
        <v>165</v>
      </c>
      <c r="K1205" t="s">
        <v>166</v>
      </c>
      <c r="L1205" t="s">
        <v>63</v>
      </c>
      <c r="M1205" t="s">
        <v>72</v>
      </c>
      <c r="N1205" s="5"/>
      <c r="O1205" t="str">
        <f t="shared" si="18"/>
        <v/>
      </c>
    </row>
    <row r="1206" spans="1:15" x14ac:dyDescent="0.25">
      <c r="A1206" t="s">
        <v>6302</v>
      </c>
      <c r="B1206" t="s">
        <v>6303</v>
      </c>
      <c r="C1206" t="s">
        <v>1359</v>
      </c>
      <c r="D1206">
        <v>2024</v>
      </c>
      <c r="E1206" t="s">
        <v>56</v>
      </c>
      <c r="F1206" t="s">
        <v>57</v>
      </c>
      <c r="G1206" t="s">
        <v>4272</v>
      </c>
      <c r="H1206" t="s">
        <v>6304</v>
      </c>
      <c r="I1206" t="s">
        <v>6305</v>
      </c>
      <c r="J1206" t="s">
        <v>87</v>
      </c>
      <c r="K1206" t="s">
        <v>19</v>
      </c>
      <c r="L1206" t="s">
        <v>72</v>
      </c>
      <c r="M1206" t="s">
        <v>72</v>
      </c>
      <c r="N1206" s="5"/>
      <c r="O1206" t="str">
        <f t="shared" si="18"/>
        <v/>
      </c>
    </row>
    <row r="1207" spans="1:15" x14ac:dyDescent="0.25">
      <c r="A1207" t="s">
        <v>6306</v>
      </c>
      <c r="B1207" t="s">
        <v>6307</v>
      </c>
      <c r="C1207" t="s">
        <v>367</v>
      </c>
      <c r="D1207">
        <v>2024</v>
      </c>
      <c r="E1207" t="s">
        <v>56</v>
      </c>
      <c r="F1207" t="s">
        <v>67</v>
      </c>
      <c r="G1207" t="s">
        <v>6308</v>
      </c>
      <c r="H1207" t="s">
        <v>6309</v>
      </c>
      <c r="I1207" t="s">
        <v>6310</v>
      </c>
      <c r="J1207" t="s">
        <v>87</v>
      </c>
      <c r="K1207" t="s">
        <v>19</v>
      </c>
      <c r="L1207" t="s">
        <v>72</v>
      </c>
      <c r="M1207" t="s">
        <v>72</v>
      </c>
      <c r="N1207" s="5"/>
      <c r="O1207" t="str">
        <f t="shared" si="18"/>
        <v/>
      </c>
    </row>
    <row r="1208" spans="1:15" x14ac:dyDescent="0.25">
      <c r="A1208" t="s">
        <v>6311</v>
      </c>
      <c r="B1208" t="s">
        <v>6312</v>
      </c>
      <c r="C1208" t="s">
        <v>95</v>
      </c>
      <c r="D1208">
        <v>2024</v>
      </c>
      <c r="E1208" t="s">
        <v>56</v>
      </c>
      <c r="F1208" t="s">
        <v>57</v>
      </c>
      <c r="G1208" t="s">
        <v>922</v>
      </c>
      <c r="H1208" t="s">
        <v>6313</v>
      </c>
      <c r="I1208" t="s">
        <v>6314</v>
      </c>
      <c r="J1208" t="s">
        <v>87</v>
      </c>
      <c r="K1208" t="s">
        <v>19</v>
      </c>
      <c r="L1208" t="s">
        <v>72</v>
      </c>
      <c r="M1208" t="s">
        <v>72</v>
      </c>
      <c r="N1208" s="5"/>
      <c r="O1208" t="str">
        <f t="shared" si="18"/>
        <v/>
      </c>
    </row>
    <row r="1209" spans="1:15" x14ac:dyDescent="0.25">
      <c r="A1209" t="s">
        <v>6315</v>
      </c>
      <c r="B1209" t="s">
        <v>6316</v>
      </c>
      <c r="C1209" t="s">
        <v>6317</v>
      </c>
      <c r="D1209">
        <v>2024</v>
      </c>
      <c r="E1209" t="s">
        <v>56</v>
      </c>
      <c r="F1209" t="s">
        <v>67</v>
      </c>
      <c r="G1209" t="s">
        <v>6318</v>
      </c>
      <c r="H1209" t="s">
        <v>6319</v>
      </c>
      <c r="I1209" t="s">
        <v>6320</v>
      </c>
      <c r="J1209" t="s">
        <v>71</v>
      </c>
      <c r="K1209" t="s">
        <v>18</v>
      </c>
      <c r="L1209" t="s">
        <v>72</v>
      </c>
      <c r="M1209" t="s">
        <v>72</v>
      </c>
      <c r="N1209" s="5"/>
      <c r="O1209" t="str">
        <f t="shared" si="18"/>
        <v/>
      </c>
    </row>
    <row r="1210" spans="1:15" x14ac:dyDescent="0.25">
      <c r="A1210" t="s">
        <v>6321</v>
      </c>
      <c r="B1210" t="s">
        <v>6322</v>
      </c>
      <c r="C1210" t="s">
        <v>6323</v>
      </c>
      <c r="D1210">
        <v>2024</v>
      </c>
      <c r="E1210" t="s">
        <v>56</v>
      </c>
      <c r="F1210" t="s">
        <v>67</v>
      </c>
      <c r="G1210" t="s">
        <v>188</v>
      </c>
      <c r="H1210" t="s">
        <v>6324</v>
      </c>
      <c r="I1210" t="s">
        <v>6325</v>
      </c>
      <c r="J1210" t="s">
        <v>79</v>
      </c>
      <c r="K1210" t="s">
        <v>80</v>
      </c>
      <c r="L1210" t="s">
        <v>72</v>
      </c>
      <c r="M1210" t="s">
        <v>72</v>
      </c>
      <c r="N1210" s="5"/>
      <c r="O1210" t="str">
        <f t="shared" si="18"/>
        <v/>
      </c>
    </row>
    <row r="1211" spans="1:15" x14ac:dyDescent="0.25">
      <c r="A1211" t="s">
        <v>6326</v>
      </c>
      <c r="B1211" t="s">
        <v>6327</v>
      </c>
      <c r="C1211" t="s">
        <v>6328</v>
      </c>
      <c r="D1211">
        <v>2024</v>
      </c>
      <c r="E1211" t="s">
        <v>56</v>
      </c>
      <c r="F1211" t="s">
        <v>67</v>
      </c>
      <c r="G1211" t="s">
        <v>6329</v>
      </c>
      <c r="H1211" t="s">
        <v>6330</v>
      </c>
      <c r="I1211" t="s">
        <v>6331</v>
      </c>
      <c r="J1211" t="s">
        <v>87</v>
      </c>
      <c r="K1211" t="s">
        <v>19</v>
      </c>
      <c r="L1211" t="s">
        <v>72</v>
      </c>
      <c r="M1211" t="s">
        <v>72</v>
      </c>
      <c r="N1211" s="5"/>
      <c r="O1211" t="str">
        <f t="shared" si="18"/>
        <v/>
      </c>
    </row>
    <row r="1212" spans="1:15" x14ac:dyDescent="0.25">
      <c r="A1212" t="s">
        <v>6332</v>
      </c>
      <c r="B1212" t="s">
        <v>6333</v>
      </c>
      <c r="C1212" t="s">
        <v>6334</v>
      </c>
      <c r="D1212">
        <v>2024</v>
      </c>
      <c r="E1212" t="s">
        <v>56</v>
      </c>
      <c r="F1212" t="s">
        <v>67</v>
      </c>
      <c r="G1212" t="s">
        <v>6335</v>
      </c>
      <c r="H1212" t="s">
        <v>6336</v>
      </c>
      <c r="I1212" t="s">
        <v>6337</v>
      </c>
      <c r="J1212" t="s">
        <v>87</v>
      </c>
      <c r="K1212" t="s">
        <v>19</v>
      </c>
      <c r="L1212" t="s">
        <v>72</v>
      </c>
      <c r="M1212" t="s">
        <v>72</v>
      </c>
      <c r="N1212" s="5"/>
      <c r="O1212" t="str">
        <f t="shared" si="18"/>
        <v/>
      </c>
    </row>
    <row r="1213" spans="1:15" x14ac:dyDescent="0.25">
      <c r="A1213" t="s">
        <v>6338</v>
      </c>
      <c r="B1213" t="s">
        <v>6339</v>
      </c>
      <c r="C1213" t="s">
        <v>1364</v>
      </c>
      <c r="D1213">
        <v>2024</v>
      </c>
      <c r="E1213" t="s">
        <v>56</v>
      </c>
      <c r="F1213" t="s">
        <v>67</v>
      </c>
      <c r="G1213" t="s">
        <v>6340</v>
      </c>
      <c r="H1213" t="s">
        <v>6341</v>
      </c>
      <c r="I1213" t="s">
        <v>6342</v>
      </c>
      <c r="J1213" t="s">
        <v>71</v>
      </c>
      <c r="K1213" t="s">
        <v>18</v>
      </c>
      <c r="L1213" t="s">
        <v>72</v>
      </c>
      <c r="M1213" t="s">
        <v>72</v>
      </c>
      <c r="N1213" s="5"/>
      <c r="O1213" t="str">
        <f t="shared" si="18"/>
        <v/>
      </c>
    </row>
    <row r="1214" spans="1:15" x14ac:dyDescent="0.25">
      <c r="A1214" t="s">
        <v>6343</v>
      </c>
      <c r="B1214" t="s">
        <v>6344</v>
      </c>
      <c r="C1214" t="s">
        <v>1181</v>
      </c>
      <c r="D1214">
        <v>2024</v>
      </c>
      <c r="E1214" t="s">
        <v>56</v>
      </c>
      <c r="F1214" t="s">
        <v>67</v>
      </c>
      <c r="G1214" t="s">
        <v>3900</v>
      </c>
      <c r="H1214" t="s">
        <v>6345</v>
      </c>
      <c r="I1214" t="s">
        <v>6346</v>
      </c>
      <c r="J1214" t="s">
        <v>87</v>
      </c>
      <c r="K1214" t="s">
        <v>19</v>
      </c>
      <c r="L1214" t="s">
        <v>72</v>
      </c>
      <c r="M1214" t="s">
        <v>72</v>
      </c>
      <c r="N1214" s="5"/>
      <c r="O1214" t="str">
        <f t="shared" si="18"/>
        <v/>
      </c>
    </row>
    <row r="1215" spans="1:15" x14ac:dyDescent="0.25">
      <c r="A1215" t="s">
        <v>6347</v>
      </c>
      <c r="B1215" t="s">
        <v>6348</v>
      </c>
      <c r="C1215" t="s">
        <v>1522</v>
      </c>
      <c r="D1215">
        <v>2024</v>
      </c>
      <c r="E1215" t="s">
        <v>56</v>
      </c>
      <c r="F1215" t="s">
        <v>67</v>
      </c>
      <c r="G1215" t="s">
        <v>84</v>
      </c>
      <c r="H1215" t="s">
        <v>6349</v>
      </c>
      <c r="I1215" t="s">
        <v>6350</v>
      </c>
      <c r="J1215" t="s">
        <v>87</v>
      </c>
      <c r="K1215" t="s">
        <v>19</v>
      </c>
      <c r="L1215" t="s">
        <v>72</v>
      </c>
      <c r="M1215" t="s">
        <v>72</v>
      </c>
      <c r="N1215" s="5"/>
      <c r="O1215" t="str">
        <f t="shared" si="18"/>
        <v/>
      </c>
    </row>
    <row r="1216" spans="1:15" x14ac:dyDescent="0.25">
      <c r="A1216" t="s">
        <v>6351</v>
      </c>
      <c r="B1216" t="s">
        <v>6352</v>
      </c>
      <c r="C1216" t="s">
        <v>571</v>
      </c>
      <c r="D1216">
        <v>2024</v>
      </c>
      <c r="E1216" t="s">
        <v>56</v>
      </c>
      <c r="F1216" t="s">
        <v>67</v>
      </c>
      <c r="G1216" t="s">
        <v>6353</v>
      </c>
      <c r="H1216" t="s">
        <v>6354</v>
      </c>
      <c r="I1216" t="s">
        <v>6355</v>
      </c>
      <c r="J1216" t="s">
        <v>71</v>
      </c>
      <c r="K1216" t="s">
        <v>18</v>
      </c>
      <c r="L1216" t="s">
        <v>72</v>
      </c>
      <c r="M1216" t="s">
        <v>72</v>
      </c>
      <c r="N1216" s="5"/>
      <c r="O1216" t="str">
        <f t="shared" si="18"/>
        <v/>
      </c>
    </row>
    <row r="1217" spans="1:15" x14ac:dyDescent="0.25">
      <c r="A1217" t="s">
        <v>6356</v>
      </c>
      <c r="B1217" t="s">
        <v>6357</v>
      </c>
      <c r="C1217" t="s">
        <v>1845</v>
      </c>
      <c r="D1217">
        <v>2024</v>
      </c>
      <c r="E1217" t="s">
        <v>56</v>
      </c>
      <c r="F1217" t="s">
        <v>67</v>
      </c>
      <c r="G1217" t="s">
        <v>6358</v>
      </c>
      <c r="H1217" t="s">
        <v>6359</v>
      </c>
      <c r="I1217" t="s">
        <v>6360</v>
      </c>
      <c r="J1217" t="s">
        <v>71</v>
      </c>
      <c r="K1217" t="s">
        <v>18</v>
      </c>
      <c r="L1217" t="s">
        <v>72</v>
      </c>
      <c r="M1217" t="s">
        <v>72</v>
      </c>
      <c r="N1217" s="5"/>
      <c r="O1217" t="str">
        <f t="shared" si="18"/>
        <v/>
      </c>
    </row>
    <row r="1218" spans="1:15" x14ac:dyDescent="0.25">
      <c r="A1218" t="s">
        <v>6361</v>
      </c>
      <c r="B1218" t="s">
        <v>6362</v>
      </c>
      <c r="C1218" t="s">
        <v>6363</v>
      </c>
      <c r="D1218">
        <v>2024</v>
      </c>
      <c r="E1218" t="s">
        <v>56</v>
      </c>
      <c r="F1218" t="s">
        <v>57</v>
      </c>
      <c r="G1218" t="s">
        <v>6364</v>
      </c>
      <c r="H1218" t="s">
        <v>6365</v>
      </c>
      <c r="I1218" t="s">
        <v>6366</v>
      </c>
      <c r="J1218" t="s">
        <v>71</v>
      </c>
      <c r="K1218" t="s">
        <v>18</v>
      </c>
      <c r="L1218" t="s">
        <v>72</v>
      </c>
      <c r="M1218" t="s">
        <v>72</v>
      </c>
      <c r="N1218" s="5"/>
      <c r="O1218" t="str">
        <f t="shared" ref="O1218:O1281" si="19">IF(N1218="","",IF(N1218=J1218,1,0))</f>
        <v/>
      </c>
    </row>
    <row r="1219" spans="1:15" x14ac:dyDescent="0.25">
      <c r="A1219" t="s">
        <v>6367</v>
      </c>
      <c r="B1219" t="s">
        <v>6368</v>
      </c>
      <c r="C1219" t="s">
        <v>6369</v>
      </c>
      <c r="D1219">
        <v>2024</v>
      </c>
      <c r="E1219" t="s">
        <v>56</v>
      </c>
      <c r="F1219" t="s">
        <v>57</v>
      </c>
      <c r="G1219" t="s">
        <v>251</v>
      </c>
      <c r="H1219" t="s">
        <v>6370</v>
      </c>
      <c r="I1219" t="s">
        <v>6371</v>
      </c>
      <c r="J1219" t="s">
        <v>71</v>
      </c>
      <c r="K1219" t="s">
        <v>18</v>
      </c>
      <c r="L1219" t="s">
        <v>72</v>
      </c>
      <c r="M1219" t="s">
        <v>72</v>
      </c>
      <c r="N1219" s="5"/>
      <c r="O1219" t="str">
        <f t="shared" si="19"/>
        <v/>
      </c>
    </row>
    <row r="1220" spans="1:15" x14ac:dyDescent="0.25">
      <c r="A1220" t="s">
        <v>6372</v>
      </c>
      <c r="B1220" t="s">
        <v>6373</v>
      </c>
      <c r="C1220" t="s">
        <v>6374</v>
      </c>
      <c r="D1220">
        <v>2024</v>
      </c>
      <c r="E1220" t="s">
        <v>56</v>
      </c>
      <c r="F1220" t="s">
        <v>57</v>
      </c>
      <c r="G1220" t="s">
        <v>6375</v>
      </c>
      <c r="H1220" t="s">
        <v>6376</v>
      </c>
      <c r="I1220" t="s">
        <v>6377</v>
      </c>
      <c r="J1220" t="s">
        <v>98</v>
      </c>
      <c r="K1220" t="s">
        <v>99</v>
      </c>
      <c r="L1220" t="s">
        <v>63</v>
      </c>
      <c r="M1220" t="s">
        <v>72</v>
      </c>
      <c r="N1220" s="5"/>
      <c r="O1220" t="str">
        <f t="shared" si="19"/>
        <v/>
      </c>
    </row>
    <row r="1221" spans="1:15" x14ac:dyDescent="0.25">
      <c r="A1221" t="s">
        <v>6378</v>
      </c>
      <c r="B1221" t="s">
        <v>6379</v>
      </c>
      <c r="C1221" t="s">
        <v>6380</v>
      </c>
      <c r="D1221">
        <v>2024</v>
      </c>
      <c r="E1221" t="s">
        <v>56</v>
      </c>
      <c r="F1221" t="s">
        <v>57</v>
      </c>
      <c r="G1221" t="s">
        <v>3710</v>
      </c>
      <c r="H1221" t="s">
        <v>6381</v>
      </c>
      <c r="I1221" t="s">
        <v>6382</v>
      </c>
      <c r="J1221" t="s">
        <v>79</v>
      </c>
      <c r="K1221" t="s">
        <v>80</v>
      </c>
      <c r="L1221" t="s">
        <v>72</v>
      </c>
      <c r="M1221" t="s">
        <v>72</v>
      </c>
      <c r="N1221" s="5"/>
      <c r="O1221" t="str">
        <f t="shared" si="19"/>
        <v/>
      </c>
    </row>
    <row r="1222" spans="1:15" x14ac:dyDescent="0.25">
      <c r="A1222" t="s">
        <v>6383</v>
      </c>
      <c r="B1222" t="s">
        <v>6379</v>
      </c>
      <c r="C1222" t="s">
        <v>6384</v>
      </c>
      <c r="D1222">
        <v>2024</v>
      </c>
      <c r="E1222" t="s">
        <v>56</v>
      </c>
      <c r="F1222" t="s">
        <v>57</v>
      </c>
      <c r="G1222" t="s">
        <v>5024</v>
      </c>
      <c r="H1222" t="s">
        <v>6381</v>
      </c>
      <c r="I1222" t="s">
        <v>6385</v>
      </c>
      <c r="J1222" t="s">
        <v>79</v>
      </c>
      <c r="K1222" t="s">
        <v>80</v>
      </c>
      <c r="L1222" t="s">
        <v>72</v>
      </c>
      <c r="M1222" t="s">
        <v>72</v>
      </c>
      <c r="N1222" s="5"/>
      <c r="O1222" t="str">
        <f t="shared" si="19"/>
        <v/>
      </c>
    </row>
    <row r="1223" spans="1:15" x14ac:dyDescent="0.25">
      <c r="A1223" t="s">
        <v>6386</v>
      </c>
      <c r="B1223" t="s">
        <v>6387</v>
      </c>
      <c r="C1223" t="s">
        <v>6388</v>
      </c>
      <c r="D1223">
        <v>2024</v>
      </c>
      <c r="E1223" t="s">
        <v>56</v>
      </c>
      <c r="F1223" t="s">
        <v>57</v>
      </c>
      <c r="G1223" t="s">
        <v>6389</v>
      </c>
      <c r="H1223" t="s">
        <v>6390</v>
      </c>
      <c r="I1223" t="s">
        <v>6391</v>
      </c>
      <c r="J1223" t="s">
        <v>79</v>
      </c>
      <c r="K1223" t="s">
        <v>80</v>
      </c>
      <c r="L1223" t="s">
        <v>72</v>
      </c>
      <c r="M1223" t="s">
        <v>72</v>
      </c>
      <c r="N1223" s="5"/>
      <c r="O1223" t="str">
        <f t="shared" si="19"/>
        <v/>
      </c>
    </row>
    <row r="1224" spans="1:15" x14ac:dyDescent="0.25">
      <c r="A1224" t="s">
        <v>6392</v>
      </c>
      <c r="B1224" t="s">
        <v>6393</v>
      </c>
      <c r="C1224" t="s">
        <v>6394</v>
      </c>
      <c r="D1224">
        <v>2024</v>
      </c>
      <c r="E1224" t="s">
        <v>56</v>
      </c>
      <c r="F1224" t="s">
        <v>57</v>
      </c>
      <c r="G1224" t="s">
        <v>6395</v>
      </c>
      <c r="H1224" t="s">
        <v>6396</v>
      </c>
      <c r="I1224" t="s">
        <v>6397</v>
      </c>
      <c r="J1224" t="s">
        <v>87</v>
      </c>
      <c r="K1224" t="s">
        <v>19</v>
      </c>
      <c r="L1224" t="s">
        <v>72</v>
      </c>
      <c r="M1224" t="s">
        <v>72</v>
      </c>
      <c r="N1224" s="5"/>
      <c r="O1224" t="str">
        <f t="shared" si="19"/>
        <v/>
      </c>
    </row>
    <row r="1225" spans="1:15" x14ac:dyDescent="0.25">
      <c r="A1225" t="s">
        <v>6398</v>
      </c>
      <c r="B1225" t="s">
        <v>6399</v>
      </c>
      <c r="C1225" t="s">
        <v>1829</v>
      </c>
      <c r="D1225">
        <v>2024</v>
      </c>
      <c r="E1225" t="s">
        <v>56</v>
      </c>
      <c r="F1225" t="s">
        <v>67</v>
      </c>
      <c r="G1225" t="s">
        <v>6400</v>
      </c>
      <c r="H1225" t="s">
        <v>6401</v>
      </c>
      <c r="I1225" t="s">
        <v>6402</v>
      </c>
      <c r="J1225" t="s">
        <v>71</v>
      </c>
      <c r="K1225" t="s">
        <v>18</v>
      </c>
      <c r="L1225" t="s">
        <v>72</v>
      </c>
      <c r="M1225" t="s">
        <v>72</v>
      </c>
      <c r="N1225" s="5"/>
      <c r="O1225" t="str">
        <f t="shared" si="19"/>
        <v/>
      </c>
    </row>
    <row r="1226" spans="1:15" x14ac:dyDescent="0.25">
      <c r="A1226" t="s">
        <v>6403</v>
      </c>
      <c r="B1226" t="s">
        <v>6404</v>
      </c>
      <c r="C1226" t="s">
        <v>384</v>
      </c>
      <c r="D1226">
        <v>2024</v>
      </c>
      <c r="E1226" t="s">
        <v>56</v>
      </c>
      <c r="F1226" t="s">
        <v>57</v>
      </c>
      <c r="G1226" t="s">
        <v>6405</v>
      </c>
      <c r="H1226" t="s">
        <v>6406</v>
      </c>
      <c r="I1226" t="s">
        <v>6407</v>
      </c>
      <c r="J1226" t="s">
        <v>71</v>
      </c>
      <c r="K1226" t="s">
        <v>18</v>
      </c>
      <c r="L1226" t="s">
        <v>72</v>
      </c>
      <c r="M1226" t="s">
        <v>72</v>
      </c>
      <c r="N1226" s="5"/>
      <c r="O1226" t="str">
        <f t="shared" si="19"/>
        <v/>
      </c>
    </row>
    <row r="1227" spans="1:15" x14ac:dyDescent="0.25">
      <c r="A1227" t="s">
        <v>6408</v>
      </c>
      <c r="B1227" t="s">
        <v>6409</v>
      </c>
      <c r="C1227" t="s">
        <v>6410</v>
      </c>
      <c r="D1227">
        <v>2024</v>
      </c>
      <c r="E1227" t="s">
        <v>56</v>
      </c>
      <c r="F1227" t="s">
        <v>57</v>
      </c>
      <c r="G1227" t="s">
        <v>6411</v>
      </c>
      <c r="H1227" t="s">
        <v>6412</v>
      </c>
      <c r="I1227" t="s">
        <v>6413</v>
      </c>
      <c r="J1227" t="s">
        <v>71</v>
      </c>
      <c r="K1227" t="s">
        <v>18</v>
      </c>
      <c r="L1227" t="s">
        <v>72</v>
      </c>
      <c r="M1227" t="s">
        <v>72</v>
      </c>
      <c r="N1227" s="5"/>
      <c r="O1227" t="str">
        <f t="shared" si="19"/>
        <v/>
      </c>
    </row>
    <row r="1228" spans="1:15" x14ac:dyDescent="0.25">
      <c r="A1228" t="s">
        <v>6414</v>
      </c>
      <c r="B1228" t="s">
        <v>6415</v>
      </c>
      <c r="C1228" t="s">
        <v>6416</v>
      </c>
      <c r="D1228">
        <v>2024</v>
      </c>
      <c r="E1228" t="s">
        <v>56</v>
      </c>
      <c r="F1228" t="s">
        <v>67</v>
      </c>
      <c r="G1228" t="s">
        <v>6417</v>
      </c>
      <c r="H1228" t="s">
        <v>6418</v>
      </c>
      <c r="I1228" t="s">
        <v>6419</v>
      </c>
      <c r="J1228" t="s">
        <v>71</v>
      </c>
      <c r="K1228" t="s">
        <v>18</v>
      </c>
      <c r="L1228" t="s">
        <v>72</v>
      </c>
      <c r="M1228" t="s">
        <v>72</v>
      </c>
      <c r="N1228" s="5"/>
      <c r="O1228" t="str">
        <f t="shared" si="19"/>
        <v/>
      </c>
    </row>
    <row r="1229" spans="1:15" x14ac:dyDescent="0.25">
      <c r="A1229" t="s">
        <v>6420</v>
      </c>
      <c r="B1229" t="s">
        <v>6421</v>
      </c>
      <c r="C1229" t="s">
        <v>3562</v>
      </c>
      <c r="D1229">
        <v>2024</v>
      </c>
      <c r="E1229" t="s">
        <v>56</v>
      </c>
      <c r="F1229" t="s">
        <v>67</v>
      </c>
      <c r="G1229" t="s">
        <v>1130</v>
      </c>
      <c r="H1229" t="s">
        <v>6422</v>
      </c>
      <c r="I1229" t="s">
        <v>6423</v>
      </c>
      <c r="J1229" t="s">
        <v>71</v>
      </c>
      <c r="K1229" t="s">
        <v>18</v>
      </c>
      <c r="L1229" t="s">
        <v>72</v>
      </c>
      <c r="M1229" t="s">
        <v>72</v>
      </c>
      <c r="N1229" s="5"/>
      <c r="O1229" t="str">
        <f t="shared" si="19"/>
        <v/>
      </c>
    </row>
    <row r="1230" spans="1:15" x14ac:dyDescent="0.25">
      <c r="A1230" t="s">
        <v>6424</v>
      </c>
      <c r="B1230" t="s">
        <v>6425</v>
      </c>
      <c r="C1230" t="s">
        <v>6426</v>
      </c>
      <c r="D1230">
        <v>2024</v>
      </c>
      <c r="E1230" t="s">
        <v>56</v>
      </c>
      <c r="F1230" t="s">
        <v>67</v>
      </c>
      <c r="G1230" t="s">
        <v>6427</v>
      </c>
      <c r="H1230" t="s">
        <v>6428</v>
      </c>
      <c r="I1230" t="s">
        <v>6429</v>
      </c>
      <c r="J1230" t="s">
        <v>71</v>
      </c>
      <c r="K1230" t="s">
        <v>18</v>
      </c>
      <c r="L1230" t="s">
        <v>72</v>
      </c>
      <c r="M1230" t="s">
        <v>72</v>
      </c>
      <c r="N1230" s="5"/>
      <c r="O1230" t="str">
        <f t="shared" si="19"/>
        <v/>
      </c>
    </row>
    <row r="1231" spans="1:15" x14ac:dyDescent="0.25">
      <c r="A1231" t="s">
        <v>6430</v>
      </c>
      <c r="B1231" t="s">
        <v>6431</v>
      </c>
      <c r="C1231" t="s">
        <v>484</v>
      </c>
      <c r="D1231">
        <v>2024</v>
      </c>
      <c r="E1231" t="s">
        <v>56</v>
      </c>
      <c r="F1231" t="s">
        <v>67</v>
      </c>
      <c r="G1231" t="s">
        <v>6432</v>
      </c>
      <c r="H1231" t="s">
        <v>6433</v>
      </c>
      <c r="I1231" t="s">
        <v>6434</v>
      </c>
      <c r="J1231" t="s">
        <v>71</v>
      </c>
      <c r="K1231" t="s">
        <v>18</v>
      </c>
      <c r="L1231" t="s">
        <v>72</v>
      </c>
      <c r="M1231" t="s">
        <v>72</v>
      </c>
      <c r="N1231" s="5"/>
      <c r="O1231" t="str">
        <f t="shared" si="19"/>
        <v/>
      </c>
    </row>
    <row r="1232" spans="1:15" x14ac:dyDescent="0.25">
      <c r="A1232" t="s">
        <v>6435</v>
      </c>
      <c r="B1232" t="s">
        <v>6436</v>
      </c>
      <c r="C1232" t="s">
        <v>1845</v>
      </c>
      <c r="D1232">
        <v>2024</v>
      </c>
      <c r="E1232" t="s">
        <v>56</v>
      </c>
      <c r="F1232" t="s">
        <v>67</v>
      </c>
      <c r="G1232" t="s">
        <v>5539</v>
      </c>
      <c r="H1232" t="s">
        <v>6437</v>
      </c>
      <c r="I1232" t="s">
        <v>6438</v>
      </c>
      <c r="J1232" t="s">
        <v>71</v>
      </c>
      <c r="K1232" t="s">
        <v>18</v>
      </c>
      <c r="L1232" t="s">
        <v>72</v>
      </c>
      <c r="M1232" t="s">
        <v>72</v>
      </c>
      <c r="N1232" s="5"/>
      <c r="O1232" t="str">
        <f t="shared" si="19"/>
        <v/>
      </c>
    </row>
    <row r="1233" spans="1:15" x14ac:dyDescent="0.25">
      <c r="A1233" t="s">
        <v>6439</v>
      </c>
      <c r="B1233" t="s">
        <v>6440</v>
      </c>
      <c r="C1233" t="s">
        <v>6441</v>
      </c>
      <c r="D1233">
        <v>2024</v>
      </c>
      <c r="E1233" t="s">
        <v>56</v>
      </c>
      <c r="F1233" t="s">
        <v>67</v>
      </c>
      <c r="G1233" t="s">
        <v>986</v>
      </c>
      <c r="H1233" t="s">
        <v>6442</v>
      </c>
      <c r="I1233" t="s">
        <v>6443</v>
      </c>
      <c r="J1233" t="s">
        <v>87</v>
      </c>
      <c r="K1233" t="s">
        <v>19</v>
      </c>
      <c r="L1233" t="s">
        <v>72</v>
      </c>
      <c r="M1233" t="s">
        <v>72</v>
      </c>
      <c r="N1233" s="5"/>
      <c r="O1233" t="str">
        <f t="shared" si="19"/>
        <v/>
      </c>
    </row>
    <row r="1234" spans="1:15" x14ac:dyDescent="0.25">
      <c r="A1234" t="s">
        <v>6444</v>
      </c>
      <c r="B1234" t="s">
        <v>6445</v>
      </c>
      <c r="C1234" t="s">
        <v>6446</v>
      </c>
      <c r="D1234">
        <v>2024</v>
      </c>
      <c r="E1234" t="s">
        <v>56</v>
      </c>
      <c r="F1234" t="s">
        <v>67</v>
      </c>
      <c r="G1234" t="s">
        <v>6447</v>
      </c>
      <c r="H1234" t="s">
        <v>6448</v>
      </c>
      <c r="I1234" t="s">
        <v>6449</v>
      </c>
      <c r="J1234" t="s">
        <v>87</v>
      </c>
      <c r="K1234" t="s">
        <v>19</v>
      </c>
      <c r="L1234" t="s">
        <v>72</v>
      </c>
      <c r="M1234" t="s">
        <v>72</v>
      </c>
      <c r="N1234" s="5"/>
      <c r="O1234" t="str">
        <f t="shared" si="19"/>
        <v/>
      </c>
    </row>
    <row r="1235" spans="1:15" x14ac:dyDescent="0.25">
      <c r="A1235" t="s">
        <v>6450</v>
      </c>
      <c r="B1235" t="s">
        <v>6451</v>
      </c>
      <c r="C1235" t="s">
        <v>6452</v>
      </c>
      <c r="D1235">
        <v>2024</v>
      </c>
      <c r="E1235" t="s">
        <v>56</v>
      </c>
      <c r="F1235" t="s">
        <v>57</v>
      </c>
      <c r="G1235" t="s">
        <v>6453</v>
      </c>
      <c r="H1235" t="s">
        <v>6454</v>
      </c>
      <c r="I1235" t="s">
        <v>6455</v>
      </c>
      <c r="J1235" t="s">
        <v>71</v>
      </c>
      <c r="K1235" t="s">
        <v>18</v>
      </c>
      <c r="L1235" t="s">
        <v>72</v>
      </c>
      <c r="M1235" t="s">
        <v>72</v>
      </c>
      <c r="N1235" s="5"/>
      <c r="O1235" t="str">
        <f t="shared" si="19"/>
        <v/>
      </c>
    </row>
    <row r="1236" spans="1:15" x14ac:dyDescent="0.25">
      <c r="A1236" t="s">
        <v>6456</v>
      </c>
      <c r="B1236" t="s">
        <v>6457</v>
      </c>
      <c r="C1236" t="s">
        <v>571</v>
      </c>
      <c r="D1236">
        <v>2024</v>
      </c>
      <c r="E1236" t="s">
        <v>56</v>
      </c>
      <c r="F1236" t="s">
        <v>57</v>
      </c>
      <c r="G1236" t="s">
        <v>788</v>
      </c>
      <c r="H1236" t="s">
        <v>6458</v>
      </c>
      <c r="I1236" t="s">
        <v>6459</v>
      </c>
      <c r="J1236" t="s">
        <v>79</v>
      </c>
      <c r="K1236" t="s">
        <v>80</v>
      </c>
      <c r="L1236" t="s">
        <v>72</v>
      </c>
      <c r="M1236" t="s">
        <v>72</v>
      </c>
      <c r="N1236" s="5"/>
      <c r="O1236" t="str">
        <f t="shared" si="19"/>
        <v/>
      </c>
    </row>
    <row r="1237" spans="1:15" x14ac:dyDescent="0.25">
      <c r="A1237" t="s">
        <v>6460</v>
      </c>
      <c r="B1237" t="s">
        <v>6461</v>
      </c>
      <c r="C1237" t="s">
        <v>6462</v>
      </c>
      <c r="D1237">
        <v>2024</v>
      </c>
      <c r="E1237" t="s">
        <v>56</v>
      </c>
      <c r="F1237" t="s">
        <v>67</v>
      </c>
      <c r="G1237" t="s">
        <v>3573</v>
      </c>
      <c r="H1237" t="s">
        <v>6463</v>
      </c>
      <c r="I1237" t="s">
        <v>6464</v>
      </c>
      <c r="J1237" t="s">
        <v>87</v>
      </c>
      <c r="K1237" t="s">
        <v>19</v>
      </c>
      <c r="L1237" t="s">
        <v>72</v>
      </c>
      <c r="M1237" t="s">
        <v>72</v>
      </c>
      <c r="N1237" s="5"/>
      <c r="O1237" t="str">
        <f t="shared" si="19"/>
        <v/>
      </c>
    </row>
    <row r="1238" spans="1:15" x14ac:dyDescent="0.25">
      <c r="A1238" t="s">
        <v>6465</v>
      </c>
      <c r="B1238" t="s">
        <v>6466</v>
      </c>
      <c r="C1238" t="s">
        <v>6467</v>
      </c>
      <c r="D1238">
        <v>2024</v>
      </c>
      <c r="E1238" t="s">
        <v>56</v>
      </c>
      <c r="F1238" t="s">
        <v>57</v>
      </c>
      <c r="G1238" t="s">
        <v>739</v>
      </c>
      <c r="H1238" t="s">
        <v>6468</v>
      </c>
      <c r="I1238" t="s">
        <v>6469</v>
      </c>
      <c r="J1238" t="s">
        <v>87</v>
      </c>
      <c r="K1238" t="s">
        <v>19</v>
      </c>
      <c r="L1238" t="s">
        <v>72</v>
      </c>
      <c r="M1238" t="s">
        <v>72</v>
      </c>
      <c r="N1238" s="5"/>
      <c r="O1238" t="str">
        <f t="shared" si="19"/>
        <v/>
      </c>
    </row>
    <row r="1239" spans="1:15" x14ac:dyDescent="0.25">
      <c r="A1239" t="s">
        <v>6470</v>
      </c>
      <c r="B1239" t="s">
        <v>6471</v>
      </c>
      <c r="C1239" t="s">
        <v>6472</v>
      </c>
      <c r="D1239">
        <v>2024</v>
      </c>
      <c r="E1239" t="s">
        <v>56</v>
      </c>
      <c r="F1239" t="s">
        <v>67</v>
      </c>
      <c r="G1239" t="s">
        <v>6473</v>
      </c>
      <c r="H1239" t="s">
        <v>6474</v>
      </c>
      <c r="I1239" t="s">
        <v>6475</v>
      </c>
      <c r="J1239" t="s">
        <v>71</v>
      </c>
      <c r="K1239" t="s">
        <v>18</v>
      </c>
      <c r="L1239" t="s">
        <v>72</v>
      </c>
      <c r="M1239" t="s">
        <v>72</v>
      </c>
      <c r="N1239" s="5"/>
      <c r="O1239" t="str">
        <f t="shared" si="19"/>
        <v/>
      </c>
    </row>
    <row r="1240" spans="1:15" x14ac:dyDescent="0.25">
      <c r="A1240" t="s">
        <v>6476</v>
      </c>
      <c r="B1240" t="s">
        <v>6477</v>
      </c>
      <c r="C1240" t="s">
        <v>6478</v>
      </c>
      <c r="D1240">
        <v>2024</v>
      </c>
      <c r="E1240" t="s">
        <v>56</v>
      </c>
      <c r="F1240" t="s">
        <v>67</v>
      </c>
      <c r="G1240" t="s">
        <v>3900</v>
      </c>
      <c r="H1240" t="s">
        <v>6479</v>
      </c>
      <c r="I1240" t="s">
        <v>6480</v>
      </c>
      <c r="J1240" t="s">
        <v>87</v>
      </c>
      <c r="K1240" t="s">
        <v>19</v>
      </c>
      <c r="L1240" t="s">
        <v>72</v>
      </c>
      <c r="M1240" t="s">
        <v>72</v>
      </c>
      <c r="N1240" s="5"/>
      <c r="O1240" t="str">
        <f t="shared" si="19"/>
        <v/>
      </c>
    </row>
    <row r="1241" spans="1:15" x14ac:dyDescent="0.25">
      <c r="A1241" t="s">
        <v>6481</v>
      </c>
      <c r="B1241" t="s">
        <v>6482</v>
      </c>
      <c r="C1241" t="s">
        <v>6483</v>
      </c>
      <c r="D1241">
        <v>2024</v>
      </c>
      <c r="E1241" t="s">
        <v>56</v>
      </c>
      <c r="F1241" t="s">
        <v>67</v>
      </c>
      <c r="G1241" t="s">
        <v>6484</v>
      </c>
      <c r="H1241" t="s">
        <v>6485</v>
      </c>
      <c r="I1241" t="s">
        <v>6486</v>
      </c>
      <c r="J1241" t="s">
        <v>87</v>
      </c>
      <c r="K1241" t="s">
        <v>19</v>
      </c>
      <c r="L1241" t="s">
        <v>72</v>
      </c>
      <c r="M1241" t="s">
        <v>72</v>
      </c>
      <c r="N1241" s="5"/>
      <c r="O1241" t="str">
        <f t="shared" si="19"/>
        <v/>
      </c>
    </row>
    <row r="1242" spans="1:15" x14ac:dyDescent="0.25">
      <c r="A1242" t="s">
        <v>6487</v>
      </c>
      <c r="B1242" t="s">
        <v>6488</v>
      </c>
      <c r="C1242" t="s">
        <v>6489</v>
      </c>
      <c r="D1242">
        <v>2024</v>
      </c>
      <c r="E1242" t="s">
        <v>56</v>
      </c>
      <c r="F1242" t="s">
        <v>57</v>
      </c>
      <c r="G1242" t="s">
        <v>6490</v>
      </c>
      <c r="H1242" t="s">
        <v>6491</v>
      </c>
      <c r="I1242" t="s">
        <v>6492</v>
      </c>
      <c r="J1242" t="s">
        <v>79</v>
      </c>
      <c r="K1242" t="s">
        <v>80</v>
      </c>
      <c r="L1242" t="s">
        <v>72</v>
      </c>
      <c r="M1242" t="s">
        <v>72</v>
      </c>
      <c r="N1242" s="5"/>
      <c r="O1242" t="str">
        <f t="shared" si="19"/>
        <v/>
      </c>
    </row>
    <row r="1243" spans="1:15" x14ac:dyDescent="0.25">
      <c r="A1243" t="s">
        <v>6493</v>
      </c>
      <c r="B1243" t="s">
        <v>6494</v>
      </c>
      <c r="C1243" t="s">
        <v>571</v>
      </c>
      <c r="D1243">
        <v>2024</v>
      </c>
      <c r="E1243" t="s">
        <v>56</v>
      </c>
      <c r="F1243" t="s">
        <v>67</v>
      </c>
      <c r="G1243" t="s">
        <v>6495</v>
      </c>
      <c r="H1243" t="s">
        <v>6496</v>
      </c>
      <c r="I1243" t="s">
        <v>6497</v>
      </c>
      <c r="J1243" t="s">
        <v>165</v>
      </c>
      <c r="K1243" t="s">
        <v>166</v>
      </c>
      <c r="L1243" t="s">
        <v>63</v>
      </c>
      <c r="M1243" t="s">
        <v>72</v>
      </c>
      <c r="N1243" s="5"/>
      <c r="O1243" t="str">
        <f t="shared" si="19"/>
        <v/>
      </c>
    </row>
    <row r="1244" spans="1:15" x14ac:dyDescent="0.25">
      <c r="A1244" t="s">
        <v>6498</v>
      </c>
      <c r="B1244" t="s">
        <v>6499</v>
      </c>
      <c r="C1244" t="s">
        <v>6500</v>
      </c>
      <c r="D1244">
        <v>2024</v>
      </c>
      <c r="E1244" t="s">
        <v>56</v>
      </c>
      <c r="F1244" t="s">
        <v>67</v>
      </c>
      <c r="G1244" t="s">
        <v>6501</v>
      </c>
      <c r="H1244" t="s">
        <v>6502</v>
      </c>
      <c r="I1244" t="s">
        <v>6503</v>
      </c>
      <c r="J1244" t="s">
        <v>71</v>
      </c>
      <c r="K1244" t="s">
        <v>18</v>
      </c>
      <c r="L1244" t="s">
        <v>72</v>
      </c>
      <c r="M1244" t="s">
        <v>72</v>
      </c>
      <c r="N1244" s="5"/>
      <c r="O1244" t="str">
        <f t="shared" si="19"/>
        <v/>
      </c>
    </row>
    <row r="1245" spans="1:15" x14ac:dyDescent="0.25">
      <c r="A1245" t="s">
        <v>6504</v>
      </c>
      <c r="B1245" t="s">
        <v>6505</v>
      </c>
      <c r="C1245" t="s">
        <v>5612</v>
      </c>
      <c r="D1245">
        <v>2024</v>
      </c>
      <c r="E1245" t="s">
        <v>56</v>
      </c>
      <c r="F1245" t="s">
        <v>57</v>
      </c>
      <c r="G1245" t="s">
        <v>6506</v>
      </c>
      <c r="H1245" t="s">
        <v>6507</v>
      </c>
      <c r="I1245" t="s">
        <v>6508</v>
      </c>
      <c r="J1245" t="s">
        <v>87</v>
      </c>
      <c r="K1245" t="s">
        <v>19</v>
      </c>
      <c r="L1245" t="s">
        <v>72</v>
      </c>
      <c r="M1245" t="s">
        <v>72</v>
      </c>
      <c r="N1245" s="5"/>
      <c r="O1245" t="str">
        <f t="shared" si="19"/>
        <v/>
      </c>
    </row>
    <row r="1246" spans="1:15" x14ac:dyDescent="0.25">
      <c r="A1246" t="s">
        <v>6509</v>
      </c>
      <c r="B1246" t="s">
        <v>6510</v>
      </c>
      <c r="C1246" t="s">
        <v>6511</v>
      </c>
      <c r="D1246">
        <v>2024</v>
      </c>
      <c r="E1246" t="s">
        <v>56</v>
      </c>
      <c r="F1246" t="s">
        <v>57</v>
      </c>
      <c r="G1246" t="s">
        <v>4410</v>
      </c>
      <c r="H1246" t="s">
        <v>6512</v>
      </c>
      <c r="I1246" t="s">
        <v>6513</v>
      </c>
      <c r="J1246" t="s">
        <v>71</v>
      </c>
      <c r="K1246" t="s">
        <v>18</v>
      </c>
      <c r="L1246" t="s">
        <v>72</v>
      </c>
      <c r="M1246" t="s">
        <v>72</v>
      </c>
      <c r="N1246" s="5"/>
      <c r="O1246" t="str">
        <f t="shared" si="19"/>
        <v/>
      </c>
    </row>
    <row r="1247" spans="1:15" x14ac:dyDescent="0.25">
      <c r="A1247" t="s">
        <v>6514</v>
      </c>
      <c r="B1247" t="s">
        <v>6515</v>
      </c>
      <c r="C1247" t="s">
        <v>6516</v>
      </c>
      <c r="D1247">
        <v>2024</v>
      </c>
      <c r="E1247" t="s">
        <v>56</v>
      </c>
      <c r="F1247" t="s">
        <v>67</v>
      </c>
      <c r="G1247" t="s">
        <v>3288</v>
      </c>
      <c r="H1247" t="s">
        <v>6517</v>
      </c>
      <c r="I1247" t="s">
        <v>6518</v>
      </c>
      <c r="J1247" t="s">
        <v>87</v>
      </c>
      <c r="K1247" t="s">
        <v>19</v>
      </c>
      <c r="L1247" t="s">
        <v>72</v>
      </c>
      <c r="M1247" t="s">
        <v>72</v>
      </c>
      <c r="N1247" s="5"/>
      <c r="O1247" t="str">
        <f t="shared" si="19"/>
        <v/>
      </c>
    </row>
    <row r="1248" spans="1:15" x14ac:dyDescent="0.25">
      <c r="A1248" t="s">
        <v>6519</v>
      </c>
      <c r="B1248" t="s">
        <v>6520</v>
      </c>
      <c r="C1248" t="s">
        <v>6521</v>
      </c>
      <c r="D1248">
        <v>2024</v>
      </c>
      <c r="E1248" t="s">
        <v>56</v>
      </c>
      <c r="F1248" t="s">
        <v>67</v>
      </c>
      <c r="G1248" t="s">
        <v>6522</v>
      </c>
      <c r="H1248" t="s">
        <v>6523</v>
      </c>
      <c r="I1248" t="s">
        <v>6524</v>
      </c>
      <c r="J1248" t="s">
        <v>71</v>
      </c>
      <c r="K1248" t="s">
        <v>18</v>
      </c>
      <c r="L1248" t="s">
        <v>72</v>
      </c>
      <c r="M1248" t="s">
        <v>72</v>
      </c>
      <c r="N1248" s="5"/>
      <c r="O1248" t="str">
        <f t="shared" si="19"/>
        <v/>
      </c>
    </row>
    <row r="1249" spans="1:15" x14ac:dyDescent="0.25">
      <c r="A1249" t="s">
        <v>6525</v>
      </c>
      <c r="B1249" t="s">
        <v>6526</v>
      </c>
      <c r="C1249" t="s">
        <v>6527</v>
      </c>
      <c r="D1249">
        <v>2024</v>
      </c>
      <c r="E1249" t="s">
        <v>56</v>
      </c>
      <c r="F1249" t="s">
        <v>67</v>
      </c>
      <c r="G1249" t="s">
        <v>6495</v>
      </c>
      <c r="H1249" t="s">
        <v>6528</v>
      </c>
      <c r="I1249" t="s">
        <v>6529</v>
      </c>
      <c r="J1249" t="s">
        <v>79</v>
      </c>
      <c r="K1249" t="s">
        <v>80</v>
      </c>
      <c r="L1249" t="s">
        <v>72</v>
      </c>
      <c r="M1249" t="s">
        <v>72</v>
      </c>
      <c r="N1249" s="5"/>
      <c r="O1249" t="str">
        <f t="shared" si="19"/>
        <v/>
      </c>
    </row>
    <row r="1250" spans="1:15" x14ac:dyDescent="0.25">
      <c r="A1250" t="s">
        <v>6530</v>
      </c>
      <c r="B1250" t="s">
        <v>6531</v>
      </c>
      <c r="C1250" t="s">
        <v>6532</v>
      </c>
      <c r="D1250">
        <v>2024</v>
      </c>
      <c r="E1250" t="s">
        <v>56</v>
      </c>
      <c r="F1250" t="s">
        <v>67</v>
      </c>
      <c r="G1250" t="s">
        <v>6533</v>
      </c>
      <c r="H1250" t="s">
        <v>6534</v>
      </c>
      <c r="I1250" t="s">
        <v>6535</v>
      </c>
      <c r="J1250" t="s">
        <v>87</v>
      </c>
      <c r="K1250" t="s">
        <v>19</v>
      </c>
      <c r="L1250" t="s">
        <v>72</v>
      </c>
      <c r="M1250" t="s">
        <v>72</v>
      </c>
      <c r="N1250" s="5"/>
      <c r="O1250" t="str">
        <f t="shared" si="19"/>
        <v/>
      </c>
    </row>
    <row r="1251" spans="1:15" x14ac:dyDescent="0.25">
      <c r="A1251" t="s">
        <v>6536</v>
      </c>
      <c r="B1251" t="s">
        <v>6537</v>
      </c>
      <c r="C1251" t="s">
        <v>6538</v>
      </c>
      <c r="D1251">
        <v>2024</v>
      </c>
      <c r="E1251" t="s">
        <v>56</v>
      </c>
      <c r="F1251" t="s">
        <v>67</v>
      </c>
      <c r="G1251" t="s">
        <v>6539</v>
      </c>
      <c r="H1251" t="s">
        <v>6540</v>
      </c>
      <c r="I1251" t="s">
        <v>6541</v>
      </c>
      <c r="J1251" t="s">
        <v>71</v>
      </c>
      <c r="K1251" t="s">
        <v>18</v>
      </c>
      <c r="L1251" t="s">
        <v>72</v>
      </c>
      <c r="M1251" t="s">
        <v>72</v>
      </c>
      <c r="N1251" s="5"/>
      <c r="O1251" t="str">
        <f t="shared" si="19"/>
        <v/>
      </c>
    </row>
    <row r="1252" spans="1:15" x14ac:dyDescent="0.25">
      <c r="A1252" t="s">
        <v>6542</v>
      </c>
      <c r="B1252" t="s">
        <v>6543</v>
      </c>
      <c r="C1252" t="s">
        <v>6544</v>
      </c>
      <c r="D1252">
        <v>2024</v>
      </c>
      <c r="E1252" t="s">
        <v>56</v>
      </c>
      <c r="F1252" t="s">
        <v>67</v>
      </c>
      <c r="G1252" t="s">
        <v>6545</v>
      </c>
      <c r="H1252" t="s">
        <v>6546</v>
      </c>
      <c r="I1252" t="s">
        <v>6547</v>
      </c>
      <c r="J1252" t="s">
        <v>71</v>
      </c>
      <c r="K1252" t="s">
        <v>18</v>
      </c>
      <c r="L1252" t="s">
        <v>72</v>
      </c>
      <c r="M1252" t="s">
        <v>72</v>
      </c>
      <c r="N1252" s="5"/>
      <c r="O1252" t="str">
        <f t="shared" si="19"/>
        <v/>
      </c>
    </row>
    <row r="1253" spans="1:15" x14ac:dyDescent="0.25">
      <c r="A1253" t="s">
        <v>6548</v>
      </c>
      <c r="B1253" t="s">
        <v>6549</v>
      </c>
      <c r="C1253" t="s">
        <v>3283</v>
      </c>
      <c r="D1253">
        <v>2024</v>
      </c>
      <c r="E1253" t="s">
        <v>56</v>
      </c>
      <c r="F1253" t="s">
        <v>57</v>
      </c>
      <c r="G1253" t="s">
        <v>739</v>
      </c>
      <c r="H1253" t="s">
        <v>6550</v>
      </c>
      <c r="I1253" t="s">
        <v>6551</v>
      </c>
      <c r="J1253" t="s">
        <v>87</v>
      </c>
      <c r="K1253" t="s">
        <v>19</v>
      </c>
      <c r="L1253" t="s">
        <v>72</v>
      </c>
      <c r="M1253" t="s">
        <v>72</v>
      </c>
      <c r="N1253" s="5"/>
      <c r="O1253" t="str">
        <f t="shared" si="19"/>
        <v/>
      </c>
    </row>
    <row r="1254" spans="1:15" x14ac:dyDescent="0.25">
      <c r="A1254" t="s">
        <v>6552</v>
      </c>
      <c r="B1254" t="s">
        <v>6549</v>
      </c>
      <c r="C1254" t="s">
        <v>6553</v>
      </c>
      <c r="D1254">
        <v>2024</v>
      </c>
      <c r="E1254" t="s">
        <v>56</v>
      </c>
      <c r="F1254" t="s">
        <v>57</v>
      </c>
      <c r="G1254" t="s">
        <v>6135</v>
      </c>
      <c r="H1254" t="s">
        <v>6550</v>
      </c>
      <c r="I1254" t="s">
        <v>6554</v>
      </c>
      <c r="J1254" t="s">
        <v>87</v>
      </c>
      <c r="K1254" t="s">
        <v>19</v>
      </c>
      <c r="L1254" t="s">
        <v>72</v>
      </c>
      <c r="M1254" t="s">
        <v>72</v>
      </c>
      <c r="N1254" s="5"/>
      <c r="O1254" t="str">
        <f t="shared" si="19"/>
        <v/>
      </c>
    </row>
    <row r="1255" spans="1:15" x14ac:dyDescent="0.25">
      <c r="A1255" t="s">
        <v>6555</v>
      </c>
      <c r="B1255" t="s">
        <v>6556</v>
      </c>
      <c r="C1255" t="s">
        <v>6557</v>
      </c>
      <c r="D1255">
        <v>2024</v>
      </c>
      <c r="E1255" t="s">
        <v>56</v>
      </c>
      <c r="F1255" t="s">
        <v>57</v>
      </c>
      <c r="G1255" t="s">
        <v>6558</v>
      </c>
      <c r="H1255" t="s">
        <v>6559</v>
      </c>
      <c r="I1255" t="s">
        <v>6560</v>
      </c>
      <c r="J1255" t="s">
        <v>98</v>
      </c>
      <c r="K1255" t="s">
        <v>99</v>
      </c>
      <c r="L1255" t="s">
        <v>63</v>
      </c>
      <c r="M1255" t="s">
        <v>72</v>
      </c>
      <c r="N1255" s="5"/>
      <c r="O1255" t="str">
        <f t="shared" si="19"/>
        <v/>
      </c>
    </row>
    <row r="1256" spans="1:15" x14ac:dyDescent="0.25">
      <c r="A1256" t="s">
        <v>6561</v>
      </c>
      <c r="B1256" t="s">
        <v>6562</v>
      </c>
      <c r="C1256" t="s">
        <v>6563</v>
      </c>
      <c r="D1256">
        <v>2024</v>
      </c>
      <c r="E1256" t="s">
        <v>56</v>
      </c>
      <c r="F1256" t="s">
        <v>57</v>
      </c>
      <c r="G1256" t="s">
        <v>4478</v>
      </c>
      <c r="H1256" t="s">
        <v>6564</v>
      </c>
      <c r="I1256" t="s">
        <v>6565</v>
      </c>
      <c r="J1256" t="s">
        <v>79</v>
      </c>
      <c r="K1256" t="s">
        <v>80</v>
      </c>
      <c r="L1256" t="s">
        <v>72</v>
      </c>
      <c r="M1256" t="s">
        <v>72</v>
      </c>
      <c r="N1256" s="5"/>
      <c r="O1256" t="str">
        <f t="shared" si="19"/>
        <v/>
      </c>
    </row>
    <row r="1257" spans="1:15" x14ac:dyDescent="0.25">
      <c r="A1257" t="s">
        <v>6566</v>
      </c>
      <c r="B1257" t="s">
        <v>6567</v>
      </c>
      <c r="C1257" t="s">
        <v>6568</v>
      </c>
      <c r="D1257">
        <v>2024</v>
      </c>
      <c r="E1257" t="s">
        <v>56</v>
      </c>
      <c r="F1257" t="s">
        <v>57</v>
      </c>
      <c r="G1257" t="s">
        <v>750</v>
      </c>
      <c r="H1257" t="s">
        <v>6569</v>
      </c>
      <c r="I1257" t="s">
        <v>6570</v>
      </c>
      <c r="J1257" t="s">
        <v>87</v>
      </c>
      <c r="K1257" t="s">
        <v>19</v>
      </c>
      <c r="L1257" t="s">
        <v>72</v>
      </c>
      <c r="M1257" t="s">
        <v>72</v>
      </c>
      <c r="N1257" s="5"/>
      <c r="O1257" t="str">
        <f t="shared" si="19"/>
        <v/>
      </c>
    </row>
    <row r="1258" spans="1:15" x14ac:dyDescent="0.25">
      <c r="A1258" t="s">
        <v>6571</v>
      </c>
      <c r="B1258" t="s">
        <v>6572</v>
      </c>
      <c r="C1258" t="s">
        <v>4399</v>
      </c>
      <c r="D1258">
        <v>2024</v>
      </c>
      <c r="E1258" t="s">
        <v>56</v>
      </c>
      <c r="F1258" t="s">
        <v>67</v>
      </c>
      <c r="G1258" t="s">
        <v>6573</v>
      </c>
      <c r="H1258" t="s">
        <v>6574</v>
      </c>
      <c r="I1258" t="s">
        <v>6575</v>
      </c>
      <c r="J1258" t="s">
        <v>71</v>
      </c>
      <c r="K1258" t="s">
        <v>18</v>
      </c>
      <c r="L1258" t="s">
        <v>72</v>
      </c>
      <c r="M1258" t="s">
        <v>72</v>
      </c>
      <c r="N1258" s="5"/>
      <c r="O1258" t="str">
        <f t="shared" si="19"/>
        <v/>
      </c>
    </row>
    <row r="1259" spans="1:15" x14ac:dyDescent="0.25">
      <c r="A1259" t="s">
        <v>6576</v>
      </c>
      <c r="B1259" t="s">
        <v>6577</v>
      </c>
      <c r="C1259" t="s">
        <v>117</v>
      </c>
      <c r="D1259">
        <v>2024</v>
      </c>
      <c r="E1259" t="s">
        <v>56</v>
      </c>
      <c r="F1259" t="s">
        <v>57</v>
      </c>
      <c r="G1259" t="s">
        <v>1645</v>
      </c>
      <c r="H1259" t="s">
        <v>6578</v>
      </c>
      <c r="I1259" t="s">
        <v>6579</v>
      </c>
      <c r="J1259" t="s">
        <v>71</v>
      </c>
      <c r="K1259" t="s">
        <v>18</v>
      </c>
      <c r="L1259" t="s">
        <v>72</v>
      </c>
      <c r="M1259" t="s">
        <v>72</v>
      </c>
      <c r="N1259" s="5"/>
      <c r="O1259" t="str">
        <f t="shared" si="19"/>
        <v/>
      </c>
    </row>
    <row r="1260" spans="1:15" x14ac:dyDescent="0.25">
      <c r="A1260" t="s">
        <v>6580</v>
      </c>
      <c r="B1260" t="s">
        <v>6581</v>
      </c>
      <c r="C1260" t="s">
        <v>2983</v>
      </c>
      <c r="D1260">
        <v>2024</v>
      </c>
      <c r="E1260" t="s">
        <v>56</v>
      </c>
      <c r="F1260" t="s">
        <v>67</v>
      </c>
      <c r="G1260" t="s">
        <v>5948</v>
      </c>
      <c r="H1260" t="s">
        <v>6582</v>
      </c>
      <c r="I1260" t="s">
        <v>6583</v>
      </c>
      <c r="J1260" t="s">
        <v>98</v>
      </c>
      <c r="K1260" t="s">
        <v>99</v>
      </c>
      <c r="L1260" t="s">
        <v>63</v>
      </c>
      <c r="M1260" t="s">
        <v>72</v>
      </c>
      <c r="N1260" s="5"/>
      <c r="O1260" t="str">
        <f t="shared" si="19"/>
        <v/>
      </c>
    </row>
    <row r="1261" spans="1:15" x14ac:dyDescent="0.25">
      <c r="A1261" t="s">
        <v>6584</v>
      </c>
      <c r="B1261" t="s">
        <v>6585</v>
      </c>
      <c r="C1261" t="s">
        <v>6586</v>
      </c>
      <c r="D1261">
        <v>2024</v>
      </c>
      <c r="E1261" t="s">
        <v>56</v>
      </c>
      <c r="F1261" t="s">
        <v>57</v>
      </c>
      <c r="G1261" t="s">
        <v>2170</v>
      </c>
      <c r="H1261" t="s">
        <v>6587</v>
      </c>
      <c r="I1261" t="s">
        <v>6588</v>
      </c>
      <c r="J1261" t="s">
        <v>165</v>
      </c>
      <c r="K1261" t="s">
        <v>166</v>
      </c>
      <c r="L1261" t="s">
        <v>63</v>
      </c>
      <c r="M1261" t="s">
        <v>72</v>
      </c>
      <c r="N1261" s="5"/>
      <c r="O1261" t="str">
        <f t="shared" si="19"/>
        <v/>
      </c>
    </row>
    <row r="1262" spans="1:15" x14ac:dyDescent="0.25">
      <c r="A1262" t="s">
        <v>6589</v>
      </c>
      <c r="B1262" t="s">
        <v>6590</v>
      </c>
      <c r="C1262" t="s">
        <v>6591</v>
      </c>
      <c r="D1262">
        <v>2024</v>
      </c>
      <c r="E1262" t="s">
        <v>56</v>
      </c>
      <c r="F1262" t="s">
        <v>57</v>
      </c>
      <c r="G1262" t="s">
        <v>750</v>
      </c>
      <c r="H1262" t="s">
        <v>6592</v>
      </c>
      <c r="I1262" t="s">
        <v>6593</v>
      </c>
      <c r="J1262" t="s">
        <v>61</v>
      </c>
      <c r="K1262" t="s">
        <v>62</v>
      </c>
      <c r="L1262" t="s">
        <v>63</v>
      </c>
      <c r="M1262" t="s">
        <v>63</v>
      </c>
      <c r="N1262" s="5"/>
      <c r="O1262" t="str">
        <f t="shared" si="19"/>
        <v/>
      </c>
    </row>
    <row r="1263" spans="1:15" x14ac:dyDescent="0.25">
      <c r="A1263" t="s">
        <v>6594</v>
      </c>
      <c r="B1263" t="s">
        <v>6595</v>
      </c>
      <c r="C1263" t="s">
        <v>6596</v>
      </c>
      <c r="D1263">
        <v>2024</v>
      </c>
      <c r="E1263" t="s">
        <v>56</v>
      </c>
      <c r="F1263" t="s">
        <v>67</v>
      </c>
      <c r="G1263" t="s">
        <v>6427</v>
      </c>
      <c r="H1263" t="s">
        <v>6597</v>
      </c>
      <c r="I1263" t="s">
        <v>6598</v>
      </c>
      <c r="J1263" t="s">
        <v>71</v>
      </c>
      <c r="K1263" t="s">
        <v>18</v>
      </c>
      <c r="L1263" t="s">
        <v>72</v>
      </c>
      <c r="M1263" t="s">
        <v>72</v>
      </c>
      <c r="N1263" s="5"/>
      <c r="O1263" t="str">
        <f t="shared" si="19"/>
        <v/>
      </c>
    </row>
    <row r="1264" spans="1:15" x14ac:dyDescent="0.25">
      <c r="A1264" t="s">
        <v>6599</v>
      </c>
      <c r="B1264" t="s">
        <v>6600</v>
      </c>
      <c r="C1264" t="s">
        <v>6601</v>
      </c>
      <c r="D1264">
        <v>2024</v>
      </c>
      <c r="E1264" t="s">
        <v>56</v>
      </c>
      <c r="F1264" t="s">
        <v>67</v>
      </c>
      <c r="G1264" t="s">
        <v>6602</v>
      </c>
      <c r="H1264" t="s">
        <v>6603</v>
      </c>
      <c r="I1264" t="s">
        <v>6604</v>
      </c>
      <c r="J1264" t="s">
        <v>71</v>
      </c>
      <c r="K1264" t="s">
        <v>18</v>
      </c>
      <c r="L1264" t="s">
        <v>72</v>
      </c>
      <c r="M1264" t="s">
        <v>72</v>
      </c>
      <c r="N1264" s="5"/>
      <c r="O1264" t="str">
        <f t="shared" si="19"/>
        <v/>
      </c>
    </row>
    <row r="1265" spans="1:15" x14ac:dyDescent="0.25">
      <c r="A1265" t="s">
        <v>6605</v>
      </c>
      <c r="B1265" t="s">
        <v>6600</v>
      </c>
      <c r="C1265" t="s">
        <v>6606</v>
      </c>
      <c r="D1265">
        <v>2024</v>
      </c>
      <c r="E1265" t="s">
        <v>56</v>
      </c>
      <c r="F1265" t="s">
        <v>67</v>
      </c>
      <c r="G1265" t="s">
        <v>6607</v>
      </c>
      <c r="H1265" t="s">
        <v>6603</v>
      </c>
      <c r="I1265" t="s">
        <v>6608</v>
      </c>
      <c r="J1265" t="s">
        <v>71</v>
      </c>
      <c r="K1265" t="s">
        <v>18</v>
      </c>
      <c r="L1265" t="s">
        <v>72</v>
      </c>
      <c r="M1265" t="s">
        <v>72</v>
      </c>
      <c r="N1265" s="5"/>
      <c r="O1265" t="str">
        <f t="shared" si="19"/>
        <v/>
      </c>
    </row>
    <row r="1266" spans="1:15" x14ac:dyDescent="0.25">
      <c r="A1266" t="s">
        <v>6609</v>
      </c>
      <c r="B1266" t="s">
        <v>6610</v>
      </c>
      <c r="C1266" t="s">
        <v>6611</v>
      </c>
      <c r="D1266">
        <v>2024</v>
      </c>
      <c r="E1266" t="s">
        <v>56</v>
      </c>
      <c r="F1266" t="s">
        <v>67</v>
      </c>
      <c r="G1266" t="s">
        <v>151</v>
      </c>
      <c r="H1266" t="s">
        <v>6612</v>
      </c>
      <c r="I1266" t="s">
        <v>6613</v>
      </c>
      <c r="J1266" t="s">
        <v>71</v>
      </c>
      <c r="K1266" t="s">
        <v>18</v>
      </c>
      <c r="L1266" t="s">
        <v>72</v>
      </c>
      <c r="M1266" t="s">
        <v>72</v>
      </c>
      <c r="N1266" s="5"/>
      <c r="O1266" t="str">
        <f t="shared" si="19"/>
        <v/>
      </c>
    </row>
    <row r="1267" spans="1:15" x14ac:dyDescent="0.25">
      <c r="A1267" t="s">
        <v>6614</v>
      </c>
      <c r="B1267" t="s">
        <v>6615</v>
      </c>
      <c r="C1267" t="s">
        <v>6616</v>
      </c>
      <c r="D1267">
        <v>2024</v>
      </c>
      <c r="E1267" t="s">
        <v>56</v>
      </c>
      <c r="F1267" t="s">
        <v>67</v>
      </c>
      <c r="G1267" t="s">
        <v>3288</v>
      </c>
      <c r="H1267" t="s">
        <v>6617</v>
      </c>
      <c r="I1267" t="s">
        <v>6618</v>
      </c>
      <c r="J1267" t="s">
        <v>71</v>
      </c>
      <c r="K1267" t="s">
        <v>18</v>
      </c>
      <c r="L1267" t="s">
        <v>72</v>
      </c>
      <c r="M1267" t="s">
        <v>72</v>
      </c>
      <c r="N1267" s="5"/>
      <c r="O1267" t="str">
        <f t="shared" si="19"/>
        <v/>
      </c>
    </row>
    <row r="1268" spans="1:15" x14ac:dyDescent="0.25">
      <c r="A1268" t="s">
        <v>6619</v>
      </c>
      <c r="B1268" t="s">
        <v>6620</v>
      </c>
      <c r="C1268" t="s">
        <v>6621</v>
      </c>
      <c r="D1268">
        <v>2024</v>
      </c>
      <c r="E1268" t="s">
        <v>56</v>
      </c>
      <c r="F1268" t="s">
        <v>67</v>
      </c>
      <c r="G1268" t="s">
        <v>5328</v>
      </c>
      <c r="H1268" t="s">
        <v>6622</v>
      </c>
      <c r="I1268" t="s">
        <v>6623</v>
      </c>
      <c r="J1268" t="s">
        <v>71</v>
      </c>
      <c r="K1268" t="s">
        <v>18</v>
      </c>
      <c r="L1268" t="s">
        <v>72</v>
      </c>
      <c r="M1268" t="s">
        <v>72</v>
      </c>
      <c r="N1268" s="5"/>
      <c r="O1268" t="str">
        <f t="shared" si="19"/>
        <v/>
      </c>
    </row>
    <row r="1269" spans="1:15" x14ac:dyDescent="0.25">
      <c r="A1269" t="s">
        <v>6624</v>
      </c>
      <c r="B1269" t="s">
        <v>6625</v>
      </c>
      <c r="C1269" t="s">
        <v>6626</v>
      </c>
      <c r="D1269">
        <v>2024</v>
      </c>
      <c r="E1269" t="s">
        <v>56</v>
      </c>
      <c r="F1269" t="s">
        <v>57</v>
      </c>
      <c r="G1269" t="s">
        <v>6627</v>
      </c>
      <c r="H1269" t="s">
        <v>6628</v>
      </c>
      <c r="I1269" t="s">
        <v>6629</v>
      </c>
      <c r="J1269" t="s">
        <v>98</v>
      </c>
      <c r="K1269" t="s">
        <v>99</v>
      </c>
      <c r="L1269" t="s">
        <v>63</v>
      </c>
      <c r="M1269" t="s">
        <v>72</v>
      </c>
      <c r="N1269" s="5"/>
      <c r="O1269" t="str">
        <f t="shared" si="19"/>
        <v/>
      </c>
    </row>
    <row r="1270" spans="1:15" x14ac:dyDescent="0.25">
      <c r="A1270" t="s">
        <v>6630</v>
      </c>
      <c r="B1270" t="s">
        <v>6631</v>
      </c>
      <c r="C1270" t="s">
        <v>6632</v>
      </c>
      <c r="D1270">
        <v>2024</v>
      </c>
      <c r="E1270" t="s">
        <v>56</v>
      </c>
      <c r="F1270" t="s">
        <v>57</v>
      </c>
      <c r="G1270" t="s">
        <v>5059</v>
      </c>
      <c r="H1270" t="s">
        <v>6633</v>
      </c>
      <c r="I1270" t="s">
        <v>6634</v>
      </c>
      <c r="J1270" t="s">
        <v>79</v>
      </c>
      <c r="K1270" t="s">
        <v>80</v>
      </c>
      <c r="L1270" t="s">
        <v>72</v>
      </c>
      <c r="M1270" t="s">
        <v>72</v>
      </c>
      <c r="N1270" s="5"/>
      <c r="O1270" t="str">
        <f t="shared" si="19"/>
        <v/>
      </c>
    </row>
    <row r="1271" spans="1:15" x14ac:dyDescent="0.25">
      <c r="A1271" t="s">
        <v>6635</v>
      </c>
      <c r="B1271" t="s">
        <v>6636</v>
      </c>
      <c r="C1271" t="s">
        <v>5193</v>
      </c>
      <c r="D1271">
        <v>2024</v>
      </c>
      <c r="E1271" t="s">
        <v>56</v>
      </c>
      <c r="F1271" t="s">
        <v>67</v>
      </c>
      <c r="G1271" t="s">
        <v>76</v>
      </c>
      <c r="H1271" t="s">
        <v>6637</v>
      </c>
      <c r="I1271" t="s">
        <v>6638</v>
      </c>
      <c r="J1271" t="s">
        <v>87</v>
      </c>
      <c r="K1271" t="s">
        <v>19</v>
      </c>
      <c r="L1271" t="s">
        <v>72</v>
      </c>
      <c r="M1271" t="s">
        <v>72</v>
      </c>
      <c r="N1271" s="5"/>
      <c r="O1271" t="str">
        <f t="shared" si="19"/>
        <v/>
      </c>
    </row>
    <row r="1272" spans="1:15" x14ac:dyDescent="0.25">
      <c r="A1272" t="s">
        <v>6639</v>
      </c>
      <c r="B1272" t="s">
        <v>6640</v>
      </c>
      <c r="C1272" t="s">
        <v>6641</v>
      </c>
      <c r="D1272">
        <v>2023</v>
      </c>
      <c r="E1272" t="s">
        <v>56</v>
      </c>
      <c r="F1272" t="s">
        <v>67</v>
      </c>
      <c r="G1272" t="s">
        <v>84</v>
      </c>
      <c r="H1272" t="s">
        <v>6642</v>
      </c>
      <c r="I1272" t="s">
        <v>6643</v>
      </c>
      <c r="J1272" t="s">
        <v>87</v>
      </c>
      <c r="K1272" t="s">
        <v>19</v>
      </c>
      <c r="L1272" t="s">
        <v>72</v>
      </c>
      <c r="M1272" t="s">
        <v>72</v>
      </c>
      <c r="N1272" s="5"/>
      <c r="O1272" t="str">
        <f t="shared" si="19"/>
        <v/>
      </c>
    </row>
    <row r="1273" spans="1:15" x14ac:dyDescent="0.25">
      <c r="A1273" t="s">
        <v>6644</v>
      </c>
      <c r="B1273" t="s">
        <v>6645</v>
      </c>
      <c r="C1273" t="s">
        <v>1845</v>
      </c>
      <c r="D1273">
        <v>2023</v>
      </c>
      <c r="E1273" t="s">
        <v>56</v>
      </c>
      <c r="F1273" t="s">
        <v>67</v>
      </c>
      <c r="G1273" t="s">
        <v>3288</v>
      </c>
      <c r="H1273" t="s">
        <v>6646</v>
      </c>
      <c r="I1273" t="s">
        <v>6647</v>
      </c>
      <c r="J1273" t="s">
        <v>71</v>
      </c>
      <c r="K1273" t="s">
        <v>18</v>
      </c>
      <c r="L1273" t="s">
        <v>72</v>
      </c>
      <c r="M1273" t="s">
        <v>72</v>
      </c>
      <c r="N1273" s="5"/>
      <c r="O1273" t="str">
        <f t="shared" si="19"/>
        <v/>
      </c>
    </row>
    <row r="1274" spans="1:15" x14ac:dyDescent="0.25">
      <c r="A1274" t="s">
        <v>6648</v>
      </c>
      <c r="B1274" t="s">
        <v>6649</v>
      </c>
      <c r="C1274" t="s">
        <v>6650</v>
      </c>
      <c r="D1274">
        <v>2023</v>
      </c>
      <c r="E1274" t="s">
        <v>56</v>
      </c>
      <c r="F1274" t="s">
        <v>57</v>
      </c>
      <c r="G1274" t="s">
        <v>279</v>
      </c>
      <c r="H1274" t="s">
        <v>6651</v>
      </c>
      <c r="I1274" t="s">
        <v>6652</v>
      </c>
      <c r="J1274" t="s">
        <v>61</v>
      </c>
      <c r="K1274" t="s">
        <v>62</v>
      </c>
      <c r="L1274" t="s">
        <v>63</v>
      </c>
      <c r="M1274" t="s">
        <v>63</v>
      </c>
      <c r="N1274" s="5"/>
      <c r="O1274" t="str">
        <f t="shared" si="19"/>
        <v/>
      </c>
    </row>
    <row r="1275" spans="1:15" x14ac:dyDescent="0.25">
      <c r="A1275" t="s">
        <v>6653</v>
      </c>
      <c r="B1275" t="s">
        <v>6654</v>
      </c>
      <c r="C1275" t="s">
        <v>6655</v>
      </c>
      <c r="D1275">
        <v>2023</v>
      </c>
      <c r="E1275" t="s">
        <v>56</v>
      </c>
      <c r="F1275" t="s">
        <v>57</v>
      </c>
      <c r="G1275" t="s">
        <v>4917</v>
      </c>
      <c r="H1275" t="s">
        <v>6656</v>
      </c>
      <c r="I1275" t="s">
        <v>6657</v>
      </c>
      <c r="J1275" t="s">
        <v>87</v>
      </c>
      <c r="K1275" t="s">
        <v>19</v>
      </c>
      <c r="L1275" t="s">
        <v>72</v>
      </c>
      <c r="M1275" t="s">
        <v>72</v>
      </c>
      <c r="N1275" s="5"/>
      <c r="O1275" t="str">
        <f t="shared" si="19"/>
        <v/>
      </c>
    </row>
    <row r="1276" spans="1:15" x14ac:dyDescent="0.25">
      <c r="A1276" t="s">
        <v>6658</v>
      </c>
      <c r="B1276" t="s">
        <v>6659</v>
      </c>
      <c r="C1276" t="s">
        <v>6655</v>
      </c>
      <c r="D1276">
        <v>2023</v>
      </c>
      <c r="E1276" t="s">
        <v>56</v>
      </c>
      <c r="F1276" t="s">
        <v>57</v>
      </c>
      <c r="G1276" t="s">
        <v>578</v>
      </c>
      <c r="H1276" t="s">
        <v>6656</v>
      </c>
      <c r="I1276" t="s">
        <v>6660</v>
      </c>
      <c r="J1276" t="s">
        <v>87</v>
      </c>
      <c r="K1276" t="s">
        <v>19</v>
      </c>
      <c r="L1276" t="s">
        <v>72</v>
      </c>
      <c r="M1276" t="s">
        <v>72</v>
      </c>
      <c r="N1276" s="5"/>
      <c r="O1276" t="str">
        <f t="shared" si="19"/>
        <v/>
      </c>
    </row>
    <row r="1277" spans="1:15" x14ac:dyDescent="0.25">
      <c r="A1277" t="s">
        <v>6661</v>
      </c>
      <c r="B1277" t="s">
        <v>6662</v>
      </c>
      <c r="C1277" t="s">
        <v>6663</v>
      </c>
      <c r="D1277">
        <v>2023</v>
      </c>
      <c r="E1277" t="s">
        <v>56</v>
      </c>
      <c r="F1277" t="s">
        <v>57</v>
      </c>
      <c r="G1277" t="s">
        <v>1803</v>
      </c>
      <c r="H1277" t="s">
        <v>6664</v>
      </c>
      <c r="I1277" t="s">
        <v>6665</v>
      </c>
      <c r="J1277" t="s">
        <v>98</v>
      </c>
      <c r="K1277" t="s">
        <v>99</v>
      </c>
      <c r="L1277" t="s">
        <v>63</v>
      </c>
      <c r="M1277" t="s">
        <v>72</v>
      </c>
      <c r="N1277" s="5"/>
      <c r="O1277" t="str">
        <f t="shared" si="19"/>
        <v/>
      </c>
    </row>
    <row r="1278" spans="1:15" x14ac:dyDescent="0.25">
      <c r="A1278" t="s">
        <v>6666</v>
      </c>
      <c r="B1278" t="s">
        <v>6667</v>
      </c>
      <c r="C1278" t="s">
        <v>6668</v>
      </c>
      <c r="D1278">
        <v>2023</v>
      </c>
      <c r="E1278" t="s">
        <v>56</v>
      </c>
      <c r="F1278" t="s">
        <v>67</v>
      </c>
      <c r="G1278" t="s">
        <v>6669</v>
      </c>
      <c r="H1278" t="s">
        <v>6670</v>
      </c>
      <c r="I1278" t="s">
        <v>6671</v>
      </c>
      <c r="J1278" t="s">
        <v>71</v>
      </c>
      <c r="K1278" t="s">
        <v>18</v>
      </c>
      <c r="L1278" t="s">
        <v>72</v>
      </c>
      <c r="M1278" t="s">
        <v>72</v>
      </c>
      <c r="N1278" s="5"/>
      <c r="O1278" t="str">
        <f t="shared" si="19"/>
        <v/>
      </c>
    </row>
    <row r="1279" spans="1:15" x14ac:dyDescent="0.25">
      <c r="A1279" t="s">
        <v>6672</v>
      </c>
      <c r="B1279" t="s">
        <v>6673</v>
      </c>
      <c r="C1279" t="s">
        <v>6068</v>
      </c>
      <c r="D1279">
        <v>2023</v>
      </c>
      <c r="E1279" t="s">
        <v>56</v>
      </c>
      <c r="F1279" t="s">
        <v>57</v>
      </c>
      <c r="G1279" t="s">
        <v>418</v>
      </c>
      <c r="H1279" t="s">
        <v>6674</v>
      </c>
      <c r="I1279" t="s">
        <v>6675</v>
      </c>
      <c r="J1279" t="s">
        <v>165</v>
      </c>
      <c r="K1279" t="s">
        <v>166</v>
      </c>
      <c r="L1279" t="s">
        <v>63</v>
      </c>
      <c r="M1279" t="s">
        <v>72</v>
      </c>
      <c r="N1279" s="5"/>
      <c r="O1279" t="str">
        <f t="shared" si="19"/>
        <v/>
      </c>
    </row>
    <row r="1280" spans="1:15" x14ac:dyDescent="0.25">
      <c r="A1280" t="s">
        <v>6676</v>
      </c>
      <c r="B1280" t="s">
        <v>6677</v>
      </c>
      <c r="C1280" t="s">
        <v>6678</v>
      </c>
      <c r="D1280">
        <v>2023</v>
      </c>
      <c r="E1280" t="s">
        <v>56</v>
      </c>
      <c r="F1280" t="s">
        <v>57</v>
      </c>
      <c r="G1280" t="s">
        <v>766</v>
      </c>
      <c r="H1280" t="s">
        <v>6679</v>
      </c>
      <c r="I1280" t="s">
        <v>6680</v>
      </c>
      <c r="J1280" t="s">
        <v>165</v>
      </c>
      <c r="K1280" t="s">
        <v>166</v>
      </c>
      <c r="L1280" t="s">
        <v>63</v>
      </c>
      <c r="M1280" t="s">
        <v>72</v>
      </c>
      <c r="N1280" s="5"/>
      <c r="O1280" t="str">
        <f t="shared" si="19"/>
        <v/>
      </c>
    </row>
    <row r="1281" spans="1:15" x14ac:dyDescent="0.25">
      <c r="A1281" t="s">
        <v>6681</v>
      </c>
      <c r="B1281" t="s">
        <v>6682</v>
      </c>
      <c r="C1281" t="s">
        <v>6683</v>
      </c>
      <c r="D1281">
        <v>2023</v>
      </c>
      <c r="E1281" t="s">
        <v>56</v>
      </c>
      <c r="F1281" t="s">
        <v>67</v>
      </c>
      <c r="G1281" t="s">
        <v>6684</v>
      </c>
      <c r="H1281" t="s">
        <v>6685</v>
      </c>
      <c r="I1281" t="s">
        <v>6686</v>
      </c>
      <c r="J1281" t="s">
        <v>71</v>
      </c>
      <c r="K1281" t="s">
        <v>18</v>
      </c>
      <c r="L1281" t="s">
        <v>72</v>
      </c>
      <c r="M1281" t="s">
        <v>72</v>
      </c>
      <c r="N1281" s="5"/>
      <c r="O1281" t="str">
        <f t="shared" si="19"/>
        <v/>
      </c>
    </row>
    <row r="1282" spans="1:15" x14ac:dyDescent="0.25">
      <c r="A1282" t="s">
        <v>6687</v>
      </c>
      <c r="B1282" t="s">
        <v>6688</v>
      </c>
      <c r="C1282" t="s">
        <v>6586</v>
      </c>
      <c r="D1282">
        <v>2023</v>
      </c>
      <c r="E1282" t="s">
        <v>56</v>
      </c>
      <c r="F1282" t="s">
        <v>67</v>
      </c>
      <c r="G1282" t="s">
        <v>3573</v>
      </c>
      <c r="H1282" t="s">
        <v>6689</v>
      </c>
      <c r="I1282" t="s">
        <v>6690</v>
      </c>
      <c r="J1282" t="s">
        <v>61</v>
      </c>
      <c r="K1282" t="s">
        <v>62</v>
      </c>
      <c r="L1282" t="s">
        <v>63</v>
      </c>
      <c r="M1282" t="s">
        <v>63</v>
      </c>
      <c r="N1282" s="5"/>
      <c r="O1282" t="str">
        <f t="shared" ref="O1282:O1345" si="20">IF(N1282="","",IF(N1282=J1282,1,0))</f>
        <v/>
      </c>
    </row>
    <row r="1283" spans="1:15" x14ac:dyDescent="0.25">
      <c r="A1283" t="s">
        <v>6691</v>
      </c>
      <c r="B1283" t="s">
        <v>6692</v>
      </c>
      <c r="C1283" t="s">
        <v>6693</v>
      </c>
      <c r="D1283">
        <v>2023</v>
      </c>
      <c r="E1283" t="s">
        <v>56</v>
      </c>
      <c r="F1283" t="s">
        <v>67</v>
      </c>
      <c r="G1283" t="s">
        <v>6694</v>
      </c>
      <c r="H1283" t="s">
        <v>6695</v>
      </c>
      <c r="I1283" t="s">
        <v>6696</v>
      </c>
      <c r="J1283" t="s">
        <v>71</v>
      </c>
      <c r="K1283" t="s">
        <v>18</v>
      </c>
      <c r="L1283" t="s">
        <v>72</v>
      </c>
      <c r="M1283" t="s">
        <v>72</v>
      </c>
      <c r="N1283" s="5"/>
      <c r="O1283" t="str">
        <f t="shared" si="20"/>
        <v/>
      </c>
    </row>
    <row r="1284" spans="1:15" x14ac:dyDescent="0.25">
      <c r="A1284" t="s">
        <v>6697</v>
      </c>
      <c r="B1284" t="s">
        <v>6698</v>
      </c>
      <c r="C1284" t="s">
        <v>733</v>
      </c>
      <c r="D1284">
        <v>2023</v>
      </c>
      <c r="E1284" t="s">
        <v>56</v>
      </c>
      <c r="F1284" t="s">
        <v>67</v>
      </c>
      <c r="G1284" t="s">
        <v>6699</v>
      </c>
      <c r="H1284" t="s">
        <v>6700</v>
      </c>
      <c r="I1284" t="s">
        <v>6701</v>
      </c>
      <c r="J1284" t="s">
        <v>71</v>
      </c>
      <c r="K1284" t="s">
        <v>18</v>
      </c>
      <c r="L1284" t="s">
        <v>72</v>
      </c>
      <c r="M1284" t="s">
        <v>72</v>
      </c>
      <c r="N1284" s="5"/>
      <c r="O1284" t="str">
        <f t="shared" si="20"/>
        <v/>
      </c>
    </row>
    <row r="1285" spans="1:15" x14ac:dyDescent="0.25">
      <c r="A1285" t="s">
        <v>6702</v>
      </c>
      <c r="B1285" t="s">
        <v>6703</v>
      </c>
      <c r="C1285" t="s">
        <v>3302</v>
      </c>
      <c r="D1285">
        <v>2023</v>
      </c>
      <c r="E1285" t="s">
        <v>56</v>
      </c>
      <c r="F1285" t="s">
        <v>57</v>
      </c>
      <c r="G1285" t="s">
        <v>2170</v>
      </c>
      <c r="H1285" t="s">
        <v>6704</v>
      </c>
      <c r="I1285" t="s">
        <v>6705</v>
      </c>
      <c r="J1285" t="s">
        <v>71</v>
      </c>
      <c r="K1285" t="s">
        <v>18</v>
      </c>
      <c r="L1285" t="s">
        <v>72</v>
      </c>
      <c r="M1285" t="s">
        <v>72</v>
      </c>
      <c r="N1285" s="5"/>
      <c r="O1285" t="str">
        <f t="shared" si="20"/>
        <v/>
      </c>
    </row>
    <row r="1286" spans="1:15" x14ac:dyDescent="0.25">
      <c r="A1286" t="s">
        <v>6706</v>
      </c>
      <c r="B1286" t="s">
        <v>6707</v>
      </c>
      <c r="C1286" t="s">
        <v>452</v>
      </c>
      <c r="D1286">
        <v>2023</v>
      </c>
      <c r="E1286" t="s">
        <v>56</v>
      </c>
      <c r="F1286" t="s">
        <v>67</v>
      </c>
      <c r="G1286" t="s">
        <v>6708</v>
      </c>
      <c r="H1286" t="s">
        <v>6709</v>
      </c>
      <c r="I1286" t="s">
        <v>6710</v>
      </c>
      <c r="J1286" t="s">
        <v>71</v>
      </c>
      <c r="K1286" t="s">
        <v>18</v>
      </c>
      <c r="L1286" t="s">
        <v>72</v>
      </c>
      <c r="M1286" t="s">
        <v>72</v>
      </c>
      <c r="N1286" s="5"/>
      <c r="O1286" t="str">
        <f t="shared" si="20"/>
        <v/>
      </c>
    </row>
    <row r="1287" spans="1:15" x14ac:dyDescent="0.25">
      <c r="A1287" t="s">
        <v>6711</v>
      </c>
      <c r="B1287" t="s">
        <v>6712</v>
      </c>
      <c r="C1287" t="s">
        <v>6713</v>
      </c>
      <c r="D1287">
        <v>2023</v>
      </c>
      <c r="E1287" t="s">
        <v>56</v>
      </c>
      <c r="F1287" t="s">
        <v>67</v>
      </c>
      <c r="G1287" t="s">
        <v>6714</v>
      </c>
      <c r="H1287" t="s">
        <v>6715</v>
      </c>
      <c r="I1287" t="s">
        <v>6716</v>
      </c>
      <c r="J1287" t="s">
        <v>71</v>
      </c>
      <c r="K1287" t="s">
        <v>18</v>
      </c>
      <c r="L1287" t="s">
        <v>72</v>
      </c>
      <c r="M1287" t="s">
        <v>72</v>
      </c>
      <c r="N1287" s="5"/>
      <c r="O1287" t="str">
        <f t="shared" si="20"/>
        <v/>
      </c>
    </row>
    <row r="1288" spans="1:15" x14ac:dyDescent="0.25">
      <c r="A1288" t="s">
        <v>6717</v>
      </c>
      <c r="B1288" t="s">
        <v>6718</v>
      </c>
      <c r="C1288" t="s">
        <v>2995</v>
      </c>
      <c r="D1288">
        <v>2023</v>
      </c>
      <c r="E1288" t="s">
        <v>56</v>
      </c>
      <c r="F1288" t="s">
        <v>57</v>
      </c>
      <c r="G1288" t="s">
        <v>739</v>
      </c>
      <c r="H1288" t="s">
        <v>6719</v>
      </c>
      <c r="I1288" t="s">
        <v>6720</v>
      </c>
      <c r="J1288" t="s">
        <v>165</v>
      </c>
      <c r="K1288" t="s">
        <v>166</v>
      </c>
      <c r="L1288" t="s">
        <v>63</v>
      </c>
      <c r="M1288" t="s">
        <v>72</v>
      </c>
      <c r="N1288" s="5"/>
      <c r="O1288" t="str">
        <f t="shared" si="20"/>
        <v/>
      </c>
    </row>
    <row r="1289" spans="1:15" x14ac:dyDescent="0.25">
      <c r="A1289" t="s">
        <v>6721</v>
      </c>
      <c r="B1289" t="s">
        <v>6722</v>
      </c>
      <c r="C1289" t="s">
        <v>6723</v>
      </c>
      <c r="D1289">
        <v>2023</v>
      </c>
      <c r="E1289" t="s">
        <v>56</v>
      </c>
      <c r="F1289" t="s">
        <v>67</v>
      </c>
      <c r="G1289" t="s">
        <v>151</v>
      </c>
      <c r="H1289" t="s">
        <v>6724</v>
      </c>
      <c r="I1289" t="s">
        <v>6725</v>
      </c>
      <c r="J1289" t="s">
        <v>61</v>
      </c>
      <c r="K1289" t="s">
        <v>62</v>
      </c>
      <c r="L1289" t="s">
        <v>63</v>
      </c>
      <c r="M1289" t="s">
        <v>63</v>
      </c>
      <c r="N1289" s="5"/>
      <c r="O1289" t="str">
        <f t="shared" si="20"/>
        <v/>
      </c>
    </row>
    <row r="1290" spans="1:15" x14ac:dyDescent="0.25">
      <c r="A1290" t="s">
        <v>6726</v>
      </c>
      <c r="B1290" t="s">
        <v>6727</v>
      </c>
      <c r="C1290" t="s">
        <v>6728</v>
      </c>
      <c r="D1290">
        <v>2023</v>
      </c>
      <c r="E1290" t="s">
        <v>56</v>
      </c>
      <c r="F1290" t="s">
        <v>57</v>
      </c>
      <c r="G1290" t="s">
        <v>3613</v>
      </c>
      <c r="H1290" t="s">
        <v>6729</v>
      </c>
      <c r="I1290" t="s">
        <v>6730</v>
      </c>
      <c r="J1290" t="s">
        <v>71</v>
      </c>
      <c r="K1290" t="s">
        <v>18</v>
      </c>
      <c r="L1290" t="s">
        <v>72</v>
      </c>
      <c r="M1290" t="s">
        <v>72</v>
      </c>
      <c r="N1290" s="5"/>
      <c r="O1290" t="str">
        <f t="shared" si="20"/>
        <v/>
      </c>
    </row>
    <row r="1291" spans="1:15" x14ac:dyDescent="0.25">
      <c r="A1291" t="s">
        <v>6731</v>
      </c>
      <c r="B1291" t="s">
        <v>6732</v>
      </c>
      <c r="C1291" t="s">
        <v>3562</v>
      </c>
      <c r="D1291">
        <v>2023</v>
      </c>
      <c r="E1291" t="s">
        <v>56</v>
      </c>
      <c r="F1291" t="s">
        <v>67</v>
      </c>
      <c r="G1291" t="s">
        <v>1130</v>
      </c>
      <c r="H1291" t="s">
        <v>6733</v>
      </c>
      <c r="I1291" t="s">
        <v>6734</v>
      </c>
      <c r="J1291" t="s">
        <v>71</v>
      </c>
      <c r="K1291" t="s">
        <v>18</v>
      </c>
      <c r="L1291" t="s">
        <v>72</v>
      </c>
      <c r="M1291" t="s">
        <v>72</v>
      </c>
      <c r="N1291" s="5"/>
      <c r="O1291" t="str">
        <f t="shared" si="20"/>
        <v/>
      </c>
    </row>
    <row r="1292" spans="1:15" x14ac:dyDescent="0.25">
      <c r="A1292" t="s">
        <v>6735</v>
      </c>
      <c r="B1292" t="s">
        <v>6736</v>
      </c>
      <c r="C1292" t="s">
        <v>6737</v>
      </c>
      <c r="D1292">
        <v>2023</v>
      </c>
      <c r="E1292" t="s">
        <v>56</v>
      </c>
      <c r="F1292" t="s">
        <v>67</v>
      </c>
      <c r="G1292" t="s">
        <v>1130</v>
      </c>
      <c r="H1292" t="s">
        <v>6738</v>
      </c>
      <c r="I1292" t="s">
        <v>6739</v>
      </c>
      <c r="J1292" t="s">
        <v>71</v>
      </c>
      <c r="K1292" t="s">
        <v>18</v>
      </c>
      <c r="L1292" t="s">
        <v>72</v>
      </c>
      <c r="M1292" t="s">
        <v>72</v>
      </c>
      <c r="N1292" s="5"/>
      <c r="O1292" t="str">
        <f t="shared" si="20"/>
        <v/>
      </c>
    </row>
    <row r="1293" spans="1:15" x14ac:dyDescent="0.25">
      <c r="A1293" t="s">
        <v>6740</v>
      </c>
      <c r="B1293" t="s">
        <v>6741</v>
      </c>
      <c r="C1293" t="s">
        <v>5359</v>
      </c>
      <c r="D1293">
        <v>2023</v>
      </c>
      <c r="E1293" t="s">
        <v>56</v>
      </c>
      <c r="F1293" t="s">
        <v>67</v>
      </c>
      <c r="G1293" t="s">
        <v>6742</v>
      </c>
      <c r="H1293" t="s">
        <v>6743</v>
      </c>
      <c r="I1293" t="s">
        <v>6744</v>
      </c>
      <c r="J1293" t="s">
        <v>71</v>
      </c>
      <c r="K1293" t="s">
        <v>18</v>
      </c>
      <c r="L1293" t="s">
        <v>72</v>
      </c>
      <c r="M1293" t="s">
        <v>72</v>
      </c>
      <c r="N1293" s="5"/>
      <c r="O1293" t="str">
        <f t="shared" si="20"/>
        <v/>
      </c>
    </row>
    <row r="1294" spans="1:15" x14ac:dyDescent="0.25">
      <c r="A1294" t="s">
        <v>6745</v>
      </c>
      <c r="B1294" t="s">
        <v>6746</v>
      </c>
      <c r="C1294" t="s">
        <v>3178</v>
      </c>
      <c r="D1294">
        <v>2023</v>
      </c>
      <c r="E1294" t="s">
        <v>56</v>
      </c>
      <c r="F1294" t="s">
        <v>57</v>
      </c>
      <c r="G1294" t="s">
        <v>1765</v>
      </c>
      <c r="H1294" t="s">
        <v>6747</v>
      </c>
      <c r="I1294" t="s">
        <v>6748</v>
      </c>
      <c r="J1294" t="s">
        <v>71</v>
      </c>
      <c r="K1294" t="s">
        <v>18</v>
      </c>
      <c r="L1294" t="s">
        <v>72</v>
      </c>
      <c r="M1294" t="s">
        <v>72</v>
      </c>
      <c r="N1294" s="5"/>
      <c r="O1294" t="str">
        <f t="shared" si="20"/>
        <v/>
      </c>
    </row>
    <row r="1295" spans="1:15" x14ac:dyDescent="0.25">
      <c r="A1295" t="s">
        <v>6749</v>
      </c>
      <c r="B1295" t="s">
        <v>6750</v>
      </c>
      <c r="C1295" t="s">
        <v>6751</v>
      </c>
      <c r="D1295">
        <v>2023</v>
      </c>
      <c r="E1295" t="s">
        <v>56</v>
      </c>
      <c r="F1295" t="s">
        <v>57</v>
      </c>
      <c r="G1295" t="s">
        <v>578</v>
      </c>
      <c r="H1295" t="s">
        <v>6752</v>
      </c>
      <c r="I1295" t="s">
        <v>6753</v>
      </c>
      <c r="J1295" t="s">
        <v>165</v>
      </c>
      <c r="K1295" t="s">
        <v>166</v>
      </c>
      <c r="L1295" t="s">
        <v>63</v>
      </c>
      <c r="M1295" t="s">
        <v>72</v>
      </c>
      <c r="N1295" s="5"/>
      <c r="O1295" t="str">
        <f t="shared" si="20"/>
        <v/>
      </c>
    </row>
    <row r="1296" spans="1:15" x14ac:dyDescent="0.25">
      <c r="A1296" t="s">
        <v>6754</v>
      </c>
      <c r="B1296" t="s">
        <v>6755</v>
      </c>
      <c r="C1296" t="s">
        <v>771</v>
      </c>
      <c r="D1296">
        <v>2023</v>
      </c>
      <c r="E1296" t="s">
        <v>56</v>
      </c>
      <c r="F1296" t="s">
        <v>67</v>
      </c>
      <c r="G1296" t="s">
        <v>6756</v>
      </c>
      <c r="H1296" t="s">
        <v>6757</v>
      </c>
      <c r="I1296" t="s">
        <v>6758</v>
      </c>
      <c r="J1296" t="s">
        <v>71</v>
      </c>
      <c r="K1296" t="s">
        <v>18</v>
      </c>
      <c r="L1296" t="s">
        <v>72</v>
      </c>
      <c r="M1296" t="s">
        <v>72</v>
      </c>
      <c r="N1296" s="5"/>
      <c r="O1296" t="str">
        <f t="shared" si="20"/>
        <v/>
      </c>
    </row>
    <row r="1297" spans="1:15" x14ac:dyDescent="0.25">
      <c r="A1297" t="s">
        <v>6759</v>
      </c>
      <c r="B1297" t="s">
        <v>6760</v>
      </c>
      <c r="C1297" t="s">
        <v>6416</v>
      </c>
      <c r="D1297">
        <v>2023</v>
      </c>
      <c r="E1297" t="s">
        <v>56</v>
      </c>
      <c r="F1297" t="s">
        <v>67</v>
      </c>
      <c r="G1297" t="s">
        <v>6761</v>
      </c>
      <c r="H1297" t="s">
        <v>6762</v>
      </c>
      <c r="I1297" t="s">
        <v>6763</v>
      </c>
      <c r="J1297" t="s">
        <v>71</v>
      </c>
      <c r="K1297" t="s">
        <v>18</v>
      </c>
      <c r="L1297" t="s">
        <v>72</v>
      </c>
      <c r="M1297" t="s">
        <v>72</v>
      </c>
      <c r="N1297" s="5"/>
      <c r="O1297" t="str">
        <f t="shared" si="20"/>
        <v/>
      </c>
    </row>
    <row r="1298" spans="1:15" x14ac:dyDescent="0.25">
      <c r="A1298" t="s">
        <v>6764</v>
      </c>
      <c r="B1298" t="s">
        <v>6765</v>
      </c>
      <c r="C1298" t="s">
        <v>6766</v>
      </c>
      <c r="D1298">
        <v>2023</v>
      </c>
      <c r="E1298" t="s">
        <v>56</v>
      </c>
      <c r="F1298" t="s">
        <v>57</v>
      </c>
      <c r="G1298" t="s">
        <v>825</v>
      </c>
      <c r="H1298" t="s">
        <v>6767</v>
      </c>
      <c r="I1298" t="s">
        <v>6768</v>
      </c>
      <c r="J1298" t="s">
        <v>61</v>
      </c>
      <c r="K1298" t="s">
        <v>62</v>
      </c>
      <c r="L1298" t="s">
        <v>63</v>
      </c>
      <c r="M1298" t="s">
        <v>63</v>
      </c>
      <c r="N1298" s="5"/>
      <c r="O1298" t="str">
        <f t="shared" si="20"/>
        <v/>
      </c>
    </row>
    <row r="1299" spans="1:15" x14ac:dyDescent="0.25">
      <c r="A1299" t="s">
        <v>6769</v>
      </c>
      <c r="B1299" t="s">
        <v>6770</v>
      </c>
      <c r="C1299" t="s">
        <v>6416</v>
      </c>
      <c r="D1299">
        <v>2023</v>
      </c>
      <c r="E1299" t="s">
        <v>56</v>
      </c>
      <c r="F1299" t="s">
        <v>57</v>
      </c>
      <c r="G1299" t="s">
        <v>6771</v>
      </c>
      <c r="H1299" t="s">
        <v>6772</v>
      </c>
      <c r="I1299" t="s">
        <v>6773</v>
      </c>
      <c r="J1299" t="s">
        <v>98</v>
      </c>
      <c r="K1299" t="s">
        <v>99</v>
      </c>
      <c r="L1299" t="s">
        <v>63</v>
      </c>
      <c r="M1299" t="s">
        <v>72</v>
      </c>
      <c r="N1299" s="5"/>
      <c r="O1299" t="str">
        <f t="shared" si="20"/>
        <v/>
      </c>
    </row>
    <row r="1300" spans="1:15" x14ac:dyDescent="0.25">
      <c r="A1300" t="s">
        <v>6774</v>
      </c>
      <c r="B1300" t="s">
        <v>6775</v>
      </c>
      <c r="C1300" t="s">
        <v>6776</v>
      </c>
      <c r="D1300">
        <v>2023</v>
      </c>
      <c r="E1300" t="s">
        <v>56</v>
      </c>
      <c r="F1300" t="s">
        <v>67</v>
      </c>
      <c r="G1300" t="s">
        <v>6777</v>
      </c>
      <c r="H1300" t="s">
        <v>6778</v>
      </c>
      <c r="I1300" t="s">
        <v>6779</v>
      </c>
      <c r="J1300" t="s">
        <v>79</v>
      </c>
      <c r="K1300" t="s">
        <v>80</v>
      </c>
      <c r="L1300" t="s">
        <v>72</v>
      </c>
      <c r="M1300" t="s">
        <v>72</v>
      </c>
      <c r="N1300" s="5"/>
      <c r="O1300" t="str">
        <f t="shared" si="20"/>
        <v/>
      </c>
    </row>
    <row r="1301" spans="1:15" x14ac:dyDescent="0.25">
      <c r="A1301" t="s">
        <v>6780</v>
      </c>
      <c r="B1301" t="s">
        <v>6781</v>
      </c>
      <c r="C1301" t="s">
        <v>6782</v>
      </c>
      <c r="D1301">
        <v>2023</v>
      </c>
      <c r="E1301" t="s">
        <v>56</v>
      </c>
      <c r="F1301" t="s">
        <v>57</v>
      </c>
      <c r="G1301" t="s">
        <v>825</v>
      </c>
      <c r="H1301" t="s">
        <v>6783</v>
      </c>
      <c r="I1301" t="s">
        <v>6784</v>
      </c>
      <c r="J1301" t="s">
        <v>79</v>
      </c>
      <c r="K1301" t="s">
        <v>80</v>
      </c>
      <c r="L1301" t="s">
        <v>72</v>
      </c>
      <c r="M1301" t="s">
        <v>72</v>
      </c>
      <c r="N1301" s="5"/>
      <c r="O1301" t="str">
        <f t="shared" si="20"/>
        <v/>
      </c>
    </row>
    <row r="1302" spans="1:15" x14ac:dyDescent="0.25">
      <c r="A1302" t="s">
        <v>6785</v>
      </c>
      <c r="B1302" t="s">
        <v>6786</v>
      </c>
      <c r="C1302" t="s">
        <v>6787</v>
      </c>
      <c r="D1302">
        <v>2023</v>
      </c>
      <c r="E1302" t="s">
        <v>56</v>
      </c>
      <c r="F1302" t="s">
        <v>57</v>
      </c>
      <c r="G1302" t="s">
        <v>750</v>
      </c>
      <c r="H1302" t="s">
        <v>6788</v>
      </c>
      <c r="I1302" t="s">
        <v>6789</v>
      </c>
      <c r="J1302" t="s">
        <v>61</v>
      </c>
      <c r="K1302" t="s">
        <v>62</v>
      </c>
      <c r="L1302" t="s">
        <v>63</v>
      </c>
      <c r="M1302" t="s">
        <v>63</v>
      </c>
      <c r="N1302" s="5"/>
      <c r="O1302" t="str">
        <f t="shared" si="20"/>
        <v/>
      </c>
    </row>
    <row r="1303" spans="1:15" x14ac:dyDescent="0.25">
      <c r="A1303" t="s">
        <v>6790</v>
      </c>
      <c r="B1303" t="s">
        <v>6791</v>
      </c>
      <c r="C1303" t="s">
        <v>6792</v>
      </c>
      <c r="D1303">
        <v>2023</v>
      </c>
      <c r="E1303" t="s">
        <v>56</v>
      </c>
      <c r="F1303" t="s">
        <v>67</v>
      </c>
      <c r="G1303" t="s">
        <v>6793</v>
      </c>
      <c r="H1303" t="s">
        <v>6794</v>
      </c>
      <c r="I1303" t="s">
        <v>6795</v>
      </c>
      <c r="J1303" t="s">
        <v>71</v>
      </c>
      <c r="K1303" t="s">
        <v>18</v>
      </c>
      <c r="L1303" t="s">
        <v>72</v>
      </c>
      <c r="M1303" t="s">
        <v>72</v>
      </c>
      <c r="N1303" s="5"/>
      <c r="O1303" t="str">
        <f t="shared" si="20"/>
        <v/>
      </c>
    </row>
    <row r="1304" spans="1:15" x14ac:dyDescent="0.25">
      <c r="A1304" t="s">
        <v>6796</v>
      </c>
      <c r="B1304" t="s">
        <v>6797</v>
      </c>
      <c r="C1304" t="s">
        <v>2108</v>
      </c>
      <c r="D1304">
        <v>2023</v>
      </c>
      <c r="E1304" t="s">
        <v>56</v>
      </c>
      <c r="F1304" t="s">
        <v>67</v>
      </c>
      <c r="G1304" t="s">
        <v>6798</v>
      </c>
      <c r="H1304" t="s">
        <v>6799</v>
      </c>
      <c r="I1304" t="s">
        <v>6800</v>
      </c>
      <c r="J1304" t="s">
        <v>79</v>
      </c>
      <c r="K1304" t="s">
        <v>80</v>
      </c>
      <c r="L1304" t="s">
        <v>72</v>
      </c>
      <c r="M1304" t="s">
        <v>72</v>
      </c>
      <c r="N1304" s="5"/>
      <c r="O1304" t="str">
        <f t="shared" si="20"/>
        <v/>
      </c>
    </row>
    <row r="1305" spans="1:15" x14ac:dyDescent="0.25">
      <c r="A1305" t="s">
        <v>6801</v>
      </c>
      <c r="B1305" t="s">
        <v>6802</v>
      </c>
      <c r="C1305" t="s">
        <v>6803</v>
      </c>
      <c r="D1305">
        <v>2023</v>
      </c>
      <c r="E1305" t="s">
        <v>56</v>
      </c>
      <c r="F1305" t="s">
        <v>67</v>
      </c>
      <c r="G1305" t="s">
        <v>6804</v>
      </c>
      <c r="H1305" t="s">
        <v>6805</v>
      </c>
      <c r="I1305" t="s">
        <v>6806</v>
      </c>
      <c r="J1305" t="s">
        <v>71</v>
      </c>
      <c r="K1305" t="s">
        <v>18</v>
      </c>
      <c r="L1305" t="s">
        <v>72</v>
      </c>
      <c r="M1305" t="s">
        <v>72</v>
      </c>
      <c r="N1305" s="5"/>
      <c r="O1305" t="str">
        <f t="shared" si="20"/>
        <v/>
      </c>
    </row>
    <row r="1306" spans="1:15" x14ac:dyDescent="0.25">
      <c r="A1306" t="s">
        <v>6807</v>
      </c>
      <c r="B1306" t="s">
        <v>6808</v>
      </c>
      <c r="C1306" t="s">
        <v>6809</v>
      </c>
      <c r="D1306">
        <v>2023</v>
      </c>
      <c r="E1306" t="s">
        <v>56</v>
      </c>
      <c r="F1306" t="s">
        <v>67</v>
      </c>
      <c r="G1306" t="s">
        <v>6810</v>
      </c>
      <c r="H1306" t="s">
        <v>6811</v>
      </c>
      <c r="I1306" t="s">
        <v>6812</v>
      </c>
      <c r="J1306" t="s">
        <v>71</v>
      </c>
      <c r="K1306" t="s">
        <v>18</v>
      </c>
      <c r="L1306" t="s">
        <v>72</v>
      </c>
      <c r="M1306" t="s">
        <v>72</v>
      </c>
      <c r="N1306" s="5"/>
      <c r="O1306" t="str">
        <f t="shared" si="20"/>
        <v/>
      </c>
    </row>
    <row r="1307" spans="1:15" x14ac:dyDescent="0.25">
      <c r="A1307" t="s">
        <v>6813</v>
      </c>
      <c r="B1307" t="s">
        <v>6814</v>
      </c>
      <c r="C1307" t="s">
        <v>2676</v>
      </c>
      <c r="D1307">
        <v>2023</v>
      </c>
      <c r="E1307" t="s">
        <v>56</v>
      </c>
      <c r="F1307" t="s">
        <v>67</v>
      </c>
      <c r="G1307" t="s">
        <v>6815</v>
      </c>
      <c r="H1307" t="s">
        <v>6816</v>
      </c>
      <c r="I1307" t="s">
        <v>6817</v>
      </c>
      <c r="J1307" t="s">
        <v>98</v>
      </c>
      <c r="K1307" t="s">
        <v>99</v>
      </c>
      <c r="L1307" t="s">
        <v>63</v>
      </c>
      <c r="M1307" t="s">
        <v>72</v>
      </c>
      <c r="N1307" s="5"/>
      <c r="O1307" t="str">
        <f t="shared" si="20"/>
        <v/>
      </c>
    </row>
    <row r="1308" spans="1:15" x14ac:dyDescent="0.25">
      <c r="A1308" t="s">
        <v>6818</v>
      </c>
      <c r="B1308" t="s">
        <v>6819</v>
      </c>
      <c r="C1308" t="s">
        <v>6820</v>
      </c>
      <c r="D1308">
        <v>2023</v>
      </c>
      <c r="E1308" t="s">
        <v>56</v>
      </c>
      <c r="F1308" t="s">
        <v>67</v>
      </c>
      <c r="G1308" t="s">
        <v>986</v>
      </c>
      <c r="H1308" t="s">
        <v>6821</v>
      </c>
      <c r="I1308" t="s">
        <v>6822</v>
      </c>
      <c r="J1308" t="s">
        <v>71</v>
      </c>
      <c r="K1308" t="s">
        <v>18</v>
      </c>
      <c r="L1308" t="s">
        <v>72</v>
      </c>
      <c r="M1308" t="s">
        <v>72</v>
      </c>
      <c r="N1308" s="5"/>
      <c r="O1308" t="str">
        <f t="shared" si="20"/>
        <v/>
      </c>
    </row>
    <row r="1309" spans="1:15" x14ac:dyDescent="0.25">
      <c r="A1309" t="s">
        <v>6823</v>
      </c>
      <c r="B1309" t="s">
        <v>6824</v>
      </c>
      <c r="C1309" t="s">
        <v>6825</v>
      </c>
      <c r="D1309">
        <v>2023</v>
      </c>
      <c r="E1309" t="s">
        <v>56</v>
      </c>
      <c r="F1309" t="s">
        <v>67</v>
      </c>
      <c r="G1309" t="s">
        <v>6826</v>
      </c>
      <c r="H1309" t="s">
        <v>6827</v>
      </c>
      <c r="I1309" t="s">
        <v>6828</v>
      </c>
      <c r="J1309" t="s">
        <v>71</v>
      </c>
      <c r="K1309" t="s">
        <v>18</v>
      </c>
      <c r="L1309" t="s">
        <v>72</v>
      </c>
      <c r="M1309" t="s">
        <v>72</v>
      </c>
      <c r="N1309" s="5"/>
      <c r="O1309" t="str">
        <f t="shared" si="20"/>
        <v/>
      </c>
    </row>
    <row r="1310" spans="1:15" x14ac:dyDescent="0.25">
      <c r="A1310" t="s">
        <v>6829</v>
      </c>
      <c r="B1310" t="s">
        <v>6830</v>
      </c>
      <c r="C1310" t="s">
        <v>6831</v>
      </c>
      <c r="D1310">
        <v>2023</v>
      </c>
      <c r="E1310" t="s">
        <v>56</v>
      </c>
      <c r="F1310" t="s">
        <v>57</v>
      </c>
      <c r="G1310" t="s">
        <v>6832</v>
      </c>
      <c r="H1310" t="s">
        <v>6833</v>
      </c>
      <c r="I1310" t="s">
        <v>6834</v>
      </c>
      <c r="J1310" t="s">
        <v>98</v>
      </c>
      <c r="K1310" t="s">
        <v>99</v>
      </c>
      <c r="L1310" t="s">
        <v>63</v>
      </c>
      <c r="M1310" t="s">
        <v>72</v>
      </c>
      <c r="N1310" s="5"/>
      <c r="O1310" t="str">
        <f t="shared" si="20"/>
        <v/>
      </c>
    </row>
    <row r="1311" spans="1:15" x14ac:dyDescent="0.25">
      <c r="A1311" t="s">
        <v>6835</v>
      </c>
      <c r="B1311" t="s">
        <v>6836</v>
      </c>
      <c r="C1311" t="s">
        <v>6837</v>
      </c>
      <c r="D1311">
        <v>2023</v>
      </c>
      <c r="E1311" t="s">
        <v>56</v>
      </c>
      <c r="F1311" t="s">
        <v>67</v>
      </c>
      <c r="G1311" t="s">
        <v>6838</v>
      </c>
      <c r="H1311" t="s">
        <v>6839</v>
      </c>
      <c r="I1311" t="s">
        <v>6840</v>
      </c>
      <c r="J1311" t="s">
        <v>71</v>
      </c>
      <c r="K1311" t="s">
        <v>18</v>
      </c>
      <c r="L1311" t="s">
        <v>72</v>
      </c>
      <c r="M1311" t="s">
        <v>72</v>
      </c>
      <c r="N1311" s="5"/>
      <c r="O1311" t="str">
        <f t="shared" si="20"/>
        <v/>
      </c>
    </row>
    <row r="1312" spans="1:15" x14ac:dyDescent="0.25">
      <c r="A1312" t="s">
        <v>6841</v>
      </c>
      <c r="B1312" t="s">
        <v>6842</v>
      </c>
      <c r="C1312" t="s">
        <v>6843</v>
      </c>
      <c r="D1312">
        <v>2023</v>
      </c>
      <c r="E1312" t="s">
        <v>56</v>
      </c>
      <c r="F1312" t="s">
        <v>67</v>
      </c>
      <c r="G1312" t="s">
        <v>84</v>
      </c>
      <c r="H1312" t="s">
        <v>6844</v>
      </c>
      <c r="I1312" t="s">
        <v>6845</v>
      </c>
      <c r="J1312" t="s">
        <v>98</v>
      </c>
      <c r="K1312" t="s">
        <v>99</v>
      </c>
      <c r="L1312" t="s">
        <v>63</v>
      </c>
      <c r="M1312" t="s">
        <v>72</v>
      </c>
      <c r="N1312" s="5"/>
      <c r="O1312" t="str">
        <f t="shared" si="20"/>
        <v/>
      </c>
    </row>
    <row r="1313" spans="1:15" x14ac:dyDescent="0.25">
      <c r="A1313" t="s">
        <v>6846</v>
      </c>
      <c r="B1313" t="s">
        <v>6847</v>
      </c>
      <c r="C1313" t="s">
        <v>733</v>
      </c>
      <c r="D1313">
        <v>2023</v>
      </c>
      <c r="E1313" t="s">
        <v>56</v>
      </c>
      <c r="F1313" t="s">
        <v>67</v>
      </c>
      <c r="G1313" t="s">
        <v>6848</v>
      </c>
      <c r="H1313" t="s">
        <v>6849</v>
      </c>
      <c r="I1313" t="s">
        <v>6850</v>
      </c>
      <c r="J1313" t="s">
        <v>71</v>
      </c>
      <c r="K1313" t="s">
        <v>18</v>
      </c>
      <c r="L1313" t="s">
        <v>72</v>
      </c>
      <c r="M1313" t="s">
        <v>72</v>
      </c>
      <c r="N1313" s="5"/>
      <c r="O1313" t="str">
        <f t="shared" si="20"/>
        <v/>
      </c>
    </row>
    <row r="1314" spans="1:15" x14ac:dyDescent="0.25">
      <c r="A1314" t="s">
        <v>6851</v>
      </c>
      <c r="B1314" t="s">
        <v>6852</v>
      </c>
      <c r="C1314" t="s">
        <v>144</v>
      </c>
      <c r="D1314">
        <v>2023</v>
      </c>
      <c r="E1314" t="s">
        <v>56</v>
      </c>
      <c r="F1314" t="s">
        <v>57</v>
      </c>
      <c r="G1314" t="s">
        <v>3710</v>
      </c>
      <c r="H1314" t="s">
        <v>6853</v>
      </c>
      <c r="I1314" t="s">
        <v>6854</v>
      </c>
      <c r="J1314" t="s">
        <v>87</v>
      </c>
      <c r="K1314" t="s">
        <v>19</v>
      </c>
      <c r="L1314" t="s">
        <v>72</v>
      </c>
      <c r="M1314" t="s">
        <v>72</v>
      </c>
      <c r="N1314" s="5"/>
      <c r="O1314" t="str">
        <f t="shared" si="20"/>
        <v/>
      </c>
    </row>
    <row r="1315" spans="1:15" x14ac:dyDescent="0.25">
      <c r="A1315" t="s">
        <v>6855</v>
      </c>
      <c r="B1315" t="s">
        <v>6856</v>
      </c>
      <c r="C1315" t="s">
        <v>6857</v>
      </c>
      <c r="D1315">
        <v>2023</v>
      </c>
      <c r="E1315" t="s">
        <v>56</v>
      </c>
      <c r="F1315" t="s">
        <v>67</v>
      </c>
      <c r="G1315" t="s">
        <v>3900</v>
      </c>
      <c r="H1315" t="s">
        <v>6858</v>
      </c>
      <c r="I1315" t="s">
        <v>6859</v>
      </c>
      <c r="J1315" t="s">
        <v>98</v>
      </c>
      <c r="K1315" t="s">
        <v>99</v>
      </c>
      <c r="L1315" t="s">
        <v>63</v>
      </c>
      <c r="M1315" t="s">
        <v>72</v>
      </c>
      <c r="N1315" s="5"/>
      <c r="O1315" t="str">
        <f t="shared" si="20"/>
        <v/>
      </c>
    </row>
    <row r="1316" spans="1:15" x14ac:dyDescent="0.25">
      <c r="A1316" t="s">
        <v>6860</v>
      </c>
      <c r="B1316" t="s">
        <v>6861</v>
      </c>
      <c r="C1316" t="s">
        <v>6862</v>
      </c>
      <c r="D1316">
        <v>2023</v>
      </c>
      <c r="E1316" t="s">
        <v>56</v>
      </c>
      <c r="F1316" t="s">
        <v>67</v>
      </c>
      <c r="G1316" t="s">
        <v>6694</v>
      </c>
      <c r="H1316" t="s">
        <v>6863</v>
      </c>
      <c r="I1316" t="s">
        <v>6864</v>
      </c>
      <c r="J1316" t="s">
        <v>71</v>
      </c>
      <c r="K1316" t="s">
        <v>18</v>
      </c>
      <c r="L1316" t="s">
        <v>72</v>
      </c>
      <c r="M1316" t="s">
        <v>72</v>
      </c>
      <c r="N1316" s="5"/>
      <c r="O1316" t="str">
        <f t="shared" si="20"/>
        <v/>
      </c>
    </row>
    <row r="1317" spans="1:15" x14ac:dyDescent="0.25">
      <c r="A1317" t="s">
        <v>6865</v>
      </c>
      <c r="B1317" t="s">
        <v>6866</v>
      </c>
      <c r="C1317" t="s">
        <v>6867</v>
      </c>
      <c r="D1317">
        <v>2023</v>
      </c>
      <c r="E1317" t="s">
        <v>56</v>
      </c>
      <c r="F1317" t="s">
        <v>67</v>
      </c>
      <c r="G1317" t="s">
        <v>6868</v>
      </c>
      <c r="H1317" t="s">
        <v>6869</v>
      </c>
      <c r="I1317" t="s">
        <v>6870</v>
      </c>
      <c r="J1317" t="s">
        <v>71</v>
      </c>
      <c r="K1317" t="s">
        <v>18</v>
      </c>
      <c r="L1317" t="s">
        <v>72</v>
      </c>
      <c r="M1317" t="s">
        <v>72</v>
      </c>
      <c r="N1317" s="5"/>
      <c r="O1317" t="str">
        <f t="shared" si="20"/>
        <v/>
      </c>
    </row>
    <row r="1318" spans="1:15" x14ac:dyDescent="0.25">
      <c r="A1318" t="s">
        <v>6871</v>
      </c>
      <c r="B1318" t="s">
        <v>6872</v>
      </c>
      <c r="C1318" t="s">
        <v>3709</v>
      </c>
      <c r="D1318">
        <v>2023</v>
      </c>
      <c r="E1318" t="s">
        <v>56</v>
      </c>
      <c r="F1318" t="s">
        <v>67</v>
      </c>
      <c r="G1318" t="s">
        <v>6873</v>
      </c>
      <c r="H1318" t="s">
        <v>6874</v>
      </c>
      <c r="I1318" t="s">
        <v>6875</v>
      </c>
      <c r="J1318" t="s">
        <v>71</v>
      </c>
      <c r="K1318" t="s">
        <v>18</v>
      </c>
      <c r="L1318" t="s">
        <v>72</v>
      </c>
      <c r="M1318" t="s">
        <v>72</v>
      </c>
      <c r="N1318" s="5"/>
      <c r="O1318" t="str">
        <f t="shared" si="20"/>
        <v/>
      </c>
    </row>
    <row r="1319" spans="1:15" x14ac:dyDescent="0.25">
      <c r="A1319" t="s">
        <v>6876</v>
      </c>
      <c r="B1319" t="s">
        <v>6877</v>
      </c>
      <c r="C1319" t="s">
        <v>1123</v>
      </c>
      <c r="D1319">
        <v>2023</v>
      </c>
      <c r="E1319" t="s">
        <v>56</v>
      </c>
      <c r="F1319" t="s">
        <v>67</v>
      </c>
      <c r="G1319" t="s">
        <v>3900</v>
      </c>
      <c r="H1319" t="s">
        <v>6878</v>
      </c>
      <c r="I1319" t="s">
        <v>6879</v>
      </c>
      <c r="J1319" t="s">
        <v>165</v>
      </c>
      <c r="K1319" t="s">
        <v>166</v>
      </c>
      <c r="L1319" t="s">
        <v>63</v>
      </c>
      <c r="M1319" t="s">
        <v>72</v>
      </c>
      <c r="N1319" s="5"/>
      <c r="O1319" t="str">
        <f t="shared" si="20"/>
        <v/>
      </c>
    </row>
    <row r="1320" spans="1:15" x14ac:dyDescent="0.25">
      <c r="A1320" t="s">
        <v>6880</v>
      </c>
      <c r="B1320" t="s">
        <v>6881</v>
      </c>
      <c r="C1320" t="s">
        <v>6882</v>
      </c>
      <c r="D1320">
        <v>2023</v>
      </c>
      <c r="E1320" t="s">
        <v>56</v>
      </c>
      <c r="F1320" t="s">
        <v>57</v>
      </c>
      <c r="G1320" t="s">
        <v>750</v>
      </c>
      <c r="H1320" t="s">
        <v>6883</v>
      </c>
      <c r="I1320" t="s">
        <v>6884</v>
      </c>
      <c r="J1320" t="s">
        <v>165</v>
      </c>
      <c r="K1320" t="s">
        <v>166</v>
      </c>
      <c r="L1320" t="s">
        <v>63</v>
      </c>
      <c r="M1320" t="s">
        <v>72</v>
      </c>
      <c r="N1320" s="5"/>
      <c r="O1320" t="str">
        <f t="shared" si="20"/>
        <v/>
      </c>
    </row>
    <row r="1321" spans="1:15" x14ac:dyDescent="0.25">
      <c r="A1321" t="s">
        <v>6885</v>
      </c>
      <c r="B1321" t="s">
        <v>6886</v>
      </c>
      <c r="C1321" t="s">
        <v>428</v>
      </c>
      <c r="D1321">
        <v>2023</v>
      </c>
      <c r="E1321" t="s">
        <v>56</v>
      </c>
      <c r="F1321" t="s">
        <v>67</v>
      </c>
      <c r="G1321" t="s">
        <v>6887</v>
      </c>
      <c r="H1321" t="s">
        <v>6888</v>
      </c>
      <c r="I1321" t="s">
        <v>6889</v>
      </c>
      <c r="J1321" t="s">
        <v>71</v>
      </c>
      <c r="K1321" t="s">
        <v>18</v>
      </c>
      <c r="L1321" t="s">
        <v>72</v>
      </c>
      <c r="M1321" t="s">
        <v>72</v>
      </c>
      <c r="N1321" s="5"/>
      <c r="O1321" t="str">
        <f t="shared" si="20"/>
        <v/>
      </c>
    </row>
    <row r="1322" spans="1:15" x14ac:dyDescent="0.25">
      <c r="A1322" t="s">
        <v>6890</v>
      </c>
      <c r="B1322" t="s">
        <v>6891</v>
      </c>
      <c r="C1322" t="s">
        <v>571</v>
      </c>
      <c r="D1322">
        <v>2023</v>
      </c>
      <c r="E1322" t="s">
        <v>56</v>
      </c>
      <c r="F1322" t="s">
        <v>57</v>
      </c>
      <c r="G1322" t="s">
        <v>825</v>
      </c>
      <c r="H1322" t="s">
        <v>6892</v>
      </c>
      <c r="I1322" t="s">
        <v>6893</v>
      </c>
      <c r="J1322" t="s">
        <v>71</v>
      </c>
      <c r="K1322" t="s">
        <v>18</v>
      </c>
      <c r="L1322" t="s">
        <v>72</v>
      </c>
      <c r="M1322" t="s">
        <v>72</v>
      </c>
      <c r="N1322" s="5"/>
      <c r="O1322" t="str">
        <f t="shared" si="20"/>
        <v/>
      </c>
    </row>
    <row r="1323" spans="1:15" x14ac:dyDescent="0.25">
      <c r="A1323" t="s">
        <v>6894</v>
      </c>
      <c r="B1323" t="s">
        <v>6895</v>
      </c>
      <c r="C1323" t="s">
        <v>1232</v>
      </c>
      <c r="D1323">
        <v>2023</v>
      </c>
      <c r="E1323" t="s">
        <v>56</v>
      </c>
      <c r="F1323" t="s">
        <v>67</v>
      </c>
      <c r="G1323" t="s">
        <v>6896</v>
      </c>
      <c r="H1323" t="s">
        <v>6897</v>
      </c>
      <c r="I1323" t="s">
        <v>6898</v>
      </c>
      <c r="J1323" t="s">
        <v>71</v>
      </c>
      <c r="K1323" t="s">
        <v>18</v>
      </c>
      <c r="L1323" t="s">
        <v>72</v>
      </c>
      <c r="M1323" t="s">
        <v>72</v>
      </c>
      <c r="N1323" s="5"/>
      <c r="O1323" t="str">
        <f t="shared" si="20"/>
        <v/>
      </c>
    </row>
    <row r="1324" spans="1:15" x14ac:dyDescent="0.25">
      <c r="A1324" t="s">
        <v>6899</v>
      </c>
      <c r="B1324" t="s">
        <v>6900</v>
      </c>
      <c r="C1324" t="s">
        <v>962</v>
      </c>
      <c r="D1324">
        <v>2023</v>
      </c>
      <c r="E1324" t="s">
        <v>56</v>
      </c>
      <c r="F1324" t="s">
        <v>57</v>
      </c>
      <c r="G1324" t="s">
        <v>750</v>
      </c>
      <c r="H1324" t="s">
        <v>6901</v>
      </c>
      <c r="I1324" t="s">
        <v>6902</v>
      </c>
      <c r="J1324" t="s">
        <v>98</v>
      </c>
      <c r="K1324" t="s">
        <v>99</v>
      </c>
      <c r="L1324" t="s">
        <v>63</v>
      </c>
      <c r="M1324" t="s">
        <v>72</v>
      </c>
      <c r="N1324" s="5"/>
      <c r="O1324" t="str">
        <f t="shared" si="20"/>
        <v/>
      </c>
    </row>
    <row r="1325" spans="1:15" x14ac:dyDescent="0.25">
      <c r="A1325" t="s">
        <v>6903</v>
      </c>
      <c r="B1325" t="s">
        <v>6904</v>
      </c>
      <c r="C1325" t="s">
        <v>6905</v>
      </c>
      <c r="D1325">
        <v>2023</v>
      </c>
      <c r="E1325" t="s">
        <v>56</v>
      </c>
      <c r="F1325" t="s">
        <v>67</v>
      </c>
      <c r="G1325" t="s">
        <v>188</v>
      </c>
      <c r="H1325" t="s">
        <v>6906</v>
      </c>
      <c r="I1325" t="s">
        <v>6907</v>
      </c>
      <c r="J1325" t="s">
        <v>71</v>
      </c>
      <c r="K1325" t="s">
        <v>18</v>
      </c>
      <c r="L1325" t="s">
        <v>72</v>
      </c>
      <c r="M1325" t="s">
        <v>72</v>
      </c>
      <c r="N1325" s="5"/>
      <c r="O1325" t="str">
        <f t="shared" si="20"/>
        <v/>
      </c>
    </row>
    <row r="1326" spans="1:15" x14ac:dyDescent="0.25">
      <c r="A1326" t="s">
        <v>6908</v>
      </c>
      <c r="B1326" t="s">
        <v>6909</v>
      </c>
      <c r="C1326" t="s">
        <v>6910</v>
      </c>
      <c r="D1326">
        <v>2023</v>
      </c>
      <c r="E1326" t="s">
        <v>56</v>
      </c>
      <c r="F1326" t="s">
        <v>57</v>
      </c>
      <c r="G1326" t="s">
        <v>6911</v>
      </c>
      <c r="H1326" t="s">
        <v>6912</v>
      </c>
      <c r="I1326" t="s">
        <v>6913</v>
      </c>
      <c r="J1326" t="s">
        <v>61</v>
      </c>
      <c r="K1326" t="s">
        <v>62</v>
      </c>
      <c r="L1326" t="s">
        <v>63</v>
      </c>
      <c r="M1326" t="s">
        <v>63</v>
      </c>
      <c r="N1326" s="5"/>
      <c r="O1326" t="str">
        <f t="shared" si="20"/>
        <v/>
      </c>
    </row>
    <row r="1327" spans="1:15" x14ac:dyDescent="0.25">
      <c r="A1327" t="s">
        <v>6914</v>
      </c>
      <c r="B1327" t="s">
        <v>6915</v>
      </c>
      <c r="C1327" t="s">
        <v>3745</v>
      </c>
      <c r="D1327">
        <v>2023</v>
      </c>
      <c r="E1327" t="s">
        <v>56</v>
      </c>
      <c r="F1327" t="s">
        <v>67</v>
      </c>
      <c r="G1327" t="s">
        <v>6916</v>
      </c>
      <c r="H1327" t="s">
        <v>6917</v>
      </c>
      <c r="I1327" t="s">
        <v>6918</v>
      </c>
      <c r="J1327" t="s">
        <v>71</v>
      </c>
      <c r="K1327" t="s">
        <v>18</v>
      </c>
      <c r="L1327" t="s">
        <v>72</v>
      </c>
      <c r="M1327" t="s">
        <v>72</v>
      </c>
      <c r="N1327" s="5"/>
      <c r="O1327" t="str">
        <f t="shared" si="20"/>
        <v/>
      </c>
    </row>
    <row r="1328" spans="1:15" x14ac:dyDescent="0.25">
      <c r="A1328" t="s">
        <v>6919</v>
      </c>
      <c r="B1328" t="s">
        <v>6920</v>
      </c>
      <c r="C1328" t="s">
        <v>6921</v>
      </c>
      <c r="D1328">
        <v>2023</v>
      </c>
      <c r="E1328" t="s">
        <v>56</v>
      </c>
      <c r="F1328" t="s">
        <v>67</v>
      </c>
      <c r="G1328" t="s">
        <v>3288</v>
      </c>
      <c r="H1328" t="s">
        <v>6922</v>
      </c>
      <c r="I1328" t="s">
        <v>6923</v>
      </c>
      <c r="J1328" t="s">
        <v>71</v>
      </c>
      <c r="K1328" t="s">
        <v>18</v>
      </c>
      <c r="L1328" t="s">
        <v>72</v>
      </c>
      <c r="M1328" t="s">
        <v>72</v>
      </c>
      <c r="N1328" s="5"/>
      <c r="O1328" t="str">
        <f t="shared" si="20"/>
        <v/>
      </c>
    </row>
    <row r="1329" spans="1:15" x14ac:dyDescent="0.25">
      <c r="A1329" t="s">
        <v>6924</v>
      </c>
      <c r="B1329" t="s">
        <v>6925</v>
      </c>
      <c r="C1329" t="s">
        <v>6926</v>
      </c>
      <c r="D1329">
        <v>2023</v>
      </c>
      <c r="E1329" t="s">
        <v>56</v>
      </c>
      <c r="F1329" t="s">
        <v>67</v>
      </c>
      <c r="G1329" t="s">
        <v>3900</v>
      </c>
      <c r="H1329" t="s">
        <v>6927</v>
      </c>
      <c r="I1329" t="s">
        <v>6928</v>
      </c>
      <c r="J1329" t="s">
        <v>71</v>
      </c>
      <c r="K1329" t="s">
        <v>18</v>
      </c>
      <c r="L1329" t="s">
        <v>72</v>
      </c>
      <c r="M1329" t="s">
        <v>72</v>
      </c>
      <c r="N1329" s="5"/>
      <c r="O1329" t="str">
        <f t="shared" si="20"/>
        <v/>
      </c>
    </row>
    <row r="1330" spans="1:15" x14ac:dyDescent="0.25">
      <c r="A1330" t="s">
        <v>6929</v>
      </c>
      <c r="B1330" t="s">
        <v>6930</v>
      </c>
      <c r="C1330" t="s">
        <v>733</v>
      </c>
      <c r="D1330">
        <v>2023</v>
      </c>
      <c r="E1330" t="s">
        <v>56</v>
      </c>
      <c r="F1330" t="s">
        <v>67</v>
      </c>
      <c r="G1330" t="s">
        <v>6810</v>
      </c>
      <c r="H1330" t="s">
        <v>6931</v>
      </c>
      <c r="I1330" t="s">
        <v>6932</v>
      </c>
      <c r="J1330" t="s">
        <v>71</v>
      </c>
      <c r="K1330" t="s">
        <v>18</v>
      </c>
      <c r="L1330" t="s">
        <v>72</v>
      </c>
      <c r="M1330" t="s">
        <v>72</v>
      </c>
      <c r="N1330" s="5"/>
      <c r="O1330" t="str">
        <f t="shared" si="20"/>
        <v/>
      </c>
    </row>
    <row r="1331" spans="1:15" x14ac:dyDescent="0.25">
      <c r="A1331" t="s">
        <v>6933</v>
      </c>
      <c r="B1331" t="s">
        <v>6934</v>
      </c>
      <c r="C1331" t="s">
        <v>6935</v>
      </c>
      <c r="D1331">
        <v>2023</v>
      </c>
      <c r="E1331" t="s">
        <v>56</v>
      </c>
      <c r="F1331" t="s">
        <v>67</v>
      </c>
      <c r="G1331" t="s">
        <v>3288</v>
      </c>
      <c r="H1331" t="s">
        <v>6936</v>
      </c>
      <c r="I1331" t="s">
        <v>6937</v>
      </c>
      <c r="J1331" t="s">
        <v>61</v>
      </c>
      <c r="K1331" t="s">
        <v>62</v>
      </c>
      <c r="L1331" t="s">
        <v>63</v>
      </c>
      <c r="M1331" t="s">
        <v>63</v>
      </c>
      <c r="N1331" s="5"/>
      <c r="O1331" t="str">
        <f t="shared" si="20"/>
        <v/>
      </c>
    </row>
    <row r="1332" spans="1:15" x14ac:dyDescent="0.25">
      <c r="A1332" t="s">
        <v>6938</v>
      </c>
      <c r="B1332" t="s">
        <v>6939</v>
      </c>
      <c r="C1332" t="s">
        <v>6940</v>
      </c>
      <c r="D1332">
        <v>2023</v>
      </c>
      <c r="E1332" t="s">
        <v>56</v>
      </c>
      <c r="F1332" t="s">
        <v>67</v>
      </c>
      <c r="G1332" t="s">
        <v>6793</v>
      </c>
      <c r="H1332" t="s">
        <v>6941</v>
      </c>
      <c r="I1332" t="s">
        <v>6942</v>
      </c>
      <c r="J1332" t="s">
        <v>71</v>
      </c>
      <c r="K1332" t="s">
        <v>18</v>
      </c>
      <c r="L1332" t="s">
        <v>72</v>
      </c>
      <c r="M1332" t="s">
        <v>72</v>
      </c>
      <c r="N1332" s="5"/>
      <c r="O1332" t="str">
        <f t="shared" si="20"/>
        <v/>
      </c>
    </row>
    <row r="1333" spans="1:15" x14ac:dyDescent="0.25">
      <c r="A1333" t="s">
        <v>6943</v>
      </c>
      <c r="B1333" t="s">
        <v>6944</v>
      </c>
      <c r="C1333" t="s">
        <v>744</v>
      </c>
      <c r="D1333">
        <v>2023</v>
      </c>
      <c r="E1333" t="s">
        <v>56</v>
      </c>
      <c r="F1333" t="s">
        <v>67</v>
      </c>
      <c r="G1333" t="s">
        <v>1130</v>
      </c>
      <c r="H1333" t="s">
        <v>6945</v>
      </c>
      <c r="I1333" t="s">
        <v>6946</v>
      </c>
      <c r="J1333" t="s">
        <v>71</v>
      </c>
      <c r="K1333" t="s">
        <v>18</v>
      </c>
      <c r="L1333" t="s">
        <v>72</v>
      </c>
      <c r="M1333" t="s">
        <v>72</v>
      </c>
      <c r="N1333" s="5"/>
      <c r="O1333" t="str">
        <f t="shared" si="20"/>
        <v/>
      </c>
    </row>
    <row r="1334" spans="1:15" x14ac:dyDescent="0.25">
      <c r="A1334" t="s">
        <v>6947</v>
      </c>
      <c r="B1334" t="s">
        <v>6948</v>
      </c>
      <c r="C1334" t="s">
        <v>6949</v>
      </c>
      <c r="D1334">
        <v>2023</v>
      </c>
      <c r="E1334" t="s">
        <v>56</v>
      </c>
      <c r="F1334" t="s">
        <v>67</v>
      </c>
      <c r="G1334" t="s">
        <v>6950</v>
      </c>
      <c r="H1334" t="s">
        <v>6951</v>
      </c>
      <c r="I1334" t="s">
        <v>6952</v>
      </c>
      <c r="J1334" t="s">
        <v>71</v>
      </c>
      <c r="K1334" t="s">
        <v>18</v>
      </c>
      <c r="L1334" t="s">
        <v>72</v>
      </c>
      <c r="M1334" t="s">
        <v>72</v>
      </c>
      <c r="N1334" s="5"/>
      <c r="O1334" t="str">
        <f t="shared" si="20"/>
        <v/>
      </c>
    </row>
    <row r="1335" spans="1:15" x14ac:dyDescent="0.25">
      <c r="A1335" t="s">
        <v>6953</v>
      </c>
      <c r="B1335" t="s">
        <v>6954</v>
      </c>
      <c r="C1335" t="s">
        <v>6955</v>
      </c>
      <c r="D1335">
        <v>2023</v>
      </c>
      <c r="E1335" t="s">
        <v>56</v>
      </c>
      <c r="F1335" t="s">
        <v>57</v>
      </c>
      <c r="G1335" t="s">
        <v>578</v>
      </c>
      <c r="H1335" t="s">
        <v>6956</v>
      </c>
      <c r="I1335" t="s">
        <v>6957</v>
      </c>
      <c r="J1335" t="s">
        <v>61</v>
      </c>
      <c r="K1335" t="s">
        <v>62</v>
      </c>
      <c r="L1335" t="s">
        <v>63</v>
      </c>
      <c r="M1335" t="s">
        <v>63</v>
      </c>
      <c r="N1335" s="5"/>
      <c r="O1335" t="str">
        <f t="shared" si="20"/>
        <v/>
      </c>
    </row>
    <row r="1336" spans="1:15" x14ac:dyDescent="0.25">
      <c r="A1336" t="s">
        <v>6958</v>
      </c>
      <c r="B1336" t="s">
        <v>6959</v>
      </c>
      <c r="C1336" t="s">
        <v>313</v>
      </c>
      <c r="D1336">
        <v>2023</v>
      </c>
      <c r="E1336" t="s">
        <v>56</v>
      </c>
      <c r="F1336" t="s">
        <v>67</v>
      </c>
      <c r="G1336" t="s">
        <v>6960</v>
      </c>
      <c r="H1336" t="s">
        <v>6961</v>
      </c>
      <c r="I1336" t="s">
        <v>6962</v>
      </c>
      <c r="J1336" t="s">
        <v>71</v>
      </c>
      <c r="K1336" t="s">
        <v>18</v>
      </c>
      <c r="L1336" t="s">
        <v>72</v>
      </c>
      <c r="M1336" t="s">
        <v>72</v>
      </c>
      <c r="N1336" s="5"/>
      <c r="O1336" t="str">
        <f t="shared" si="20"/>
        <v/>
      </c>
    </row>
    <row r="1337" spans="1:15" x14ac:dyDescent="0.25">
      <c r="A1337" t="s">
        <v>6963</v>
      </c>
      <c r="B1337" t="s">
        <v>6964</v>
      </c>
      <c r="C1337" t="s">
        <v>6965</v>
      </c>
      <c r="D1337">
        <v>2023</v>
      </c>
      <c r="E1337" t="s">
        <v>56</v>
      </c>
      <c r="F1337" t="s">
        <v>67</v>
      </c>
      <c r="G1337" t="s">
        <v>76</v>
      </c>
      <c r="H1337" t="s">
        <v>6966</v>
      </c>
      <c r="I1337" t="s">
        <v>6967</v>
      </c>
      <c r="J1337" t="s">
        <v>61</v>
      </c>
      <c r="K1337" t="s">
        <v>62</v>
      </c>
      <c r="L1337" t="s">
        <v>63</v>
      </c>
      <c r="M1337" t="s">
        <v>63</v>
      </c>
      <c r="N1337" s="5"/>
      <c r="O1337" t="str">
        <f t="shared" si="20"/>
        <v/>
      </c>
    </row>
    <row r="1338" spans="1:15" x14ac:dyDescent="0.25">
      <c r="A1338" t="s">
        <v>6968</v>
      </c>
      <c r="B1338" t="s">
        <v>6969</v>
      </c>
      <c r="C1338" t="s">
        <v>6970</v>
      </c>
      <c r="D1338">
        <v>2023</v>
      </c>
      <c r="E1338" t="s">
        <v>56</v>
      </c>
      <c r="F1338" t="s">
        <v>67</v>
      </c>
      <c r="G1338" t="s">
        <v>6714</v>
      </c>
      <c r="H1338" t="s">
        <v>6971</v>
      </c>
      <c r="I1338" t="s">
        <v>6972</v>
      </c>
      <c r="J1338" t="s">
        <v>71</v>
      </c>
      <c r="K1338" t="s">
        <v>18</v>
      </c>
      <c r="L1338" t="s">
        <v>72</v>
      </c>
      <c r="M1338" t="s">
        <v>72</v>
      </c>
      <c r="N1338" s="5"/>
      <c r="O1338" t="str">
        <f t="shared" si="20"/>
        <v/>
      </c>
    </row>
    <row r="1339" spans="1:15" x14ac:dyDescent="0.25">
      <c r="A1339" t="s">
        <v>6973</v>
      </c>
      <c r="B1339" t="s">
        <v>6969</v>
      </c>
      <c r="C1339" t="s">
        <v>6974</v>
      </c>
      <c r="D1339">
        <v>2023</v>
      </c>
      <c r="E1339" t="s">
        <v>56</v>
      </c>
      <c r="F1339" t="s">
        <v>67</v>
      </c>
      <c r="G1339" t="s">
        <v>6975</v>
      </c>
      <c r="H1339" t="s">
        <v>6971</v>
      </c>
      <c r="I1339" t="s">
        <v>6976</v>
      </c>
      <c r="J1339" t="s">
        <v>71</v>
      </c>
      <c r="K1339" t="s">
        <v>18</v>
      </c>
      <c r="L1339" t="s">
        <v>72</v>
      </c>
      <c r="M1339" t="s">
        <v>72</v>
      </c>
      <c r="N1339" s="5"/>
      <c r="O1339" t="str">
        <f t="shared" si="20"/>
        <v/>
      </c>
    </row>
    <row r="1340" spans="1:15" x14ac:dyDescent="0.25">
      <c r="A1340" t="s">
        <v>6977</v>
      </c>
      <c r="B1340" t="s">
        <v>6978</v>
      </c>
      <c r="C1340" t="s">
        <v>6979</v>
      </c>
      <c r="D1340">
        <v>2023</v>
      </c>
      <c r="E1340" t="s">
        <v>56</v>
      </c>
      <c r="F1340" t="s">
        <v>67</v>
      </c>
      <c r="G1340" t="s">
        <v>3803</v>
      </c>
      <c r="H1340" t="s">
        <v>6980</v>
      </c>
      <c r="I1340" t="s">
        <v>6981</v>
      </c>
      <c r="J1340" t="s">
        <v>71</v>
      </c>
      <c r="K1340" t="s">
        <v>18</v>
      </c>
      <c r="L1340" t="s">
        <v>72</v>
      </c>
      <c r="M1340" t="s">
        <v>72</v>
      </c>
      <c r="N1340" s="5"/>
      <c r="O1340" t="str">
        <f t="shared" si="20"/>
        <v/>
      </c>
    </row>
    <row r="1341" spans="1:15" x14ac:dyDescent="0.25">
      <c r="A1341" t="s">
        <v>6982</v>
      </c>
      <c r="B1341" t="s">
        <v>6983</v>
      </c>
      <c r="C1341" t="s">
        <v>6984</v>
      </c>
      <c r="D1341">
        <v>2023</v>
      </c>
      <c r="E1341" t="s">
        <v>56</v>
      </c>
      <c r="F1341" t="s">
        <v>67</v>
      </c>
      <c r="G1341" t="s">
        <v>6793</v>
      </c>
      <c r="H1341" t="s">
        <v>6985</v>
      </c>
      <c r="I1341" t="s">
        <v>6986</v>
      </c>
      <c r="J1341" t="s">
        <v>87</v>
      </c>
      <c r="K1341" t="s">
        <v>19</v>
      </c>
      <c r="L1341" t="s">
        <v>72</v>
      </c>
      <c r="M1341" t="s">
        <v>72</v>
      </c>
      <c r="N1341" s="5"/>
      <c r="O1341" t="str">
        <f t="shared" si="20"/>
        <v/>
      </c>
    </row>
    <row r="1342" spans="1:15" x14ac:dyDescent="0.25">
      <c r="A1342" t="s">
        <v>6987</v>
      </c>
      <c r="B1342" t="s">
        <v>6988</v>
      </c>
      <c r="C1342" t="s">
        <v>6989</v>
      </c>
      <c r="D1342">
        <v>2023</v>
      </c>
      <c r="E1342" t="s">
        <v>56</v>
      </c>
      <c r="F1342" t="s">
        <v>67</v>
      </c>
      <c r="G1342" t="s">
        <v>6815</v>
      </c>
      <c r="H1342" t="s">
        <v>6990</v>
      </c>
      <c r="I1342" t="s">
        <v>6991</v>
      </c>
      <c r="J1342" t="s">
        <v>61</v>
      </c>
      <c r="K1342" t="s">
        <v>62</v>
      </c>
      <c r="L1342" t="s">
        <v>63</v>
      </c>
      <c r="M1342" t="s">
        <v>63</v>
      </c>
      <c r="N1342" s="5"/>
      <c r="O1342" t="str">
        <f t="shared" si="20"/>
        <v/>
      </c>
    </row>
    <row r="1343" spans="1:15" x14ac:dyDescent="0.25">
      <c r="A1343" t="s">
        <v>6992</v>
      </c>
      <c r="B1343" t="s">
        <v>6993</v>
      </c>
      <c r="C1343" t="s">
        <v>6994</v>
      </c>
      <c r="D1343">
        <v>2023</v>
      </c>
      <c r="E1343" t="s">
        <v>56</v>
      </c>
      <c r="F1343" t="s">
        <v>67</v>
      </c>
      <c r="G1343" t="s">
        <v>3288</v>
      </c>
      <c r="H1343" t="s">
        <v>6995</v>
      </c>
      <c r="I1343" t="s">
        <v>6996</v>
      </c>
      <c r="J1343" t="s">
        <v>71</v>
      </c>
      <c r="K1343" t="s">
        <v>18</v>
      </c>
      <c r="L1343" t="s">
        <v>72</v>
      </c>
      <c r="M1343" t="s">
        <v>72</v>
      </c>
      <c r="N1343" s="5"/>
      <c r="O1343" t="str">
        <f t="shared" si="20"/>
        <v/>
      </c>
    </row>
    <row r="1344" spans="1:15" x14ac:dyDescent="0.25">
      <c r="A1344" t="s">
        <v>6997</v>
      </c>
      <c r="B1344" t="s">
        <v>6998</v>
      </c>
      <c r="C1344" t="s">
        <v>6999</v>
      </c>
      <c r="D1344">
        <v>2023</v>
      </c>
      <c r="E1344" t="s">
        <v>56</v>
      </c>
      <c r="F1344" t="s">
        <v>67</v>
      </c>
      <c r="G1344" t="s">
        <v>7000</v>
      </c>
      <c r="H1344" t="s">
        <v>7001</v>
      </c>
      <c r="I1344" t="s">
        <v>7002</v>
      </c>
      <c r="J1344" t="s">
        <v>71</v>
      </c>
      <c r="K1344" t="s">
        <v>18</v>
      </c>
      <c r="L1344" t="s">
        <v>72</v>
      </c>
      <c r="M1344" t="s">
        <v>72</v>
      </c>
      <c r="N1344" s="5"/>
      <c r="O1344" t="str">
        <f t="shared" si="20"/>
        <v/>
      </c>
    </row>
    <row r="1345" spans="1:15" x14ac:dyDescent="0.25">
      <c r="A1345" t="s">
        <v>7003</v>
      </c>
      <c r="B1345" t="s">
        <v>7004</v>
      </c>
      <c r="C1345" t="s">
        <v>144</v>
      </c>
      <c r="D1345">
        <v>2023</v>
      </c>
      <c r="E1345" t="s">
        <v>56</v>
      </c>
      <c r="F1345" t="s">
        <v>67</v>
      </c>
      <c r="G1345" t="s">
        <v>7005</v>
      </c>
      <c r="H1345" t="s">
        <v>7006</v>
      </c>
      <c r="I1345" t="s">
        <v>7007</v>
      </c>
      <c r="J1345" t="s">
        <v>71</v>
      </c>
      <c r="K1345" t="s">
        <v>18</v>
      </c>
      <c r="L1345" t="s">
        <v>72</v>
      </c>
      <c r="M1345" t="s">
        <v>72</v>
      </c>
      <c r="N1345" s="5"/>
      <c r="O1345" t="str">
        <f t="shared" si="20"/>
        <v/>
      </c>
    </row>
    <row r="1346" spans="1:15" x14ac:dyDescent="0.25">
      <c r="A1346" t="s">
        <v>7008</v>
      </c>
      <c r="B1346" t="s">
        <v>7009</v>
      </c>
      <c r="C1346" t="s">
        <v>733</v>
      </c>
      <c r="D1346">
        <v>2023</v>
      </c>
      <c r="E1346" t="s">
        <v>56</v>
      </c>
      <c r="F1346" t="s">
        <v>67</v>
      </c>
      <c r="G1346" t="s">
        <v>1130</v>
      </c>
      <c r="H1346" t="s">
        <v>7010</v>
      </c>
      <c r="I1346" t="s">
        <v>7011</v>
      </c>
      <c r="J1346" t="s">
        <v>71</v>
      </c>
      <c r="K1346" t="s">
        <v>18</v>
      </c>
      <c r="L1346" t="s">
        <v>72</v>
      </c>
      <c r="M1346" t="s">
        <v>72</v>
      </c>
      <c r="N1346" s="5"/>
      <c r="O1346" t="str">
        <f t="shared" ref="O1346:O1409" si="21">IF(N1346="","",IF(N1346=J1346,1,0))</f>
        <v/>
      </c>
    </row>
    <row r="1347" spans="1:15" x14ac:dyDescent="0.25">
      <c r="A1347" t="s">
        <v>7012</v>
      </c>
      <c r="B1347" t="s">
        <v>7013</v>
      </c>
      <c r="C1347" t="s">
        <v>787</v>
      </c>
      <c r="D1347">
        <v>2023</v>
      </c>
      <c r="E1347" t="s">
        <v>56</v>
      </c>
      <c r="F1347" t="s">
        <v>67</v>
      </c>
      <c r="G1347" t="s">
        <v>1130</v>
      </c>
      <c r="H1347" t="s">
        <v>7014</v>
      </c>
      <c r="I1347" t="s">
        <v>7015</v>
      </c>
      <c r="J1347" t="s">
        <v>71</v>
      </c>
      <c r="K1347" t="s">
        <v>18</v>
      </c>
      <c r="L1347" t="s">
        <v>72</v>
      </c>
      <c r="M1347" t="s">
        <v>72</v>
      </c>
      <c r="N1347" s="5"/>
      <c r="O1347" t="str">
        <f t="shared" si="21"/>
        <v/>
      </c>
    </row>
    <row r="1348" spans="1:15" x14ac:dyDescent="0.25">
      <c r="A1348" t="s">
        <v>7016</v>
      </c>
      <c r="B1348" t="s">
        <v>7017</v>
      </c>
      <c r="C1348" t="s">
        <v>5891</v>
      </c>
      <c r="D1348">
        <v>2023</v>
      </c>
      <c r="E1348" t="s">
        <v>56</v>
      </c>
      <c r="F1348" t="s">
        <v>57</v>
      </c>
      <c r="G1348" t="s">
        <v>6041</v>
      </c>
      <c r="H1348" t="s">
        <v>7018</v>
      </c>
      <c r="I1348" t="s">
        <v>7019</v>
      </c>
      <c r="J1348" t="s">
        <v>87</v>
      </c>
      <c r="K1348" t="s">
        <v>19</v>
      </c>
      <c r="L1348" t="s">
        <v>72</v>
      </c>
      <c r="M1348" t="s">
        <v>72</v>
      </c>
      <c r="N1348" s="5"/>
      <c r="O1348" t="str">
        <f t="shared" si="21"/>
        <v/>
      </c>
    </row>
    <row r="1349" spans="1:15" x14ac:dyDescent="0.25">
      <c r="A1349" t="s">
        <v>7020</v>
      </c>
      <c r="B1349" t="s">
        <v>7021</v>
      </c>
      <c r="C1349" t="s">
        <v>1348</v>
      </c>
      <c r="D1349">
        <v>2023</v>
      </c>
      <c r="E1349" t="s">
        <v>56</v>
      </c>
      <c r="F1349" t="s">
        <v>67</v>
      </c>
      <c r="G1349" t="s">
        <v>7022</v>
      </c>
      <c r="H1349" t="s">
        <v>7023</v>
      </c>
      <c r="I1349" t="s">
        <v>7024</v>
      </c>
      <c r="J1349" t="s">
        <v>71</v>
      </c>
      <c r="K1349" t="s">
        <v>18</v>
      </c>
      <c r="L1349" t="s">
        <v>72</v>
      </c>
      <c r="M1349" t="s">
        <v>72</v>
      </c>
      <c r="N1349" s="5"/>
      <c r="O1349" t="str">
        <f t="shared" si="21"/>
        <v/>
      </c>
    </row>
    <row r="1350" spans="1:15" x14ac:dyDescent="0.25">
      <c r="A1350" t="s">
        <v>7025</v>
      </c>
      <c r="B1350" t="s">
        <v>7026</v>
      </c>
      <c r="C1350" t="s">
        <v>1364</v>
      </c>
      <c r="D1350">
        <v>2023</v>
      </c>
      <c r="E1350" t="s">
        <v>56</v>
      </c>
      <c r="F1350" t="s">
        <v>57</v>
      </c>
      <c r="G1350" t="s">
        <v>750</v>
      </c>
      <c r="H1350" t="s">
        <v>7027</v>
      </c>
      <c r="I1350" t="s">
        <v>7028</v>
      </c>
      <c r="J1350" t="s">
        <v>71</v>
      </c>
      <c r="K1350" t="s">
        <v>18</v>
      </c>
      <c r="L1350" t="s">
        <v>72</v>
      </c>
      <c r="M1350" t="s">
        <v>72</v>
      </c>
      <c r="N1350" s="5"/>
      <c r="O1350" t="str">
        <f t="shared" si="21"/>
        <v/>
      </c>
    </row>
    <row r="1351" spans="1:15" x14ac:dyDescent="0.25">
      <c r="A1351" t="s">
        <v>7029</v>
      </c>
      <c r="B1351" t="s">
        <v>7030</v>
      </c>
      <c r="C1351" t="s">
        <v>7031</v>
      </c>
      <c r="D1351">
        <v>2023</v>
      </c>
      <c r="E1351" t="s">
        <v>56</v>
      </c>
      <c r="F1351" t="s">
        <v>57</v>
      </c>
      <c r="G1351" t="s">
        <v>766</v>
      </c>
      <c r="H1351" t="s">
        <v>7032</v>
      </c>
      <c r="I1351" t="s">
        <v>7033</v>
      </c>
      <c r="J1351" t="s">
        <v>71</v>
      </c>
      <c r="K1351" t="s">
        <v>18</v>
      </c>
      <c r="L1351" t="s">
        <v>72</v>
      </c>
      <c r="M1351" t="s">
        <v>72</v>
      </c>
      <c r="N1351" s="5"/>
      <c r="O1351" t="str">
        <f t="shared" si="21"/>
        <v/>
      </c>
    </row>
    <row r="1352" spans="1:15" x14ac:dyDescent="0.25">
      <c r="A1352" t="s">
        <v>7034</v>
      </c>
      <c r="B1352" t="s">
        <v>7035</v>
      </c>
      <c r="C1352" t="s">
        <v>1364</v>
      </c>
      <c r="D1352">
        <v>2023</v>
      </c>
      <c r="E1352" t="s">
        <v>56</v>
      </c>
      <c r="F1352" t="s">
        <v>67</v>
      </c>
      <c r="G1352" t="s">
        <v>7036</v>
      </c>
      <c r="H1352" t="s">
        <v>7037</v>
      </c>
      <c r="I1352" t="s">
        <v>7038</v>
      </c>
      <c r="J1352" t="s">
        <v>71</v>
      </c>
      <c r="K1352" t="s">
        <v>18</v>
      </c>
      <c r="L1352" t="s">
        <v>72</v>
      </c>
      <c r="M1352" t="s">
        <v>72</v>
      </c>
      <c r="N1352" s="5"/>
      <c r="O1352" t="str">
        <f t="shared" si="21"/>
        <v/>
      </c>
    </row>
    <row r="1353" spans="1:15" x14ac:dyDescent="0.25">
      <c r="A1353" t="s">
        <v>7039</v>
      </c>
      <c r="B1353" t="s">
        <v>7040</v>
      </c>
      <c r="C1353" t="s">
        <v>7041</v>
      </c>
      <c r="D1353">
        <v>2023</v>
      </c>
      <c r="E1353" t="s">
        <v>56</v>
      </c>
      <c r="F1353" t="s">
        <v>57</v>
      </c>
      <c r="G1353" t="s">
        <v>7042</v>
      </c>
      <c r="H1353" t="s">
        <v>7043</v>
      </c>
      <c r="I1353" t="s">
        <v>7044</v>
      </c>
      <c r="J1353" t="s">
        <v>79</v>
      </c>
      <c r="K1353" t="s">
        <v>80</v>
      </c>
      <c r="L1353" t="s">
        <v>72</v>
      </c>
      <c r="M1353" t="s">
        <v>72</v>
      </c>
      <c r="N1353" s="5"/>
      <c r="O1353" t="str">
        <f t="shared" si="21"/>
        <v/>
      </c>
    </row>
    <row r="1354" spans="1:15" x14ac:dyDescent="0.25">
      <c r="A1354" t="s">
        <v>7045</v>
      </c>
      <c r="B1354" t="s">
        <v>7046</v>
      </c>
      <c r="C1354" t="s">
        <v>7047</v>
      </c>
      <c r="D1354">
        <v>2023</v>
      </c>
      <c r="E1354" t="s">
        <v>56</v>
      </c>
      <c r="F1354" t="s">
        <v>67</v>
      </c>
      <c r="G1354" t="s">
        <v>7048</v>
      </c>
      <c r="H1354" t="s">
        <v>7049</v>
      </c>
      <c r="I1354" t="s">
        <v>7050</v>
      </c>
      <c r="J1354" t="s">
        <v>98</v>
      </c>
      <c r="K1354" t="s">
        <v>99</v>
      </c>
      <c r="L1354" t="s">
        <v>63</v>
      </c>
      <c r="M1354" t="s">
        <v>72</v>
      </c>
      <c r="N1354" s="5"/>
      <c r="O1354" t="str">
        <f t="shared" si="21"/>
        <v/>
      </c>
    </row>
    <row r="1355" spans="1:15" x14ac:dyDescent="0.25">
      <c r="A1355" t="s">
        <v>7051</v>
      </c>
      <c r="B1355" t="s">
        <v>7052</v>
      </c>
      <c r="C1355" t="s">
        <v>428</v>
      </c>
      <c r="D1355">
        <v>2023</v>
      </c>
      <c r="E1355" t="s">
        <v>56</v>
      </c>
      <c r="F1355" t="s">
        <v>67</v>
      </c>
      <c r="G1355" t="s">
        <v>7053</v>
      </c>
      <c r="H1355" t="s">
        <v>7054</v>
      </c>
      <c r="I1355" t="s">
        <v>7055</v>
      </c>
      <c r="J1355" t="s">
        <v>71</v>
      </c>
      <c r="K1355" t="s">
        <v>18</v>
      </c>
      <c r="L1355" t="s">
        <v>72</v>
      </c>
      <c r="M1355" t="s">
        <v>72</v>
      </c>
      <c r="N1355" s="5"/>
      <c r="O1355" t="str">
        <f t="shared" si="21"/>
        <v/>
      </c>
    </row>
    <row r="1356" spans="1:15" x14ac:dyDescent="0.25">
      <c r="A1356" t="s">
        <v>7056</v>
      </c>
      <c r="B1356" t="s">
        <v>7057</v>
      </c>
      <c r="C1356" t="s">
        <v>7058</v>
      </c>
      <c r="D1356">
        <v>2023</v>
      </c>
      <c r="E1356" t="s">
        <v>56</v>
      </c>
      <c r="F1356" t="s">
        <v>67</v>
      </c>
      <c r="G1356" t="s">
        <v>6694</v>
      </c>
      <c r="H1356" t="s">
        <v>7059</v>
      </c>
      <c r="I1356" t="s">
        <v>7060</v>
      </c>
      <c r="J1356" t="s">
        <v>71</v>
      </c>
      <c r="K1356" t="s">
        <v>18</v>
      </c>
      <c r="L1356" t="s">
        <v>72</v>
      </c>
      <c r="M1356" t="s">
        <v>72</v>
      </c>
      <c r="N1356" s="5"/>
      <c r="O1356" t="str">
        <f t="shared" si="21"/>
        <v/>
      </c>
    </row>
    <row r="1357" spans="1:15" x14ac:dyDescent="0.25">
      <c r="A1357" t="s">
        <v>7061</v>
      </c>
      <c r="B1357" t="s">
        <v>7062</v>
      </c>
      <c r="C1357" t="s">
        <v>7063</v>
      </c>
      <c r="D1357">
        <v>2023</v>
      </c>
      <c r="E1357" t="s">
        <v>56</v>
      </c>
      <c r="F1357" t="s">
        <v>57</v>
      </c>
      <c r="G1357" t="s">
        <v>279</v>
      </c>
      <c r="H1357" t="s">
        <v>7064</v>
      </c>
      <c r="I1357" t="s">
        <v>7065</v>
      </c>
      <c r="J1357" t="s">
        <v>87</v>
      </c>
      <c r="K1357" t="s">
        <v>19</v>
      </c>
      <c r="L1357" t="s">
        <v>72</v>
      </c>
      <c r="M1357" t="s">
        <v>72</v>
      </c>
      <c r="N1357" s="5"/>
      <c r="O1357" t="str">
        <f t="shared" si="21"/>
        <v/>
      </c>
    </row>
    <row r="1358" spans="1:15" x14ac:dyDescent="0.25">
      <c r="A1358" t="s">
        <v>7066</v>
      </c>
      <c r="B1358" t="s">
        <v>7067</v>
      </c>
      <c r="C1358" t="s">
        <v>7068</v>
      </c>
      <c r="D1358">
        <v>2023</v>
      </c>
      <c r="E1358" t="s">
        <v>56</v>
      </c>
      <c r="F1358" t="s">
        <v>67</v>
      </c>
      <c r="G1358" t="s">
        <v>84</v>
      </c>
      <c r="H1358" t="s">
        <v>7069</v>
      </c>
      <c r="I1358" t="s">
        <v>7070</v>
      </c>
      <c r="J1358" t="s">
        <v>79</v>
      </c>
      <c r="K1358" t="s">
        <v>80</v>
      </c>
      <c r="L1358" t="s">
        <v>72</v>
      </c>
      <c r="M1358" t="s">
        <v>72</v>
      </c>
      <c r="N1358" s="5"/>
      <c r="O1358" t="str">
        <f t="shared" si="21"/>
        <v/>
      </c>
    </row>
    <row r="1359" spans="1:15" x14ac:dyDescent="0.25">
      <c r="A1359" t="s">
        <v>7071</v>
      </c>
      <c r="B1359" t="s">
        <v>7072</v>
      </c>
      <c r="C1359" t="s">
        <v>7073</v>
      </c>
      <c r="D1359">
        <v>2023</v>
      </c>
      <c r="E1359" t="s">
        <v>56</v>
      </c>
      <c r="F1359" t="s">
        <v>67</v>
      </c>
      <c r="G1359" t="s">
        <v>7074</v>
      </c>
      <c r="H1359" t="s">
        <v>7075</v>
      </c>
      <c r="I1359" t="s">
        <v>7076</v>
      </c>
      <c r="J1359" t="s">
        <v>71</v>
      </c>
      <c r="K1359" t="s">
        <v>18</v>
      </c>
      <c r="L1359" t="s">
        <v>72</v>
      </c>
      <c r="M1359" t="s">
        <v>72</v>
      </c>
      <c r="N1359" s="5"/>
      <c r="O1359" t="str">
        <f t="shared" si="21"/>
        <v/>
      </c>
    </row>
    <row r="1360" spans="1:15" x14ac:dyDescent="0.25">
      <c r="A1360" t="s">
        <v>7077</v>
      </c>
      <c r="B1360" t="s">
        <v>7078</v>
      </c>
      <c r="C1360" t="s">
        <v>7079</v>
      </c>
      <c r="D1360">
        <v>2023</v>
      </c>
      <c r="E1360" t="s">
        <v>56</v>
      </c>
      <c r="F1360" t="s">
        <v>67</v>
      </c>
      <c r="G1360" t="s">
        <v>6793</v>
      </c>
      <c r="H1360" t="s">
        <v>7080</v>
      </c>
      <c r="I1360" t="s">
        <v>7081</v>
      </c>
      <c r="J1360" t="s">
        <v>87</v>
      </c>
      <c r="K1360" t="s">
        <v>19</v>
      </c>
      <c r="L1360" t="s">
        <v>72</v>
      </c>
      <c r="M1360" t="s">
        <v>72</v>
      </c>
      <c r="N1360" s="5"/>
      <c r="O1360" t="str">
        <f t="shared" si="21"/>
        <v/>
      </c>
    </row>
    <row r="1361" spans="1:15" x14ac:dyDescent="0.25">
      <c r="A1361" t="s">
        <v>7082</v>
      </c>
      <c r="B1361" t="s">
        <v>7083</v>
      </c>
      <c r="C1361" t="s">
        <v>3451</v>
      </c>
      <c r="D1361">
        <v>2023</v>
      </c>
      <c r="E1361" t="s">
        <v>56</v>
      </c>
      <c r="F1361" t="s">
        <v>57</v>
      </c>
      <c r="G1361" t="s">
        <v>766</v>
      </c>
      <c r="H1361" t="s">
        <v>7084</v>
      </c>
      <c r="I1361" t="s">
        <v>7085</v>
      </c>
      <c r="J1361" t="s">
        <v>79</v>
      </c>
      <c r="K1361" t="s">
        <v>80</v>
      </c>
      <c r="L1361" t="s">
        <v>72</v>
      </c>
      <c r="M1361" t="s">
        <v>72</v>
      </c>
      <c r="N1361" s="5"/>
      <c r="O1361" t="str">
        <f t="shared" si="21"/>
        <v/>
      </c>
    </row>
    <row r="1362" spans="1:15" x14ac:dyDescent="0.25">
      <c r="A1362" t="s">
        <v>7086</v>
      </c>
      <c r="B1362" t="s">
        <v>7087</v>
      </c>
      <c r="C1362" t="s">
        <v>7088</v>
      </c>
      <c r="D1362">
        <v>2023</v>
      </c>
      <c r="E1362" t="s">
        <v>56</v>
      </c>
      <c r="F1362" t="s">
        <v>67</v>
      </c>
      <c r="G1362" t="s">
        <v>7089</v>
      </c>
      <c r="H1362" t="s">
        <v>7090</v>
      </c>
      <c r="I1362" t="s">
        <v>7091</v>
      </c>
      <c r="J1362" t="s">
        <v>79</v>
      </c>
      <c r="K1362" t="s">
        <v>80</v>
      </c>
      <c r="L1362" t="s">
        <v>72</v>
      </c>
      <c r="M1362" t="s">
        <v>72</v>
      </c>
      <c r="N1362" s="5"/>
      <c r="O1362" t="str">
        <f t="shared" si="21"/>
        <v/>
      </c>
    </row>
    <row r="1363" spans="1:15" x14ac:dyDescent="0.25">
      <c r="A1363" t="s">
        <v>7092</v>
      </c>
      <c r="B1363" t="s">
        <v>7093</v>
      </c>
      <c r="C1363" t="s">
        <v>7094</v>
      </c>
      <c r="D1363">
        <v>2023</v>
      </c>
      <c r="E1363" t="s">
        <v>56</v>
      </c>
      <c r="F1363" t="s">
        <v>67</v>
      </c>
      <c r="G1363" t="s">
        <v>7095</v>
      </c>
      <c r="H1363" t="s">
        <v>7096</v>
      </c>
      <c r="I1363" t="s">
        <v>7097</v>
      </c>
      <c r="J1363" t="s">
        <v>87</v>
      </c>
      <c r="K1363" t="s">
        <v>19</v>
      </c>
      <c r="L1363" t="s">
        <v>72</v>
      </c>
      <c r="M1363" t="s">
        <v>72</v>
      </c>
      <c r="N1363" s="5"/>
      <c r="O1363" t="str">
        <f t="shared" si="21"/>
        <v/>
      </c>
    </row>
    <row r="1364" spans="1:15" x14ac:dyDescent="0.25">
      <c r="A1364" t="s">
        <v>7098</v>
      </c>
      <c r="B1364" t="s">
        <v>7099</v>
      </c>
      <c r="C1364" t="s">
        <v>7100</v>
      </c>
      <c r="D1364">
        <v>2023</v>
      </c>
      <c r="E1364" t="s">
        <v>56</v>
      </c>
      <c r="F1364" t="s">
        <v>67</v>
      </c>
      <c r="G1364" t="s">
        <v>7101</v>
      </c>
      <c r="H1364" t="s">
        <v>7102</v>
      </c>
      <c r="I1364" t="s">
        <v>7103</v>
      </c>
      <c r="J1364" t="s">
        <v>71</v>
      </c>
      <c r="K1364" t="s">
        <v>18</v>
      </c>
      <c r="L1364" t="s">
        <v>72</v>
      </c>
      <c r="M1364" t="s">
        <v>72</v>
      </c>
      <c r="N1364" s="5"/>
      <c r="O1364" t="str">
        <f t="shared" si="21"/>
        <v/>
      </c>
    </row>
    <row r="1365" spans="1:15" x14ac:dyDescent="0.25">
      <c r="A1365" t="s">
        <v>7104</v>
      </c>
      <c r="B1365" t="s">
        <v>7105</v>
      </c>
      <c r="C1365" t="s">
        <v>7106</v>
      </c>
      <c r="D1365">
        <v>2023</v>
      </c>
      <c r="E1365" t="s">
        <v>56</v>
      </c>
      <c r="F1365" t="s">
        <v>57</v>
      </c>
      <c r="G1365" t="s">
        <v>1938</v>
      </c>
      <c r="H1365" t="s">
        <v>7107</v>
      </c>
      <c r="I1365" t="s">
        <v>7108</v>
      </c>
      <c r="J1365" t="s">
        <v>71</v>
      </c>
      <c r="K1365" t="s">
        <v>18</v>
      </c>
      <c r="L1365" t="s">
        <v>72</v>
      </c>
      <c r="M1365" t="s">
        <v>72</v>
      </c>
      <c r="N1365" s="5"/>
      <c r="O1365" t="str">
        <f t="shared" si="21"/>
        <v/>
      </c>
    </row>
    <row r="1366" spans="1:15" x14ac:dyDescent="0.25">
      <c r="A1366" t="s">
        <v>7109</v>
      </c>
      <c r="B1366" t="s">
        <v>7110</v>
      </c>
      <c r="C1366" t="s">
        <v>5135</v>
      </c>
      <c r="D1366">
        <v>2023</v>
      </c>
      <c r="E1366" t="s">
        <v>56</v>
      </c>
      <c r="F1366" t="s">
        <v>67</v>
      </c>
      <c r="G1366" t="s">
        <v>151</v>
      </c>
      <c r="H1366" t="s">
        <v>7111</v>
      </c>
      <c r="I1366" t="s">
        <v>7112</v>
      </c>
      <c r="J1366" t="s">
        <v>71</v>
      </c>
      <c r="K1366" t="s">
        <v>18</v>
      </c>
      <c r="L1366" t="s">
        <v>72</v>
      </c>
      <c r="M1366" t="s">
        <v>72</v>
      </c>
      <c r="N1366" s="5"/>
      <c r="O1366" t="str">
        <f t="shared" si="21"/>
        <v/>
      </c>
    </row>
    <row r="1367" spans="1:15" x14ac:dyDescent="0.25">
      <c r="A1367" t="s">
        <v>7113</v>
      </c>
      <c r="B1367" t="s">
        <v>7114</v>
      </c>
      <c r="C1367" t="s">
        <v>555</v>
      </c>
      <c r="D1367">
        <v>2023</v>
      </c>
      <c r="E1367" t="s">
        <v>56</v>
      </c>
      <c r="F1367" t="s">
        <v>67</v>
      </c>
      <c r="G1367" t="s">
        <v>3900</v>
      </c>
      <c r="H1367" t="s">
        <v>7115</v>
      </c>
      <c r="I1367" t="s">
        <v>7116</v>
      </c>
      <c r="J1367" t="s">
        <v>71</v>
      </c>
      <c r="K1367" t="s">
        <v>18</v>
      </c>
      <c r="L1367" t="s">
        <v>72</v>
      </c>
      <c r="M1367" t="s">
        <v>72</v>
      </c>
      <c r="N1367" s="5"/>
      <c r="O1367" t="str">
        <f t="shared" si="21"/>
        <v/>
      </c>
    </row>
    <row r="1368" spans="1:15" x14ac:dyDescent="0.25">
      <c r="A1368" t="s">
        <v>7117</v>
      </c>
      <c r="B1368" t="s">
        <v>7118</v>
      </c>
      <c r="C1368" t="s">
        <v>1568</v>
      </c>
      <c r="D1368">
        <v>2023</v>
      </c>
      <c r="E1368" t="s">
        <v>56</v>
      </c>
      <c r="F1368" t="s">
        <v>57</v>
      </c>
      <c r="G1368" t="s">
        <v>750</v>
      </c>
      <c r="H1368" t="s">
        <v>7119</v>
      </c>
      <c r="I1368" t="s">
        <v>7120</v>
      </c>
      <c r="J1368" t="s">
        <v>98</v>
      </c>
      <c r="K1368" t="s">
        <v>99</v>
      </c>
      <c r="L1368" t="s">
        <v>63</v>
      </c>
      <c r="M1368" t="s">
        <v>72</v>
      </c>
      <c r="N1368" s="5"/>
      <c r="O1368" t="str">
        <f t="shared" si="21"/>
        <v/>
      </c>
    </row>
    <row r="1369" spans="1:15" x14ac:dyDescent="0.25">
      <c r="A1369" t="s">
        <v>7121</v>
      </c>
      <c r="B1369" t="s">
        <v>7122</v>
      </c>
      <c r="C1369" t="s">
        <v>7123</v>
      </c>
      <c r="D1369">
        <v>2023</v>
      </c>
      <c r="E1369" t="s">
        <v>56</v>
      </c>
      <c r="F1369" t="s">
        <v>57</v>
      </c>
      <c r="G1369" t="s">
        <v>7124</v>
      </c>
      <c r="H1369" t="s">
        <v>7125</v>
      </c>
      <c r="I1369" t="s">
        <v>7126</v>
      </c>
      <c r="J1369" t="s">
        <v>165</v>
      </c>
      <c r="K1369" t="s">
        <v>166</v>
      </c>
      <c r="L1369" t="s">
        <v>63</v>
      </c>
      <c r="M1369" t="s">
        <v>72</v>
      </c>
      <c r="N1369" s="5"/>
      <c r="O1369" t="str">
        <f t="shared" si="21"/>
        <v/>
      </c>
    </row>
    <row r="1370" spans="1:15" x14ac:dyDescent="0.25">
      <c r="A1370" t="s">
        <v>7127</v>
      </c>
      <c r="B1370" t="s">
        <v>7128</v>
      </c>
      <c r="C1370" t="s">
        <v>7129</v>
      </c>
      <c r="D1370">
        <v>2023</v>
      </c>
      <c r="E1370" t="s">
        <v>56</v>
      </c>
      <c r="F1370" t="s">
        <v>57</v>
      </c>
      <c r="G1370" t="s">
        <v>7130</v>
      </c>
      <c r="H1370" t="s">
        <v>7131</v>
      </c>
      <c r="I1370" t="s">
        <v>7132</v>
      </c>
      <c r="J1370" t="s">
        <v>165</v>
      </c>
      <c r="K1370" t="s">
        <v>166</v>
      </c>
      <c r="L1370" t="s">
        <v>63</v>
      </c>
      <c r="M1370" t="s">
        <v>72</v>
      </c>
      <c r="N1370" s="5"/>
      <c r="O1370" t="str">
        <f t="shared" si="21"/>
        <v/>
      </c>
    </row>
    <row r="1371" spans="1:15" x14ac:dyDescent="0.25">
      <c r="A1371" t="s">
        <v>7133</v>
      </c>
      <c r="B1371" t="s">
        <v>7134</v>
      </c>
      <c r="C1371" t="s">
        <v>95</v>
      </c>
      <c r="D1371">
        <v>2023</v>
      </c>
      <c r="E1371" t="s">
        <v>56</v>
      </c>
      <c r="F1371" t="s">
        <v>57</v>
      </c>
      <c r="G1371" t="s">
        <v>7135</v>
      </c>
      <c r="H1371" t="s">
        <v>7136</v>
      </c>
      <c r="I1371" t="s">
        <v>7137</v>
      </c>
      <c r="J1371" t="s">
        <v>87</v>
      </c>
      <c r="K1371" t="s">
        <v>19</v>
      </c>
      <c r="L1371" t="s">
        <v>72</v>
      </c>
      <c r="M1371" t="s">
        <v>72</v>
      </c>
      <c r="N1371" s="5"/>
      <c r="O1371" t="str">
        <f t="shared" si="21"/>
        <v/>
      </c>
    </row>
    <row r="1372" spans="1:15" x14ac:dyDescent="0.25">
      <c r="A1372" t="s">
        <v>7138</v>
      </c>
      <c r="B1372" t="s">
        <v>7139</v>
      </c>
      <c r="C1372" t="s">
        <v>7140</v>
      </c>
      <c r="D1372">
        <v>2023</v>
      </c>
      <c r="E1372" t="s">
        <v>56</v>
      </c>
      <c r="F1372" t="s">
        <v>57</v>
      </c>
      <c r="G1372" t="s">
        <v>1803</v>
      </c>
      <c r="H1372" t="s">
        <v>7141</v>
      </c>
      <c r="I1372" t="s">
        <v>7142</v>
      </c>
      <c r="J1372" t="s">
        <v>61</v>
      </c>
      <c r="K1372" t="s">
        <v>62</v>
      </c>
      <c r="L1372" t="s">
        <v>63</v>
      </c>
      <c r="M1372" t="s">
        <v>63</v>
      </c>
      <c r="N1372" s="5"/>
      <c r="O1372" t="str">
        <f t="shared" si="21"/>
        <v/>
      </c>
    </row>
    <row r="1373" spans="1:15" x14ac:dyDescent="0.25">
      <c r="A1373" t="s">
        <v>7143</v>
      </c>
      <c r="B1373" t="s">
        <v>7144</v>
      </c>
      <c r="C1373" t="s">
        <v>7145</v>
      </c>
      <c r="D1373">
        <v>2023</v>
      </c>
      <c r="E1373" t="s">
        <v>56</v>
      </c>
      <c r="F1373" t="s">
        <v>57</v>
      </c>
      <c r="G1373" t="s">
        <v>766</v>
      </c>
      <c r="H1373" t="s">
        <v>7146</v>
      </c>
      <c r="I1373" t="s">
        <v>7147</v>
      </c>
      <c r="J1373" t="s">
        <v>165</v>
      </c>
      <c r="K1373" t="s">
        <v>166</v>
      </c>
      <c r="L1373" t="s">
        <v>63</v>
      </c>
      <c r="M1373" t="s">
        <v>72</v>
      </c>
      <c r="N1373" s="5"/>
      <c r="O1373" t="str">
        <f t="shared" si="21"/>
        <v/>
      </c>
    </row>
    <row r="1374" spans="1:15" x14ac:dyDescent="0.25">
      <c r="A1374" t="s">
        <v>7148</v>
      </c>
      <c r="B1374" t="s">
        <v>7149</v>
      </c>
      <c r="C1374" t="s">
        <v>2023</v>
      </c>
      <c r="D1374">
        <v>2023</v>
      </c>
      <c r="E1374" t="s">
        <v>56</v>
      </c>
      <c r="F1374" t="s">
        <v>67</v>
      </c>
      <c r="G1374" t="s">
        <v>151</v>
      </c>
      <c r="H1374" t="s">
        <v>7150</v>
      </c>
      <c r="I1374" t="s">
        <v>7151</v>
      </c>
      <c r="J1374" t="s">
        <v>71</v>
      </c>
      <c r="K1374" t="s">
        <v>18</v>
      </c>
      <c r="L1374" t="s">
        <v>72</v>
      </c>
      <c r="M1374" t="s">
        <v>72</v>
      </c>
      <c r="N1374" s="5"/>
      <c r="O1374" t="str">
        <f t="shared" si="21"/>
        <v/>
      </c>
    </row>
    <row r="1375" spans="1:15" x14ac:dyDescent="0.25">
      <c r="A1375" t="s">
        <v>7152</v>
      </c>
      <c r="B1375" t="s">
        <v>7153</v>
      </c>
      <c r="C1375" t="s">
        <v>6586</v>
      </c>
      <c r="D1375">
        <v>2023</v>
      </c>
      <c r="E1375" t="s">
        <v>56</v>
      </c>
      <c r="F1375" t="s">
        <v>67</v>
      </c>
      <c r="G1375" t="s">
        <v>7048</v>
      </c>
      <c r="H1375" t="s">
        <v>7154</v>
      </c>
      <c r="I1375" t="s">
        <v>7155</v>
      </c>
      <c r="J1375" t="s">
        <v>61</v>
      </c>
      <c r="K1375" t="s">
        <v>62</v>
      </c>
      <c r="L1375" t="s">
        <v>63</v>
      </c>
      <c r="M1375" t="s">
        <v>63</v>
      </c>
      <c r="N1375" s="5"/>
      <c r="O1375" t="str">
        <f t="shared" si="21"/>
        <v/>
      </c>
    </row>
    <row r="1376" spans="1:15" x14ac:dyDescent="0.25">
      <c r="A1376" t="s">
        <v>7156</v>
      </c>
      <c r="B1376" t="s">
        <v>7157</v>
      </c>
      <c r="C1376" t="s">
        <v>428</v>
      </c>
      <c r="D1376">
        <v>2023</v>
      </c>
      <c r="E1376" t="s">
        <v>56</v>
      </c>
      <c r="F1376" t="s">
        <v>57</v>
      </c>
      <c r="G1376" t="s">
        <v>1803</v>
      </c>
      <c r="H1376" t="s">
        <v>7158</v>
      </c>
      <c r="I1376" t="s">
        <v>7159</v>
      </c>
      <c r="J1376" t="s">
        <v>165</v>
      </c>
      <c r="K1376" t="s">
        <v>166</v>
      </c>
      <c r="L1376" t="s">
        <v>63</v>
      </c>
      <c r="M1376" t="s">
        <v>72</v>
      </c>
      <c r="N1376" s="5"/>
      <c r="O1376" t="str">
        <f t="shared" si="21"/>
        <v/>
      </c>
    </row>
    <row r="1377" spans="1:15" x14ac:dyDescent="0.25">
      <c r="A1377" t="s">
        <v>7160</v>
      </c>
      <c r="B1377" t="s">
        <v>7161</v>
      </c>
      <c r="C1377" t="s">
        <v>3535</v>
      </c>
      <c r="D1377">
        <v>2023</v>
      </c>
      <c r="E1377" t="s">
        <v>56</v>
      </c>
      <c r="F1377" t="s">
        <v>67</v>
      </c>
      <c r="G1377" t="s">
        <v>3288</v>
      </c>
      <c r="H1377" t="s">
        <v>7162</v>
      </c>
      <c r="I1377" t="s">
        <v>7163</v>
      </c>
      <c r="J1377" t="s">
        <v>98</v>
      </c>
      <c r="K1377" t="s">
        <v>99</v>
      </c>
      <c r="L1377" t="s">
        <v>63</v>
      </c>
      <c r="M1377" t="s">
        <v>72</v>
      </c>
      <c r="N1377" s="5"/>
      <c r="O1377" t="str">
        <f t="shared" si="21"/>
        <v/>
      </c>
    </row>
    <row r="1378" spans="1:15" x14ac:dyDescent="0.25">
      <c r="A1378" t="s">
        <v>7164</v>
      </c>
      <c r="B1378" t="s">
        <v>7165</v>
      </c>
      <c r="C1378" t="s">
        <v>7166</v>
      </c>
      <c r="D1378">
        <v>2023</v>
      </c>
      <c r="E1378" t="s">
        <v>56</v>
      </c>
      <c r="F1378" t="s">
        <v>67</v>
      </c>
      <c r="G1378" t="s">
        <v>7167</v>
      </c>
      <c r="H1378" t="s">
        <v>7168</v>
      </c>
      <c r="I1378" t="s">
        <v>7169</v>
      </c>
      <c r="J1378" t="s">
        <v>71</v>
      </c>
      <c r="K1378" t="s">
        <v>18</v>
      </c>
      <c r="L1378" t="s">
        <v>72</v>
      </c>
      <c r="M1378" t="s">
        <v>72</v>
      </c>
      <c r="N1378" s="5"/>
      <c r="O1378" t="str">
        <f t="shared" si="21"/>
        <v/>
      </c>
    </row>
    <row r="1379" spans="1:15" x14ac:dyDescent="0.25">
      <c r="A1379" t="s">
        <v>7170</v>
      </c>
      <c r="B1379" t="s">
        <v>7171</v>
      </c>
      <c r="C1379" t="s">
        <v>7172</v>
      </c>
      <c r="D1379">
        <v>2023</v>
      </c>
      <c r="E1379" t="s">
        <v>56</v>
      </c>
      <c r="F1379" t="s">
        <v>67</v>
      </c>
      <c r="G1379" t="s">
        <v>7173</v>
      </c>
      <c r="H1379" t="s">
        <v>7174</v>
      </c>
      <c r="I1379" t="s">
        <v>7175</v>
      </c>
      <c r="J1379" t="s">
        <v>71</v>
      </c>
      <c r="K1379" t="s">
        <v>18</v>
      </c>
      <c r="L1379" t="s">
        <v>72</v>
      </c>
      <c r="M1379" t="s">
        <v>72</v>
      </c>
      <c r="N1379" s="5"/>
      <c r="O1379" t="str">
        <f t="shared" si="21"/>
        <v/>
      </c>
    </row>
    <row r="1380" spans="1:15" x14ac:dyDescent="0.25">
      <c r="A1380" t="s">
        <v>7176</v>
      </c>
      <c r="B1380" t="s">
        <v>7177</v>
      </c>
      <c r="C1380" t="s">
        <v>7178</v>
      </c>
      <c r="D1380">
        <v>2023</v>
      </c>
      <c r="E1380" t="s">
        <v>56</v>
      </c>
      <c r="F1380" t="s">
        <v>57</v>
      </c>
      <c r="G1380" t="s">
        <v>702</v>
      </c>
      <c r="H1380" t="s">
        <v>7179</v>
      </c>
      <c r="I1380" t="s">
        <v>7180</v>
      </c>
      <c r="J1380" t="s">
        <v>87</v>
      </c>
      <c r="K1380" t="s">
        <v>19</v>
      </c>
      <c r="L1380" t="s">
        <v>72</v>
      </c>
      <c r="M1380" t="s">
        <v>72</v>
      </c>
      <c r="N1380" s="5"/>
      <c r="O1380" t="str">
        <f t="shared" si="21"/>
        <v/>
      </c>
    </row>
    <row r="1381" spans="1:15" x14ac:dyDescent="0.25">
      <c r="A1381" t="s">
        <v>7181</v>
      </c>
      <c r="B1381" t="s">
        <v>7182</v>
      </c>
      <c r="C1381" t="s">
        <v>7183</v>
      </c>
      <c r="D1381">
        <v>2022</v>
      </c>
      <c r="E1381" t="s">
        <v>7184</v>
      </c>
      <c r="F1381" t="s">
        <v>57</v>
      </c>
      <c r="G1381" t="s">
        <v>7185</v>
      </c>
      <c r="H1381" t="s">
        <v>7186</v>
      </c>
      <c r="I1381" t="s">
        <v>7187</v>
      </c>
      <c r="J1381" t="s">
        <v>79</v>
      </c>
      <c r="K1381" t="s">
        <v>80</v>
      </c>
      <c r="L1381" t="s">
        <v>72</v>
      </c>
      <c r="M1381" t="s">
        <v>72</v>
      </c>
      <c r="N1381" s="5"/>
      <c r="O1381" t="str">
        <f t="shared" si="21"/>
        <v/>
      </c>
    </row>
    <row r="1382" spans="1:15" x14ac:dyDescent="0.25">
      <c r="A1382" t="s">
        <v>7188</v>
      </c>
      <c r="B1382" t="s">
        <v>7189</v>
      </c>
      <c r="C1382" t="s">
        <v>7190</v>
      </c>
      <c r="D1382">
        <v>2022</v>
      </c>
      <c r="E1382" t="s">
        <v>7184</v>
      </c>
      <c r="F1382" t="s">
        <v>57</v>
      </c>
      <c r="G1382" t="s">
        <v>7191</v>
      </c>
      <c r="H1382" t="s">
        <v>7186</v>
      </c>
      <c r="I1382" t="s">
        <v>7192</v>
      </c>
      <c r="J1382" t="s">
        <v>79</v>
      </c>
      <c r="K1382" t="s">
        <v>80</v>
      </c>
      <c r="L1382" t="s">
        <v>72</v>
      </c>
      <c r="M1382" t="s">
        <v>72</v>
      </c>
      <c r="N1382" s="5"/>
      <c r="O1382" t="str">
        <f t="shared" si="21"/>
        <v/>
      </c>
    </row>
    <row r="1383" spans="1:15" x14ac:dyDescent="0.25">
      <c r="A1383" t="s">
        <v>7193</v>
      </c>
      <c r="B1383" t="s">
        <v>7194</v>
      </c>
      <c r="C1383" t="s">
        <v>7195</v>
      </c>
      <c r="D1383">
        <v>2022</v>
      </c>
      <c r="E1383" t="s">
        <v>7184</v>
      </c>
      <c r="F1383" t="s">
        <v>57</v>
      </c>
      <c r="G1383" t="s">
        <v>766</v>
      </c>
      <c r="H1383" t="s">
        <v>7196</v>
      </c>
      <c r="I1383" t="s">
        <v>7197</v>
      </c>
      <c r="J1383" t="s">
        <v>98</v>
      </c>
      <c r="K1383" t="s">
        <v>99</v>
      </c>
      <c r="L1383" t="s">
        <v>63</v>
      </c>
      <c r="M1383" t="s">
        <v>72</v>
      </c>
      <c r="N1383" s="5"/>
      <c r="O1383" t="str">
        <f t="shared" si="21"/>
        <v/>
      </c>
    </row>
    <row r="1384" spans="1:15" x14ac:dyDescent="0.25">
      <c r="A1384" t="s">
        <v>7198</v>
      </c>
      <c r="B1384" t="s">
        <v>7199</v>
      </c>
      <c r="C1384" t="s">
        <v>7200</v>
      </c>
      <c r="D1384">
        <v>2022</v>
      </c>
      <c r="E1384" t="s">
        <v>7184</v>
      </c>
      <c r="F1384" t="s">
        <v>57</v>
      </c>
      <c r="G1384" t="s">
        <v>750</v>
      </c>
      <c r="H1384" t="s">
        <v>7201</v>
      </c>
      <c r="I1384" t="s">
        <v>7202</v>
      </c>
      <c r="J1384" t="s">
        <v>165</v>
      </c>
      <c r="K1384" t="s">
        <v>166</v>
      </c>
      <c r="L1384" t="s">
        <v>63</v>
      </c>
      <c r="M1384" t="s">
        <v>72</v>
      </c>
      <c r="N1384" s="5"/>
      <c r="O1384" t="str">
        <f t="shared" si="21"/>
        <v/>
      </c>
    </row>
    <row r="1385" spans="1:15" x14ac:dyDescent="0.25">
      <c r="A1385" t="s">
        <v>7203</v>
      </c>
      <c r="B1385" t="s">
        <v>7204</v>
      </c>
      <c r="C1385" t="s">
        <v>7205</v>
      </c>
      <c r="D1385">
        <v>2022</v>
      </c>
      <c r="E1385" t="s">
        <v>7184</v>
      </c>
      <c r="F1385" t="s">
        <v>67</v>
      </c>
      <c r="G1385" t="s">
        <v>7206</v>
      </c>
      <c r="H1385" t="s">
        <v>7207</v>
      </c>
      <c r="I1385" t="s">
        <v>7208</v>
      </c>
      <c r="J1385" t="s">
        <v>71</v>
      </c>
      <c r="K1385" t="s">
        <v>18</v>
      </c>
      <c r="L1385" t="s">
        <v>72</v>
      </c>
      <c r="M1385" t="s">
        <v>72</v>
      </c>
      <c r="N1385" s="5"/>
      <c r="O1385" t="str">
        <f t="shared" si="21"/>
        <v/>
      </c>
    </row>
    <row r="1386" spans="1:15" x14ac:dyDescent="0.25">
      <c r="A1386" t="s">
        <v>7209</v>
      </c>
      <c r="B1386" t="s">
        <v>7210</v>
      </c>
      <c r="C1386" t="s">
        <v>7211</v>
      </c>
      <c r="D1386">
        <v>2022</v>
      </c>
      <c r="E1386" t="s">
        <v>7184</v>
      </c>
      <c r="F1386" t="s">
        <v>57</v>
      </c>
      <c r="G1386" t="s">
        <v>7212</v>
      </c>
      <c r="H1386" t="s">
        <v>7213</v>
      </c>
      <c r="I1386" t="s">
        <v>7214</v>
      </c>
      <c r="J1386" t="s">
        <v>165</v>
      </c>
      <c r="K1386" t="s">
        <v>166</v>
      </c>
      <c r="L1386" t="s">
        <v>63</v>
      </c>
      <c r="M1386" t="s">
        <v>72</v>
      </c>
      <c r="N1386" s="5"/>
      <c r="O1386" t="str">
        <f t="shared" si="21"/>
        <v/>
      </c>
    </row>
    <row r="1387" spans="1:15" x14ac:dyDescent="0.25">
      <c r="A1387" t="s">
        <v>7215</v>
      </c>
      <c r="B1387" t="s">
        <v>7216</v>
      </c>
      <c r="C1387" t="s">
        <v>7217</v>
      </c>
      <c r="D1387">
        <v>2022</v>
      </c>
      <c r="E1387" t="s">
        <v>7184</v>
      </c>
      <c r="F1387" t="s">
        <v>67</v>
      </c>
      <c r="G1387" t="s">
        <v>7218</v>
      </c>
      <c r="H1387" t="s">
        <v>7219</v>
      </c>
      <c r="I1387" t="s">
        <v>7220</v>
      </c>
      <c r="J1387" t="s">
        <v>98</v>
      </c>
      <c r="K1387" t="s">
        <v>99</v>
      </c>
      <c r="L1387" t="s">
        <v>63</v>
      </c>
      <c r="M1387" t="s">
        <v>72</v>
      </c>
      <c r="N1387" s="5"/>
      <c r="O1387" t="str">
        <f t="shared" si="21"/>
        <v/>
      </c>
    </row>
    <row r="1388" spans="1:15" x14ac:dyDescent="0.25">
      <c r="A1388" t="s">
        <v>7221</v>
      </c>
      <c r="B1388" t="s">
        <v>7222</v>
      </c>
      <c r="C1388" t="s">
        <v>1886</v>
      </c>
      <c r="D1388">
        <v>2022</v>
      </c>
      <c r="E1388" t="s">
        <v>7184</v>
      </c>
      <c r="F1388" t="s">
        <v>67</v>
      </c>
      <c r="G1388" t="s">
        <v>3288</v>
      </c>
      <c r="H1388" t="s">
        <v>7223</v>
      </c>
      <c r="I1388" t="s">
        <v>7224</v>
      </c>
      <c r="J1388" t="s">
        <v>71</v>
      </c>
      <c r="K1388" t="s">
        <v>18</v>
      </c>
      <c r="L1388" t="s">
        <v>72</v>
      </c>
      <c r="M1388" t="s">
        <v>72</v>
      </c>
      <c r="N1388" s="5"/>
      <c r="O1388" t="str">
        <f t="shared" si="21"/>
        <v/>
      </c>
    </row>
    <row r="1389" spans="1:15" x14ac:dyDescent="0.25">
      <c r="A1389" t="s">
        <v>7225</v>
      </c>
      <c r="B1389" t="s">
        <v>7226</v>
      </c>
      <c r="C1389" t="s">
        <v>1897</v>
      </c>
      <c r="D1389">
        <v>2022</v>
      </c>
      <c r="E1389" t="s">
        <v>7184</v>
      </c>
      <c r="F1389" t="s">
        <v>67</v>
      </c>
      <c r="G1389" t="s">
        <v>7227</v>
      </c>
      <c r="H1389" t="s">
        <v>7228</v>
      </c>
      <c r="I1389" t="s">
        <v>7229</v>
      </c>
      <c r="J1389" t="s">
        <v>71</v>
      </c>
      <c r="K1389" t="s">
        <v>18</v>
      </c>
      <c r="L1389" t="s">
        <v>72</v>
      </c>
      <c r="M1389" t="s">
        <v>72</v>
      </c>
      <c r="N1389" s="5"/>
      <c r="O1389" t="str">
        <f t="shared" si="21"/>
        <v/>
      </c>
    </row>
    <row r="1390" spans="1:15" x14ac:dyDescent="0.25">
      <c r="A1390" t="s">
        <v>7230</v>
      </c>
      <c r="B1390" t="s">
        <v>7231</v>
      </c>
      <c r="C1390" t="s">
        <v>1568</v>
      </c>
      <c r="D1390">
        <v>2022</v>
      </c>
      <c r="E1390" t="s">
        <v>7184</v>
      </c>
      <c r="F1390" t="s">
        <v>57</v>
      </c>
      <c r="G1390" t="s">
        <v>7232</v>
      </c>
      <c r="H1390" t="s">
        <v>7233</v>
      </c>
      <c r="I1390" t="s">
        <v>7234</v>
      </c>
      <c r="J1390" t="s">
        <v>98</v>
      </c>
      <c r="K1390" t="s">
        <v>99</v>
      </c>
      <c r="L1390" t="s">
        <v>63</v>
      </c>
      <c r="M1390" t="s">
        <v>72</v>
      </c>
      <c r="N1390" s="5"/>
      <c r="O1390" t="str">
        <f t="shared" si="21"/>
        <v/>
      </c>
    </row>
    <row r="1391" spans="1:15" x14ac:dyDescent="0.25">
      <c r="A1391" t="s">
        <v>7235</v>
      </c>
      <c r="B1391" t="s">
        <v>7236</v>
      </c>
      <c r="C1391" t="s">
        <v>7237</v>
      </c>
      <c r="D1391">
        <v>2022</v>
      </c>
      <c r="E1391" t="s">
        <v>7184</v>
      </c>
      <c r="F1391" t="s">
        <v>57</v>
      </c>
      <c r="G1391" t="s">
        <v>412</v>
      </c>
      <c r="H1391" t="s">
        <v>7238</v>
      </c>
      <c r="I1391" t="s">
        <v>7239</v>
      </c>
      <c r="J1391" t="s">
        <v>165</v>
      </c>
      <c r="K1391" t="s">
        <v>166</v>
      </c>
      <c r="L1391" t="s">
        <v>63</v>
      </c>
      <c r="M1391" t="s">
        <v>72</v>
      </c>
      <c r="N1391" s="5"/>
      <c r="O1391" t="str">
        <f t="shared" si="21"/>
        <v/>
      </c>
    </row>
    <row r="1392" spans="1:15" x14ac:dyDescent="0.25">
      <c r="A1392" t="s">
        <v>7240</v>
      </c>
      <c r="B1392" t="s">
        <v>7241</v>
      </c>
      <c r="C1392" t="s">
        <v>7242</v>
      </c>
      <c r="D1392">
        <v>2022</v>
      </c>
      <c r="E1392" t="s">
        <v>7184</v>
      </c>
      <c r="F1392" t="s">
        <v>67</v>
      </c>
      <c r="G1392" t="s">
        <v>7243</v>
      </c>
      <c r="H1392" t="s">
        <v>7244</v>
      </c>
      <c r="I1392" t="s">
        <v>7245</v>
      </c>
      <c r="J1392" t="s">
        <v>71</v>
      </c>
      <c r="K1392" t="s">
        <v>18</v>
      </c>
      <c r="L1392" t="s">
        <v>72</v>
      </c>
      <c r="M1392" t="s">
        <v>72</v>
      </c>
      <c r="N1392" s="5"/>
      <c r="O1392" t="str">
        <f t="shared" si="21"/>
        <v/>
      </c>
    </row>
    <row r="1393" spans="1:15" x14ac:dyDescent="0.25">
      <c r="A1393" t="s">
        <v>7246</v>
      </c>
      <c r="B1393" t="s">
        <v>7247</v>
      </c>
      <c r="C1393" t="s">
        <v>7248</v>
      </c>
      <c r="D1393">
        <v>2022</v>
      </c>
      <c r="E1393" t="s">
        <v>7184</v>
      </c>
      <c r="F1393" t="s">
        <v>67</v>
      </c>
      <c r="G1393" t="s">
        <v>151</v>
      </c>
      <c r="H1393" t="s">
        <v>7249</v>
      </c>
      <c r="I1393" t="s">
        <v>7250</v>
      </c>
      <c r="J1393" t="s">
        <v>71</v>
      </c>
      <c r="K1393" t="s">
        <v>18</v>
      </c>
      <c r="L1393" t="s">
        <v>72</v>
      </c>
      <c r="M1393" t="s">
        <v>72</v>
      </c>
      <c r="N1393" s="5"/>
      <c r="O1393" t="str">
        <f t="shared" si="21"/>
        <v/>
      </c>
    </row>
    <row r="1394" spans="1:15" x14ac:dyDescent="0.25">
      <c r="A1394" t="s">
        <v>7251</v>
      </c>
      <c r="B1394" t="s">
        <v>7252</v>
      </c>
      <c r="C1394" t="s">
        <v>7253</v>
      </c>
      <c r="D1394">
        <v>2022</v>
      </c>
      <c r="E1394" t="s">
        <v>7184</v>
      </c>
      <c r="F1394" t="s">
        <v>67</v>
      </c>
      <c r="G1394" t="s">
        <v>76</v>
      </c>
      <c r="H1394" t="s">
        <v>7254</v>
      </c>
      <c r="I1394" t="s">
        <v>7255</v>
      </c>
      <c r="J1394" t="s">
        <v>98</v>
      </c>
      <c r="K1394" t="s">
        <v>99</v>
      </c>
      <c r="L1394" t="s">
        <v>63</v>
      </c>
      <c r="M1394" t="s">
        <v>72</v>
      </c>
      <c r="N1394" s="5"/>
      <c r="O1394" t="str">
        <f t="shared" si="21"/>
        <v/>
      </c>
    </row>
    <row r="1395" spans="1:15" x14ac:dyDescent="0.25">
      <c r="A1395" t="s">
        <v>7256</v>
      </c>
      <c r="B1395" t="s">
        <v>7257</v>
      </c>
      <c r="C1395" t="s">
        <v>7258</v>
      </c>
      <c r="D1395">
        <v>2022</v>
      </c>
      <c r="E1395" t="s">
        <v>7184</v>
      </c>
      <c r="F1395" t="s">
        <v>67</v>
      </c>
      <c r="G1395" t="s">
        <v>7259</v>
      </c>
      <c r="H1395" t="s">
        <v>7260</v>
      </c>
      <c r="I1395" t="s">
        <v>7261</v>
      </c>
      <c r="J1395" t="s">
        <v>71</v>
      </c>
      <c r="K1395" t="s">
        <v>18</v>
      </c>
      <c r="L1395" t="s">
        <v>72</v>
      </c>
      <c r="M1395" t="s">
        <v>72</v>
      </c>
      <c r="N1395" s="5"/>
      <c r="O1395" t="str">
        <f t="shared" si="21"/>
        <v/>
      </c>
    </row>
    <row r="1396" spans="1:15" x14ac:dyDescent="0.25">
      <c r="A1396" t="s">
        <v>7262</v>
      </c>
      <c r="B1396" t="s">
        <v>7257</v>
      </c>
      <c r="C1396" t="s">
        <v>7263</v>
      </c>
      <c r="D1396">
        <v>2022</v>
      </c>
      <c r="E1396" t="s">
        <v>7184</v>
      </c>
      <c r="F1396" t="s">
        <v>67</v>
      </c>
      <c r="G1396" t="s">
        <v>7264</v>
      </c>
      <c r="H1396" t="s">
        <v>7260</v>
      </c>
      <c r="I1396" t="s">
        <v>7265</v>
      </c>
      <c r="J1396" t="s">
        <v>71</v>
      </c>
      <c r="K1396" t="s">
        <v>18</v>
      </c>
      <c r="L1396" t="s">
        <v>72</v>
      </c>
      <c r="M1396" t="s">
        <v>72</v>
      </c>
      <c r="N1396" s="5"/>
      <c r="O1396" t="str">
        <f t="shared" si="21"/>
        <v/>
      </c>
    </row>
    <row r="1397" spans="1:15" x14ac:dyDescent="0.25">
      <c r="A1397" t="s">
        <v>7266</v>
      </c>
      <c r="B1397" t="s">
        <v>7267</v>
      </c>
      <c r="C1397" t="s">
        <v>2791</v>
      </c>
      <c r="D1397">
        <v>2022</v>
      </c>
      <c r="E1397" t="s">
        <v>7184</v>
      </c>
      <c r="F1397" t="s">
        <v>67</v>
      </c>
      <c r="G1397" t="s">
        <v>7268</v>
      </c>
      <c r="H1397" t="s">
        <v>7269</v>
      </c>
      <c r="I1397" t="s">
        <v>7270</v>
      </c>
      <c r="J1397" t="s">
        <v>71</v>
      </c>
      <c r="K1397" t="s">
        <v>18</v>
      </c>
      <c r="L1397" t="s">
        <v>72</v>
      </c>
      <c r="M1397" t="s">
        <v>72</v>
      </c>
      <c r="N1397" s="5"/>
      <c r="O1397" t="str">
        <f t="shared" si="21"/>
        <v/>
      </c>
    </row>
    <row r="1398" spans="1:15" x14ac:dyDescent="0.25">
      <c r="A1398" t="s">
        <v>7271</v>
      </c>
      <c r="B1398" t="s">
        <v>7272</v>
      </c>
      <c r="C1398" t="s">
        <v>1181</v>
      </c>
      <c r="D1398">
        <v>2022</v>
      </c>
      <c r="E1398" t="s">
        <v>7184</v>
      </c>
      <c r="F1398" t="s">
        <v>67</v>
      </c>
      <c r="G1398" t="s">
        <v>3900</v>
      </c>
      <c r="H1398" t="s">
        <v>7273</v>
      </c>
      <c r="I1398" t="s">
        <v>7274</v>
      </c>
      <c r="J1398" t="s">
        <v>61</v>
      </c>
      <c r="K1398" t="s">
        <v>62</v>
      </c>
      <c r="L1398" t="s">
        <v>63</v>
      </c>
      <c r="M1398" t="s">
        <v>63</v>
      </c>
      <c r="N1398" s="5"/>
      <c r="O1398" t="str">
        <f t="shared" si="21"/>
        <v/>
      </c>
    </row>
    <row r="1399" spans="1:15" x14ac:dyDescent="0.25">
      <c r="A1399" t="s">
        <v>7275</v>
      </c>
      <c r="B1399" t="s">
        <v>7276</v>
      </c>
      <c r="C1399" t="s">
        <v>7277</v>
      </c>
      <c r="D1399">
        <v>2022</v>
      </c>
      <c r="E1399" t="s">
        <v>7184</v>
      </c>
      <c r="F1399" t="s">
        <v>57</v>
      </c>
      <c r="G1399" t="s">
        <v>418</v>
      </c>
      <c r="H1399" t="s">
        <v>7278</v>
      </c>
      <c r="I1399" t="s">
        <v>7279</v>
      </c>
      <c r="J1399" t="s">
        <v>61</v>
      </c>
      <c r="K1399" t="s">
        <v>62</v>
      </c>
      <c r="L1399" t="s">
        <v>63</v>
      </c>
      <c r="M1399" t="s">
        <v>63</v>
      </c>
      <c r="N1399" s="5"/>
      <c r="O1399" t="str">
        <f t="shared" si="21"/>
        <v/>
      </c>
    </row>
    <row r="1400" spans="1:15" x14ac:dyDescent="0.25">
      <c r="A1400" t="s">
        <v>7280</v>
      </c>
      <c r="B1400" t="s">
        <v>7281</v>
      </c>
      <c r="C1400" t="s">
        <v>5371</v>
      </c>
      <c r="D1400">
        <v>2022</v>
      </c>
      <c r="E1400" t="s">
        <v>7184</v>
      </c>
      <c r="F1400" t="s">
        <v>57</v>
      </c>
      <c r="G1400" t="s">
        <v>7282</v>
      </c>
      <c r="H1400" t="s">
        <v>7283</v>
      </c>
      <c r="I1400" t="s">
        <v>7284</v>
      </c>
      <c r="J1400" t="s">
        <v>165</v>
      </c>
      <c r="K1400" t="s">
        <v>166</v>
      </c>
      <c r="L1400" t="s">
        <v>63</v>
      </c>
      <c r="M1400" t="s">
        <v>72</v>
      </c>
      <c r="N1400" s="5"/>
      <c r="O1400" t="str">
        <f t="shared" si="21"/>
        <v/>
      </c>
    </row>
    <row r="1401" spans="1:15" x14ac:dyDescent="0.25">
      <c r="A1401" t="s">
        <v>7285</v>
      </c>
      <c r="B1401" t="s">
        <v>7286</v>
      </c>
      <c r="C1401" t="s">
        <v>7287</v>
      </c>
      <c r="D1401">
        <v>2022</v>
      </c>
      <c r="E1401" t="s">
        <v>7184</v>
      </c>
      <c r="F1401" t="s">
        <v>67</v>
      </c>
      <c r="G1401" t="s">
        <v>7288</v>
      </c>
      <c r="H1401" t="s">
        <v>7289</v>
      </c>
      <c r="I1401" t="s">
        <v>7290</v>
      </c>
      <c r="J1401" t="s">
        <v>71</v>
      </c>
      <c r="K1401" t="s">
        <v>18</v>
      </c>
      <c r="L1401" t="s">
        <v>72</v>
      </c>
      <c r="M1401" t="s">
        <v>72</v>
      </c>
      <c r="N1401" s="5"/>
      <c r="O1401" t="str">
        <f t="shared" si="21"/>
        <v/>
      </c>
    </row>
    <row r="1402" spans="1:15" x14ac:dyDescent="0.25">
      <c r="A1402" t="s">
        <v>7291</v>
      </c>
      <c r="B1402" t="s">
        <v>7292</v>
      </c>
      <c r="C1402" t="s">
        <v>7293</v>
      </c>
      <c r="D1402">
        <v>2022</v>
      </c>
      <c r="E1402" t="s">
        <v>7184</v>
      </c>
      <c r="F1402" t="s">
        <v>57</v>
      </c>
      <c r="G1402" t="s">
        <v>7294</v>
      </c>
      <c r="H1402" t="s">
        <v>7295</v>
      </c>
      <c r="I1402" t="s">
        <v>7296</v>
      </c>
      <c r="J1402" t="s">
        <v>87</v>
      </c>
      <c r="K1402" t="s">
        <v>19</v>
      </c>
      <c r="L1402" t="s">
        <v>72</v>
      </c>
      <c r="M1402" t="s">
        <v>72</v>
      </c>
      <c r="N1402" s="5"/>
      <c r="O1402" t="str">
        <f t="shared" si="21"/>
        <v/>
      </c>
    </row>
    <row r="1403" spans="1:15" x14ac:dyDescent="0.25">
      <c r="A1403" t="s">
        <v>7297</v>
      </c>
      <c r="B1403" t="s">
        <v>7298</v>
      </c>
      <c r="C1403" t="s">
        <v>2001</v>
      </c>
      <c r="D1403">
        <v>2022</v>
      </c>
      <c r="E1403" t="s">
        <v>7184</v>
      </c>
      <c r="F1403" t="s">
        <v>57</v>
      </c>
      <c r="G1403" t="s">
        <v>7299</v>
      </c>
      <c r="H1403" t="s">
        <v>7300</v>
      </c>
      <c r="I1403" t="s">
        <v>7301</v>
      </c>
      <c r="J1403" t="s">
        <v>61</v>
      </c>
      <c r="K1403" t="s">
        <v>62</v>
      </c>
      <c r="L1403" t="s">
        <v>63</v>
      </c>
      <c r="M1403" t="s">
        <v>63</v>
      </c>
      <c r="N1403" s="5"/>
      <c r="O1403" t="str">
        <f t="shared" si="21"/>
        <v/>
      </c>
    </row>
    <row r="1404" spans="1:15" x14ac:dyDescent="0.25">
      <c r="A1404" t="s">
        <v>7302</v>
      </c>
      <c r="B1404" t="s">
        <v>7303</v>
      </c>
      <c r="C1404" t="s">
        <v>7304</v>
      </c>
      <c r="D1404">
        <v>2022</v>
      </c>
      <c r="E1404" t="s">
        <v>7184</v>
      </c>
      <c r="F1404" t="s">
        <v>67</v>
      </c>
      <c r="G1404" t="s">
        <v>7305</v>
      </c>
      <c r="H1404" t="s">
        <v>7306</v>
      </c>
      <c r="I1404" t="s">
        <v>7307</v>
      </c>
      <c r="J1404" t="s">
        <v>87</v>
      </c>
      <c r="K1404" t="s">
        <v>19</v>
      </c>
      <c r="L1404" t="s">
        <v>72</v>
      </c>
      <c r="M1404" t="s">
        <v>72</v>
      </c>
      <c r="N1404" s="5"/>
      <c r="O1404" t="str">
        <f t="shared" si="21"/>
        <v/>
      </c>
    </row>
    <row r="1405" spans="1:15" x14ac:dyDescent="0.25">
      <c r="A1405" t="s">
        <v>7308</v>
      </c>
      <c r="B1405" t="s">
        <v>7309</v>
      </c>
      <c r="C1405" t="s">
        <v>6825</v>
      </c>
      <c r="D1405">
        <v>2022</v>
      </c>
      <c r="E1405" t="s">
        <v>7184</v>
      </c>
      <c r="F1405" t="s">
        <v>67</v>
      </c>
      <c r="G1405" t="s">
        <v>3900</v>
      </c>
      <c r="H1405" t="s">
        <v>7310</v>
      </c>
      <c r="I1405" t="s">
        <v>7311</v>
      </c>
      <c r="J1405" t="s">
        <v>71</v>
      </c>
      <c r="K1405" t="s">
        <v>18</v>
      </c>
      <c r="L1405" t="s">
        <v>72</v>
      </c>
      <c r="M1405" t="s">
        <v>72</v>
      </c>
      <c r="N1405" s="5"/>
      <c r="O1405" t="str">
        <f t="shared" si="21"/>
        <v/>
      </c>
    </row>
    <row r="1406" spans="1:15" x14ac:dyDescent="0.25">
      <c r="A1406" t="s">
        <v>7312</v>
      </c>
      <c r="B1406" t="s">
        <v>7313</v>
      </c>
      <c r="C1406" t="s">
        <v>7314</v>
      </c>
      <c r="D1406">
        <v>2022</v>
      </c>
      <c r="E1406" t="s">
        <v>7184</v>
      </c>
      <c r="F1406" t="s">
        <v>67</v>
      </c>
      <c r="G1406" t="s">
        <v>7315</v>
      </c>
      <c r="H1406" t="s">
        <v>7316</v>
      </c>
      <c r="I1406" t="s">
        <v>7317</v>
      </c>
      <c r="J1406" t="s">
        <v>87</v>
      </c>
      <c r="K1406" t="s">
        <v>19</v>
      </c>
      <c r="L1406" t="s">
        <v>72</v>
      </c>
      <c r="M1406" t="s">
        <v>72</v>
      </c>
      <c r="N1406" s="5"/>
      <c r="O1406" t="str">
        <f t="shared" si="21"/>
        <v/>
      </c>
    </row>
    <row r="1407" spans="1:15" x14ac:dyDescent="0.25">
      <c r="A1407" t="s">
        <v>7318</v>
      </c>
      <c r="B1407" t="s">
        <v>7319</v>
      </c>
      <c r="C1407" t="s">
        <v>7320</v>
      </c>
      <c r="D1407">
        <v>2022</v>
      </c>
      <c r="E1407" t="s">
        <v>7184</v>
      </c>
      <c r="F1407" t="s">
        <v>57</v>
      </c>
      <c r="G1407" t="s">
        <v>750</v>
      </c>
      <c r="H1407" t="s">
        <v>7321</v>
      </c>
      <c r="I1407" t="s">
        <v>7322</v>
      </c>
      <c r="J1407" t="s">
        <v>61</v>
      </c>
      <c r="K1407" t="s">
        <v>62</v>
      </c>
      <c r="L1407" t="s">
        <v>63</v>
      </c>
      <c r="M1407" t="s">
        <v>63</v>
      </c>
      <c r="N1407" s="5"/>
      <c r="O1407" t="str">
        <f t="shared" si="21"/>
        <v/>
      </c>
    </row>
    <row r="1408" spans="1:15" x14ac:dyDescent="0.25">
      <c r="A1408" t="s">
        <v>7323</v>
      </c>
      <c r="B1408" t="s">
        <v>7324</v>
      </c>
      <c r="C1408" t="s">
        <v>7325</v>
      </c>
      <c r="D1408">
        <v>2022</v>
      </c>
      <c r="E1408" t="s">
        <v>7184</v>
      </c>
      <c r="F1408" t="s">
        <v>57</v>
      </c>
      <c r="G1408" t="s">
        <v>7185</v>
      </c>
      <c r="H1408" t="s">
        <v>7326</v>
      </c>
      <c r="I1408" t="s">
        <v>7327</v>
      </c>
      <c r="J1408" t="s">
        <v>71</v>
      </c>
      <c r="K1408" t="s">
        <v>18</v>
      </c>
      <c r="L1408" t="s">
        <v>72</v>
      </c>
      <c r="M1408" t="s">
        <v>72</v>
      </c>
      <c r="N1408" s="5"/>
      <c r="O1408" t="str">
        <f t="shared" si="21"/>
        <v/>
      </c>
    </row>
    <row r="1409" spans="1:15" x14ac:dyDescent="0.25">
      <c r="A1409" t="s">
        <v>7328</v>
      </c>
      <c r="B1409" t="s">
        <v>7329</v>
      </c>
      <c r="C1409" t="s">
        <v>7330</v>
      </c>
      <c r="D1409">
        <v>2022</v>
      </c>
      <c r="E1409" t="s">
        <v>7184</v>
      </c>
      <c r="F1409" t="s">
        <v>57</v>
      </c>
      <c r="G1409" t="s">
        <v>7331</v>
      </c>
      <c r="H1409" t="s">
        <v>7332</v>
      </c>
      <c r="I1409" t="s">
        <v>7333</v>
      </c>
      <c r="J1409" t="s">
        <v>61</v>
      </c>
      <c r="K1409" t="s">
        <v>62</v>
      </c>
      <c r="L1409" t="s">
        <v>63</v>
      </c>
      <c r="M1409" t="s">
        <v>63</v>
      </c>
      <c r="N1409" s="5"/>
      <c r="O1409" t="str">
        <f t="shared" si="21"/>
        <v/>
      </c>
    </row>
    <row r="1410" spans="1:15" x14ac:dyDescent="0.25">
      <c r="A1410" t="s">
        <v>7334</v>
      </c>
      <c r="B1410" t="s">
        <v>7335</v>
      </c>
      <c r="C1410" t="s">
        <v>7336</v>
      </c>
      <c r="D1410">
        <v>2022</v>
      </c>
      <c r="E1410" t="s">
        <v>7184</v>
      </c>
      <c r="F1410" t="s">
        <v>67</v>
      </c>
      <c r="G1410" t="s">
        <v>3900</v>
      </c>
      <c r="H1410" t="s">
        <v>7337</v>
      </c>
      <c r="I1410" t="s">
        <v>7338</v>
      </c>
      <c r="J1410" t="s">
        <v>98</v>
      </c>
      <c r="K1410" t="s">
        <v>99</v>
      </c>
      <c r="L1410" t="s">
        <v>63</v>
      </c>
      <c r="M1410" t="s">
        <v>72</v>
      </c>
      <c r="N1410" s="5"/>
      <c r="O1410" t="str">
        <f t="shared" ref="O1410:O1473" si="22">IF(N1410="","",IF(N1410=J1410,1,0))</f>
        <v/>
      </c>
    </row>
    <row r="1411" spans="1:15" x14ac:dyDescent="0.25">
      <c r="A1411" t="s">
        <v>7339</v>
      </c>
      <c r="B1411" t="s">
        <v>7340</v>
      </c>
      <c r="C1411" t="s">
        <v>7341</v>
      </c>
      <c r="D1411">
        <v>2022</v>
      </c>
      <c r="E1411" t="s">
        <v>7184</v>
      </c>
      <c r="F1411" t="s">
        <v>57</v>
      </c>
      <c r="G1411" t="s">
        <v>7342</v>
      </c>
      <c r="H1411" t="s">
        <v>7343</v>
      </c>
      <c r="I1411" t="s">
        <v>7344</v>
      </c>
      <c r="J1411" t="s">
        <v>165</v>
      </c>
      <c r="K1411" t="s">
        <v>166</v>
      </c>
      <c r="L1411" t="s">
        <v>63</v>
      </c>
      <c r="M1411" t="s">
        <v>72</v>
      </c>
      <c r="N1411" s="5"/>
      <c r="O1411" t="str">
        <f t="shared" si="22"/>
        <v/>
      </c>
    </row>
    <row r="1412" spans="1:15" x14ac:dyDescent="0.25">
      <c r="A1412" t="s">
        <v>7345</v>
      </c>
      <c r="B1412" t="s">
        <v>7346</v>
      </c>
      <c r="C1412" t="s">
        <v>7347</v>
      </c>
      <c r="D1412">
        <v>2022</v>
      </c>
      <c r="E1412" t="s">
        <v>7184</v>
      </c>
      <c r="F1412" t="s">
        <v>67</v>
      </c>
      <c r="G1412" t="s">
        <v>7348</v>
      </c>
      <c r="H1412" t="s">
        <v>7349</v>
      </c>
      <c r="I1412" t="s">
        <v>7350</v>
      </c>
      <c r="J1412" t="s">
        <v>71</v>
      </c>
      <c r="K1412" t="s">
        <v>18</v>
      </c>
      <c r="L1412" t="s">
        <v>72</v>
      </c>
      <c r="M1412" t="s">
        <v>72</v>
      </c>
      <c r="N1412" s="5"/>
      <c r="O1412" t="str">
        <f t="shared" si="22"/>
        <v/>
      </c>
    </row>
    <row r="1413" spans="1:15" x14ac:dyDescent="0.25">
      <c r="A1413" t="s">
        <v>7351</v>
      </c>
      <c r="B1413" t="s">
        <v>7352</v>
      </c>
      <c r="C1413" t="s">
        <v>7353</v>
      </c>
      <c r="D1413">
        <v>2022</v>
      </c>
      <c r="E1413" t="s">
        <v>7184</v>
      </c>
      <c r="F1413" t="s">
        <v>67</v>
      </c>
      <c r="G1413" t="s">
        <v>151</v>
      </c>
      <c r="H1413" t="s">
        <v>7354</v>
      </c>
      <c r="I1413" t="s">
        <v>7355</v>
      </c>
      <c r="J1413" t="s">
        <v>71</v>
      </c>
      <c r="K1413" t="s">
        <v>18</v>
      </c>
      <c r="L1413" t="s">
        <v>72</v>
      </c>
      <c r="M1413" t="s">
        <v>72</v>
      </c>
      <c r="N1413" s="5"/>
      <c r="O1413" t="str">
        <f t="shared" si="22"/>
        <v/>
      </c>
    </row>
    <row r="1414" spans="1:15" x14ac:dyDescent="0.25">
      <c r="A1414" t="s">
        <v>7356</v>
      </c>
      <c r="B1414" t="s">
        <v>7357</v>
      </c>
      <c r="C1414" t="s">
        <v>7358</v>
      </c>
      <c r="D1414">
        <v>2022</v>
      </c>
      <c r="E1414" t="s">
        <v>7184</v>
      </c>
      <c r="F1414" t="s">
        <v>67</v>
      </c>
      <c r="G1414" t="s">
        <v>3900</v>
      </c>
      <c r="H1414" t="s">
        <v>7359</v>
      </c>
      <c r="I1414" t="s">
        <v>7360</v>
      </c>
      <c r="J1414" t="s">
        <v>71</v>
      </c>
      <c r="K1414" t="s">
        <v>18</v>
      </c>
      <c r="L1414" t="s">
        <v>72</v>
      </c>
      <c r="M1414" t="s">
        <v>72</v>
      </c>
      <c r="N1414" s="5"/>
      <c r="O1414" t="str">
        <f t="shared" si="22"/>
        <v/>
      </c>
    </row>
    <row r="1415" spans="1:15" x14ac:dyDescent="0.25">
      <c r="A1415" t="s">
        <v>7361</v>
      </c>
      <c r="B1415" t="s">
        <v>7362</v>
      </c>
      <c r="C1415" t="s">
        <v>7363</v>
      </c>
      <c r="D1415">
        <v>2022</v>
      </c>
      <c r="E1415" t="s">
        <v>7184</v>
      </c>
      <c r="F1415" t="s">
        <v>67</v>
      </c>
      <c r="G1415" t="s">
        <v>84</v>
      </c>
      <c r="H1415" t="s">
        <v>7364</v>
      </c>
      <c r="I1415" t="s">
        <v>7365</v>
      </c>
      <c r="J1415" t="s">
        <v>87</v>
      </c>
      <c r="K1415" t="s">
        <v>19</v>
      </c>
      <c r="L1415" t="s">
        <v>72</v>
      </c>
      <c r="M1415" t="s">
        <v>72</v>
      </c>
      <c r="N1415" s="5"/>
      <c r="O1415" t="str">
        <f t="shared" si="22"/>
        <v/>
      </c>
    </row>
    <row r="1416" spans="1:15" x14ac:dyDescent="0.25">
      <c r="A1416" t="s">
        <v>7366</v>
      </c>
      <c r="B1416" t="s">
        <v>7367</v>
      </c>
      <c r="C1416" t="s">
        <v>7368</v>
      </c>
      <c r="D1416">
        <v>2022</v>
      </c>
      <c r="E1416" t="s">
        <v>7184</v>
      </c>
      <c r="F1416" t="s">
        <v>57</v>
      </c>
      <c r="G1416" t="s">
        <v>7369</v>
      </c>
      <c r="H1416" t="s">
        <v>7370</v>
      </c>
      <c r="I1416" t="s">
        <v>7371</v>
      </c>
      <c r="J1416" t="s">
        <v>71</v>
      </c>
      <c r="K1416" t="s">
        <v>18</v>
      </c>
      <c r="L1416" t="s">
        <v>72</v>
      </c>
      <c r="M1416" t="s">
        <v>72</v>
      </c>
      <c r="N1416" s="5"/>
      <c r="O1416" t="str">
        <f t="shared" si="22"/>
        <v/>
      </c>
    </row>
    <row r="1417" spans="1:15" x14ac:dyDescent="0.25">
      <c r="A1417" t="s">
        <v>7372</v>
      </c>
      <c r="B1417" t="s">
        <v>7373</v>
      </c>
      <c r="C1417" t="s">
        <v>3178</v>
      </c>
      <c r="D1417">
        <v>2022</v>
      </c>
      <c r="E1417" t="s">
        <v>7184</v>
      </c>
      <c r="F1417" t="s">
        <v>57</v>
      </c>
      <c r="G1417" t="s">
        <v>992</v>
      </c>
      <c r="H1417" t="s">
        <v>7374</v>
      </c>
      <c r="I1417" t="s">
        <v>7375</v>
      </c>
      <c r="J1417" t="s">
        <v>71</v>
      </c>
      <c r="K1417" t="s">
        <v>18</v>
      </c>
      <c r="L1417" t="s">
        <v>72</v>
      </c>
      <c r="M1417" t="s">
        <v>72</v>
      </c>
      <c r="N1417" s="5"/>
      <c r="O1417" t="str">
        <f t="shared" si="22"/>
        <v/>
      </c>
    </row>
    <row r="1418" spans="1:15" x14ac:dyDescent="0.25">
      <c r="A1418" t="s">
        <v>7376</v>
      </c>
      <c r="B1418" t="s">
        <v>7377</v>
      </c>
      <c r="C1418" t="s">
        <v>7378</v>
      </c>
      <c r="D1418">
        <v>2022</v>
      </c>
      <c r="E1418" t="s">
        <v>7184</v>
      </c>
      <c r="F1418" t="s">
        <v>57</v>
      </c>
      <c r="G1418" t="s">
        <v>5705</v>
      </c>
      <c r="H1418" t="s">
        <v>7379</v>
      </c>
      <c r="I1418" t="s">
        <v>7380</v>
      </c>
      <c r="J1418" t="s">
        <v>71</v>
      </c>
      <c r="K1418" t="s">
        <v>18</v>
      </c>
      <c r="L1418" t="s">
        <v>72</v>
      </c>
      <c r="M1418" t="s">
        <v>72</v>
      </c>
      <c r="N1418" s="5"/>
      <c r="O1418" t="str">
        <f t="shared" si="22"/>
        <v/>
      </c>
    </row>
    <row r="1419" spans="1:15" x14ac:dyDescent="0.25">
      <c r="A1419" t="s">
        <v>7381</v>
      </c>
      <c r="B1419" t="s">
        <v>7382</v>
      </c>
      <c r="C1419" t="s">
        <v>1824</v>
      </c>
      <c r="D1419">
        <v>2022</v>
      </c>
      <c r="E1419" t="s">
        <v>7184</v>
      </c>
      <c r="F1419" t="s">
        <v>57</v>
      </c>
      <c r="G1419" t="s">
        <v>1682</v>
      </c>
      <c r="H1419" t="s">
        <v>7383</v>
      </c>
      <c r="I1419" t="s">
        <v>7384</v>
      </c>
      <c r="J1419" t="s">
        <v>98</v>
      </c>
      <c r="K1419" t="s">
        <v>99</v>
      </c>
      <c r="L1419" t="s">
        <v>63</v>
      </c>
      <c r="M1419" t="s">
        <v>72</v>
      </c>
      <c r="N1419" s="5"/>
      <c r="O1419" t="str">
        <f t="shared" si="22"/>
        <v/>
      </c>
    </row>
    <row r="1420" spans="1:15" x14ac:dyDescent="0.25">
      <c r="A1420" t="s">
        <v>7385</v>
      </c>
      <c r="B1420" t="s">
        <v>7386</v>
      </c>
      <c r="C1420" t="s">
        <v>7387</v>
      </c>
      <c r="D1420">
        <v>2022</v>
      </c>
      <c r="E1420" t="s">
        <v>7184</v>
      </c>
      <c r="F1420" t="s">
        <v>57</v>
      </c>
      <c r="G1420" t="s">
        <v>7388</v>
      </c>
      <c r="H1420" t="s">
        <v>7389</v>
      </c>
      <c r="I1420" t="s">
        <v>7390</v>
      </c>
      <c r="J1420" t="s">
        <v>71</v>
      </c>
      <c r="K1420" t="s">
        <v>18</v>
      </c>
      <c r="L1420" t="s">
        <v>72</v>
      </c>
      <c r="M1420" t="s">
        <v>72</v>
      </c>
      <c r="N1420" s="5"/>
      <c r="O1420" t="str">
        <f t="shared" si="22"/>
        <v/>
      </c>
    </row>
    <row r="1421" spans="1:15" x14ac:dyDescent="0.25">
      <c r="A1421" t="s">
        <v>7391</v>
      </c>
      <c r="B1421" t="s">
        <v>7392</v>
      </c>
      <c r="C1421" t="s">
        <v>7393</v>
      </c>
      <c r="D1421">
        <v>2022</v>
      </c>
      <c r="E1421" t="s">
        <v>7184</v>
      </c>
      <c r="F1421" t="s">
        <v>67</v>
      </c>
      <c r="G1421" t="s">
        <v>7268</v>
      </c>
      <c r="H1421" t="s">
        <v>7394</v>
      </c>
      <c r="I1421" t="s">
        <v>7395</v>
      </c>
      <c r="J1421" t="s">
        <v>71</v>
      </c>
      <c r="K1421" t="s">
        <v>18</v>
      </c>
      <c r="L1421" t="s">
        <v>72</v>
      </c>
      <c r="M1421" t="s">
        <v>72</v>
      </c>
      <c r="N1421" s="5"/>
      <c r="O1421" t="str">
        <f t="shared" si="22"/>
        <v/>
      </c>
    </row>
    <row r="1422" spans="1:15" x14ac:dyDescent="0.25">
      <c r="A1422" t="s">
        <v>7396</v>
      </c>
      <c r="B1422" t="s">
        <v>7397</v>
      </c>
      <c r="C1422" t="s">
        <v>7398</v>
      </c>
      <c r="D1422">
        <v>2022</v>
      </c>
      <c r="E1422" t="s">
        <v>7184</v>
      </c>
      <c r="F1422" t="s">
        <v>57</v>
      </c>
      <c r="G1422" t="s">
        <v>7399</v>
      </c>
      <c r="H1422" t="s">
        <v>7400</v>
      </c>
      <c r="I1422" t="s">
        <v>7401</v>
      </c>
      <c r="J1422" t="s">
        <v>61</v>
      </c>
      <c r="K1422" t="s">
        <v>62</v>
      </c>
      <c r="L1422" t="s">
        <v>63</v>
      </c>
      <c r="M1422" t="s">
        <v>63</v>
      </c>
      <c r="N1422" s="5"/>
      <c r="O1422" t="str">
        <f t="shared" si="22"/>
        <v/>
      </c>
    </row>
    <row r="1423" spans="1:15" x14ac:dyDescent="0.25">
      <c r="A1423" t="s">
        <v>7402</v>
      </c>
      <c r="B1423" t="s">
        <v>7403</v>
      </c>
      <c r="C1423" t="s">
        <v>7404</v>
      </c>
      <c r="D1423">
        <v>2022</v>
      </c>
      <c r="E1423" t="s">
        <v>7184</v>
      </c>
      <c r="F1423" t="s">
        <v>67</v>
      </c>
      <c r="G1423" t="s">
        <v>772</v>
      </c>
      <c r="H1423" t="s">
        <v>7405</v>
      </c>
      <c r="I1423" t="s">
        <v>7406</v>
      </c>
      <c r="J1423" t="s">
        <v>71</v>
      </c>
      <c r="K1423" t="s">
        <v>18</v>
      </c>
      <c r="L1423" t="s">
        <v>72</v>
      </c>
      <c r="M1423" t="s">
        <v>72</v>
      </c>
      <c r="N1423" s="5"/>
      <c r="O1423" t="str">
        <f t="shared" si="22"/>
        <v/>
      </c>
    </row>
    <row r="1424" spans="1:15" x14ac:dyDescent="0.25">
      <c r="A1424" t="s">
        <v>7407</v>
      </c>
      <c r="B1424" t="s">
        <v>7408</v>
      </c>
      <c r="C1424" t="s">
        <v>1181</v>
      </c>
      <c r="D1424">
        <v>2022</v>
      </c>
      <c r="E1424" t="s">
        <v>7184</v>
      </c>
      <c r="F1424" t="s">
        <v>67</v>
      </c>
      <c r="G1424" t="s">
        <v>3900</v>
      </c>
      <c r="H1424" t="s">
        <v>7409</v>
      </c>
      <c r="I1424" t="s">
        <v>7410</v>
      </c>
      <c r="J1424" t="s">
        <v>61</v>
      </c>
      <c r="K1424" t="s">
        <v>62</v>
      </c>
      <c r="L1424" t="s">
        <v>63</v>
      </c>
      <c r="M1424" t="s">
        <v>63</v>
      </c>
      <c r="N1424" s="5"/>
      <c r="O1424" t="str">
        <f t="shared" si="22"/>
        <v/>
      </c>
    </row>
    <row r="1425" spans="1:15" x14ac:dyDescent="0.25">
      <c r="A1425" t="s">
        <v>7411</v>
      </c>
      <c r="B1425" t="s">
        <v>7412</v>
      </c>
      <c r="C1425" t="s">
        <v>7413</v>
      </c>
      <c r="D1425">
        <v>2022</v>
      </c>
      <c r="E1425" t="s">
        <v>7184</v>
      </c>
      <c r="F1425" t="s">
        <v>57</v>
      </c>
      <c r="G1425" t="s">
        <v>279</v>
      </c>
      <c r="H1425" t="s">
        <v>7414</v>
      </c>
      <c r="I1425" t="s">
        <v>7415</v>
      </c>
      <c r="J1425" t="s">
        <v>98</v>
      </c>
      <c r="K1425" t="s">
        <v>99</v>
      </c>
      <c r="L1425" t="s">
        <v>63</v>
      </c>
      <c r="M1425" t="s">
        <v>72</v>
      </c>
      <c r="N1425" s="5"/>
      <c r="O1425" t="str">
        <f t="shared" si="22"/>
        <v/>
      </c>
    </row>
    <row r="1426" spans="1:15" x14ac:dyDescent="0.25">
      <c r="A1426" t="s">
        <v>7416</v>
      </c>
      <c r="B1426" t="s">
        <v>7417</v>
      </c>
      <c r="C1426" t="s">
        <v>7418</v>
      </c>
      <c r="D1426">
        <v>2022</v>
      </c>
      <c r="E1426" t="s">
        <v>7184</v>
      </c>
      <c r="F1426" t="s">
        <v>57</v>
      </c>
      <c r="G1426" t="s">
        <v>3591</v>
      </c>
      <c r="H1426" t="s">
        <v>7419</v>
      </c>
      <c r="I1426" t="s">
        <v>7420</v>
      </c>
      <c r="J1426" t="s">
        <v>79</v>
      </c>
      <c r="K1426" t="s">
        <v>80</v>
      </c>
      <c r="L1426" t="s">
        <v>72</v>
      </c>
      <c r="M1426" t="s">
        <v>72</v>
      </c>
      <c r="N1426" s="5"/>
      <c r="O1426" t="str">
        <f t="shared" si="22"/>
        <v/>
      </c>
    </row>
    <row r="1427" spans="1:15" x14ac:dyDescent="0.25">
      <c r="A1427" t="s">
        <v>7421</v>
      </c>
      <c r="B1427" t="s">
        <v>7422</v>
      </c>
      <c r="C1427" t="s">
        <v>6737</v>
      </c>
      <c r="D1427">
        <v>2022</v>
      </c>
      <c r="E1427" t="s">
        <v>7184</v>
      </c>
      <c r="F1427" t="s">
        <v>67</v>
      </c>
      <c r="G1427" t="s">
        <v>7423</v>
      </c>
      <c r="H1427" t="s">
        <v>7424</v>
      </c>
      <c r="I1427" t="s">
        <v>7425</v>
      </c>
      <c r="J1427" t="s">
        <v>71</v>
      </c>
      <c r="K1427" t="s">
        <v>18</v>
      </c>
      <c r="L1427" t="s">
        <v>72</v>
      </c>
      <c r="M1427" t="s">
        <v>72</v>
      </c>
      <c r="N1427" s="5"/>
      <c r="O1427" t="str">
        <f t="shared" si="22"/>
        <v/>
      </c>
    </row>
    <row r="1428" spans="1:15" x14ac:dyDescent="0.25">
      <c r="A1428" t="s">
        <v>7426</v>
      </c>
      <c r="B1428" t="s">
        <v>7427</v>
      </c>
      <c r="C1428" t="s">
        <v>5876</v>
      </c>
      <c r="D1428">
        <v>2022</v>
      </c>
      <c r="E1428" t="s">
        <v>7184</v>
      </c>
      <c r="F1428" t="s">
        <v>67</v>
      </c>
      <c r="G1428" t="s">
        <v>188</v>
      </c>
      <c r="H1428" t="s">
        <v>7428</v>
      </c>
      <c r="I1428" t="s">
        <v>7429</v>
      </c>
      <c r="J1428" t="s">
        <v>98</v>
      </c>
      <c r="K1428" t="s">
        <v>99</v>
      </c>
      <c r="L1428" t="s">
        <v>63</v>
      </c>
      <c r="M1428" t="s">
        <v>72</v>
      </c>
      <c r="N1428" s="5"/>
      <c r="O1428" t="str">
        <f t="shared" si="22"/>
        <v/>
      </c>
    </row>
    <row r="1429" spans="1:15" x14ac:dyDescent="0.25">
      <c r="A1429" t="s">
        <v>7430</v>
      </c>
      <c r="B1429" t="s">
        <v>7431</v>
      </c>
      <c r="C1429" t="s">
        <v>367</v>
      </c>
      <c r="D1429">
        <v>2022</v>
      </c>
      <c r="E1429" t="s">
        <v>7184</v>
      </c>
      <c r="F1429" t="s">
        <v>57</v>
      </c>
      <c r="G1429" t="s">
        <v>7432</v>
      </c>
      <c r="H1429" t="s">
        <v>7433</v>
      </c>
      <c r="I1429" t="s">
        <v>7434</v>
      </c>
      <c r="J1429" t="s">
        <v>87</v>
      </c>
      <c r="K1429" t="s">
        <v>19</v>
      </c>
      <c r="L1429" t="s">
        <v>72</v>
      </c>
      <c r="M1429" t="s">
        <v>72</v>
      </c>
      <c r="N1429" s="5"/>
      <c r="O1429" t="str">
        <f t="shared" si="22"/>
        <v/>
      </c>
    </row>
    <row r="1430" spans="1:15" x14ac:dyDescent="0.25">
      <c r="A1430" t="s">
        <v>7435</v>
      </c>
      <c r="B1430" t="s">
        <v>7436</v>
      </c>
      <c r="C1430" t="s">
        <v>7437</v>
      </c>
      <c r="D1430">
        <v>2022</v>
      </c>
      <c r="E1430" t="s">
        <v>7184</v>
      </c>
      <c r="F1430" t="s">
        <v>57</v>
      </c>
      <c r="G1430" t="s">
        <v>596</v>
      </c>
      <c r="H1430" t="s">
        <v>7438</v>
      </c>
      <c r="I1430" t="s">
        <v>7439</v>
      </c>
      <c r="J1430" t="s">
        <v>165</v>
      </c>
      <c r="K1430" t="s">
        <v>166</v>
      </c>
      <c r="L1430" t="s">
        <v>63</v>
      </c>
      <c r="M1430" t="s">
        <v>72</v>
      </c>
      <c r="N1430" s="5"/>
      <c r="O1430" t="str">
        <f t="shared" si="22"/>
        <v/>
      </c>
    </row>
    <row r="1431" spans="1:15" x14ac:dyDescent="0.25">
      <c r="A1431" t="s">
        <v>7440</v>
      </c>
      <c r="B1431" t="s">
        <v>7441</v>
      </c>
      <c r="C1431" t="s">
        <v>3535</v>
      </c>
      <c r="D1431">
        <v>2022</v>
      </c>
      <c r="E1431" t="s">
        <v>7184</v>
      </c>
      <c r="F1431" t="s">
        <v>67</v>
      </c>
      <c r="G1431" t="s">
        <v>3288</v>
      </c>
      <c r="H1431" t="s">
        <v>7442</v>
      </c>
      <c r="I1431" t="s">
        <v>7443</v>
      </c>
      <c r="J1431" t="s">
        <v>98</v>
      </c>
      <c r="K1431" t="s">
        <v>99</v>
      </c>
      <c r="L1431" t="s">
        <v>63</v>
      </c>
      <c r="M1431" t="s">
        <v>72</v>
      </c>
      <c r="N1431" s="5"/>
      <c r="O1431" t="str">
        <f t="shared" si="22"/>
        <v/>
      </c>
    </row>
    <row r="1432" spans="1:15" x14ac:dyDescent="0.25">
      <c r="A1432" t="s">
        <v>7444</v>
      </c>
      <c r="B1432" t="s">
        <v>7445</v>
      </c>
      <c r="C1432" t="s">
        <v>7446</v>
      </c>
      <c r="D1432">
        <v>2022</v>
      </c>
      <c r="E1432" t="s">
        <v>7184</v>
      </c>
      <c r="F1432" t="s">
        <v>67</v>
      </c>
      <c r="G1432" t="s">
        <v>188</v>
      </c>
      <c r="H1432" t="s">
        <v>7447</v>
      </c>
      <c r="I1432" t="s">
        <v>7448</v>
      </c>
      <c r="J1432" t="s">
        <v>71</v>
      </c>
      <c r="K1432" t="s">
        <v>18</v>
      </c>
      <c r="L1432" t="s">
        <v>72</v>
      </c>
      <c r="M1432" t="s">
        <v>72</v>
      </c>
      <c r="N1432" s="5"/>
      <c r="O1432" t="str">
        <f t="shared" si="22"/>
        <v/>
      </c>
    </row>
    <row r="1433" spans="1:15" x14ac:dyDescent="0.25">
      <c r="A1433" t="s">
        <v>7449</v>
      </c>
      <c r="B1433" t="s">
        <v>7450</v>
      </c>
      <c r="C1433" t="s">
        <v>7063</v>
      </c>
      <c r="D1433">
        <v>2022</v>
      </c>
      <c r="E1433" t="s">
        <v>7184</v>
      </c>
      <c r="F1433" t="s">
        <v>67</v>
      </c>
      <c r="G1433" t="s">
        <v>3900</v>
      </c>
      <c r="H1433" t="s">
        <v>7451</v>
      </c>
      <c r="I1433" t="s">
        <v>7452</v>
      </c>
      <c r="J1433" t="s">
        <v>87</v>
      </c>
      <c r="K1433" t="s">
        <v>19</v>
      </c>
      <c r="L1433" t="s">
        <v>72</v>
      </c>
      <c r="M1433" t="s">
        <v>72</v>
      </c>
      <c r="N1433" s="5"/>
      <c r="O1433" t="str">
        <f t="shared" si="22"/>
        <v/>
      </c>
    </row>
    <row r="1434" spans="1:15" x14ac:dyDescent="0.25">
      <c r="A1434" t="s">
        <v>7453</v>
      </c>
      <c r="B1434" t="s">
        <v>7454</v>
      </c>
      <c r="C1434" t="s">
        <v>2001</v>
      </c>
      <c r="D1434">
        <v>2022</v>
      </c>
      <c r="E1434" t="s">
        <v>7184</v>
      </c>
      <c r="F1434" t="s">
        <v>57</v>
      </c>
      <c r="G1434" t="s">
        <v>766</v>
      </c>
      <c r="H1434" t="s">
        <v>7455</v>
      </c>
      <c r="I1434" t="s">
        <v>7456</v>
      </c>
      <c r="J1434" t="s">
        <v>61</v>
      </c>
      <c r="K1434" t="s">
        <v>62</v>
      </c>
      <c r="L1434" t="s">
        <v>63</v>
      </c>
      <c r="M1434" t="s">
        <v>63</v>
      </c>
      <c r="N1434" s="5"/>
      <c r="O1434" t="str">
        <f t="shared" si="22"/>
        <v/>
      </c>
    </row>
    <row r="1435" spans="1:15" x14ac:dyDescent="0.25">
      <c r="A1435" t="s">
        <v>7457</v>
      </c>
      <c r="B1435" t="s">
        <v>7458</v>
      </c>
      <c r="C1435" t="s">
        <v>4483</v>
      </c>
      <c r="D1435">
        <v>2022</v>
      </c>
      <c r="E1435" t="s">
        <v>7184</v>
      </c>
      <c r="F1435" t="s">
        <v>57</v>
      </c>
      <c r="G1435" t="s">
        <v>7459</v>
      </c>
      <c r="H1435" t="s">
        <v>7460</v>
      </c>
      <c r="I1435" t="s">
        <v>7461</v>
      </c>
      <c r="J1435" t="s">
        <v>71</v>
      </c>
      <c r="K1435" t="s">
        <v>18</v>
      </c>
      <c r="L1435" t="s">
        <v>72</v>
      </c>
      <c r="M1435" t="s">
        <v>72</v>
      </c>
      <c r="N1435" s="5"/>
      <c r="O1435" t="str">
        <f t="shared" si="22"/>
        <v/>
      </c>
    </row>
    <row r="1436" spans="1:15" x14ac:dyDescent="0.25">
      <c r="A1436" t="s">
        <v>7462</v>
      </c>
      <c r="B1436" t="s">
        <v>7463</v>
      </c>
      <c r="C1436" t="s">
        <v>7464</v>
      </c>
      <c r="D1436">
        <v>2022</v>
      </c>
      <c r="E1436" t="s">
        <v>7184</v>
      </c>
      <c r="F1436" t="s">
        <v>67</v>
      </c>
      <c r="G1436" t="s">
        <v>986</v>
      </c>
      <c r="H1436" t="s">
        <v>7465</v>
      </c>
      <c r="I1436" t="s">
        <v>7466</v>
      </c>
      <c r="J1436" t="s">
        <v>71</v>
      </c>
      <c r="K1436" t="s">
        <v>18</v>
      </c>
      <c r="L1436" t="s">
        <v>72</v>
      </c>
      <c r="M1436" t="s">
        <v>72</v>
      </c>
      <c r="N1436" s="5"/>
      <c r="O1436" t="str">
        <f t="shared" si="22"/>
        <v/>
      </c>
    </row>
    <row r="1437" spans="1:15" x14ac:dyDescent="0.25">
      <c r="A1437" t="s">
        <v>7467</v>
      </c>
      <c r="B1437" t="s">
        <v>7468</v>
      </c>
      <c r="C1437" t="s">
        <v>661</v>
      </c>
      <c r="D1437">
        <v>2022</v>
      </c>
      <c r="E1437" t="s">
        <v>7184</v>
      </c>
      <c r="F1437" t="s">
        <v>67</v>
      </c>
      <c r="G1437" t="s">
        <v>3900</v>
      </c>
      <c r="H1437" t="s">
        <v>7469</v>
      </c>
      <c r="I1437" t="s">
        <v>7470</v>
      </c>
      <c r="J1437" t="s">
        <v>71</v>
      </c>
      <c r="K1437" t="s">
        <v>18</v>
      </c>
      <c r="L1437" t="s">
        <v>72</v>
      </c>
      <c r="M1437" t="s">
        <v>72</v>
      </c>
      <c r="N1437" s="5"/>
      <c r="O1437" t="str">
        <f t="shared" si="22"/>
        <v/>
      </c>
    </row>
    <row r="1438" spans="1:15" x14ac:dyDescent="0.25">
      <c r="A1438" t="s">
        <v>7471</v>
      </c>
      <c r="B1438" t="s">
        <v>2242</v>
      </c>
      <c r="C1438" t="s">
        <v>7472</v>
      </c>
      <c r="D1438">
        <v>2022</v>
      </c>
      <c r="E1438" t="s">
        <v>7184</v>
      </c>
      <c r="F1438" t="s">
        <v>67</v>
      </c>
      <c r="G1438" t="s">
        <v>7473</v>
      </c>
      <c r="H1438" t="s">
        <v>7474</v>
      </c>
      <c r="I1438" t="s">
        <v>7475</v>
      </c>
      <c r="J1438" t="s">
        <v>71</v>
      </c>
      <c r="K1438" t="s">
        <v>18</v>
      </c>
      <c r="L1438" t="s">
        <v>72</v>
      </c>
      <c r="M1438" t="s">
        <v>72</v>
      </c>
      <c r="N1438" s="5"/>
      <c r="O1438" t="str">
        <f t="shared" si="22"/>
        <v/>
      </c>
    </row>
    <row r="1439" spans="1:15" x14ac:dyDescent="0.25">
      <c r="A1439" t="s">
        <v>7476</v>
      </c>
      <c r="B1439" t="s">
        <v>7477</v>
      </c>
      <c r="C1439" t="s">
        <v>7478</v>
      </c>
      <c r="D1439">
        <v>2022</v>
      </c>
      <c r="E1439" t="s">
        <v>7184</v>
      </c>
      <c r="F1439" t="s">
        <v>57</v>
      </c>
      <c r="G1439" t="s">
        <v>7479</v>
      </c>
      <c r="H1439" t="s">
        <v>7480</v>
      </c>
      <c r="I1439" t="s">
        <v>7481</v>
      </c>
      <c r="J1439" t="s">
        <v>71</v>
      </c>
      <c r="K1439" t="s">
        <v>18</v>
      </c>
      <c r="L1439" t="s">
        <v>72</v>
      </c>
      <c r="M1439" t="s">
        <v>72</v>
      </c>
      <c r="N1439" s="5"/>
      <c r="O1439" t="str">
        <f t="shared" si="22"/>
        <v/>
      </c>
    </row>
    <row r="1440" spans="1:15" x14ac:dyDescent="0.25">
      <c r="A1440" t="s">
        <v>7482</v>
      </c>
      <c r="B1440" t="s">
        <v>7483</v>
      </c>
      <c r="C1440" t="s">
        <v>6663</v>
      </c>
      <c r="D1440">
        <v>2022</v>
      </c>
      <c r="E1440" t="s">
        <v>7184</v>
      </c>
      <c r="F1440" t="s">
        <v>67</v>
      </c>
      <c r="G1440" t="s">
        <v>3900</v>
      </c>
      <c r="H1440" t="s">
        <v>7484</v>
      </c>
      <c r="I1440" t="s">
        <v>7485</v>
      </c>
      <c r="J1440" t="s">
        <v>79</v>
      </c>
      <c r="K1440" t="s">
        <v>80</v>
      </c>
      <c r="L1440" t="s">
        <v>72</v>
      </c>
      <c r="M1440" t="s">
        <v>72</v>
      </c>
      <c r="N1440" s="5"/>
      <c r="O1440" t="str">
        <f t="shared" si="22"/>
        <v/>
      </c>
    </row>
    <row r="1441" spans="1:15" x14ac:dyDescent="0.25">
      <c r="A1441" t="s">
        <v>7486</v>
      </c>
      <c r="B1441" t="s">
        <v>7487</v>
      </c>
      <c r="C1441" t="s">
        <v>7488</v>
      </c>
      <c r="D1441">
        <v>2022</v>
      </c>
      <c r="E1441" t="s">
        <v>7184</v>
      </c>
      <c r="F1441" t="s">
        <v>57</v>
      </c>
      <c r="G1441" t="s">
        <v>7489</v>
      </c>
      <c r="H1441" t="s">
        <v>7490</v>
      </c>
      <c r="I1441" t="s">
        <v>7491</v>
      </c>
      <c r="J1441" t="s">
        <v>71</v>
      </c>
      <c r="K1441" t="s">
        <v>18</v>
      </c>
      <c r="L1441" t="s">
        <v>72</v>
      </c>
      <c r="M1441" t="s">
        <v>72</v>
      </c>
      <c r="N1441" s="5"/>
      <c r="O1441" t="str">
        <f t="shared" si="22"/>
        <v/>
      </c>
    </row>
    <row r="1442" spans="1:15" x14ac:dyDescent="0.25">
      <c r="A1442" t="s">
        <v>7492</v>
      </c>
      <c r="B1442" t="s">
        <v>7493</v>
      </c>
      <c r="C1442" t="s">
        <v>538</v>
      </c>
      <c r="D1442">
        <v>2022</v>
      </c>
      <c r="E1442" t="s">
        <v>7184</v>
      </c>
      <c r="F1442" t="s">
        <v>57</v>
      </c>
      <c r="G1442" t="s">
        <v>750</v>
      </c>
      <c r="H1442" t="s">
        <v>7494</v>
      </c>
      <c r="I1442" t="s">
        <v>7495</v>
      </c>
      <c r="J1442" t="s">
        <v>98</v>
      </c>
      <c r="K1442" t="s">
        <v>99</v>
      </c>
      <c r="L1442" t="s">
        <v>63</v>
      </c>
      <c r="M1442" t="s">
        <v>72</v>
      </c>
      <c r="N1442" s="5"/>
      <c r="O1442" t="str">
        <f t="shared" si="22"/>
        <v/>
      </c>
    </row>
    <row r="1443" spans="1:15" x14ac:dyDescent="0.25">
      <c r="A1443" t="s">
        <v>7496</v>
      </c>
      <c r="B1443" t="s">
        <v>7497</v>
      </c>
      <c r="C1443" t="s">
        <v>1613</v>
      </c>
      <c r="D1443">
        <v>2022</v>
      </c>
      <c r="E1443" t="s">
        <v>7184</v>
      </c>
      <c r="F1443" t="s">
        <v>57</v>
      </c>
      <c r="G1443" t="s">
        <v>7232</v>
      </c>
      <c r="H1443" t="s">
        <v>7498</v>
      </c>
      <c r="I1443" t="s">
        <v>7499</v>
      </c>
      <c r="J1443" t="s">
        <v>79</v>
      </c>
      <c r="K1443" t="s">
        <v>80</v>
      </c>
      <c r="L1443" t="s">
        <v>72</v>
      </c>
      <c r="M1443" t="s">
        <v>72</v>
      </c>
      <c r="N1443" s="5"/>
      <c r="O1443" t="str">
        <f t="shared" si="22"/>
        <v/>
      </c>
    </row>
    <row r="1444" spans="1:15" x14ac:dyDescent="0.25">
      <c r="A1444" t="s">
        <v>7500</v>
      </c>
      <c r="B1444" t="s">
        <v>7501</v>
      </c>
      <c r="C1444" t="s">
        <v>7502</v>
      </c>
      <c r="D1444">
        <v>2022</v>
      </c>
      <c r="E1444" t="s">
        <v>7184</v>
      </c>
      <c r="F1444" t="s">
        <v>57</v>
      </c>
      <c r="G1444" t="s">
        <v>932</v>
      </c>
      <c r="H1444" t="s">
        <v>7503</v>
      </c>
      <c r="I1444" t="s">
        <v>7504</v>
      </c>
      <c r="J1444" t="s">
        <v>71</v>
      </c>
      <c r="K1444" t="s">
        <v>18</v>
      </c>
      <c r="L1444" t="s">
        <v>72</v>
      </c>
      <c r="M1444" t="s">
        <v>72</v>
      </c>
      <c r="N1444" s="5"/>
      <c r="O1444" t="str">
        <f t="shared" si="22"/>
        <v/>
      </c>
    </row>
    <row r="1445" spans="1:15" x14ac:dyDescent="0.25">
      <c r="A1445" t="s">
        <v>7505</v>
      </c>
      <c r="B1445" t="s">
        <v>7506</v>
      </c>
      <c r="C1445" t="s">
        <v>5135</v>
      </c>
      <c r="D1445">
        <v>2022</v>
      </c>
      <c r="E1445" t="s">
        <v>7184</v>
      </c>
      <c r="F1445" t="s">
        <v>67</v>
      </c>
      <c r="G1445" t="s">
        <v>7507</v>
      </c>
      <c r="H1445" t="s">
        <v>7508</v>
      </c>
      <c r="I1445" t="s">
        <v>7509</v>
      </c>
      <c r="J1445" t="s">
        <v>71</v>
      </c>
      <c r="K1445" t="s">
        <v>18</v>
      </c>
      <c r="L1445" t="s">
        <v>72</v>
      </c>
      <c r="M1445" t="s">
        <v>72</v>
      </c>
      <c r="N1445" s="5"/>
      <c r="O1445" t="str">
        <f t="shared" si="22"/>
        <v/>
      </c>
    </row>
    <row r="1446" spans="1:15" x14ac:dyDescent="0.25">
      <c r="A1446" t="s">
        <v>7510</v>
      </c>
      <c r="B1446" t="s">
        <v>7511</v>
      </c>
      <c r="C1446" t="s">
        <v>1897</v>
      </c>
      <c r="D1446">
        <v>2022</v>
      </c>
      <c r="E1446" t="s">
        <v>7184</v>
      </c>
      <c r="F1446" t="s">
        <v>67</v>
      </c>
      <c r="G1446" t="s">
        <v>7512</v>
      </c>
      <c r="H1446" t="s">
        <v>7513</v>
      </c>
      <c r="I1446" t="s">
        <v>7514</v>
      </c>
      <c r="J1446" t="s">
        <v>71</v>
      </c>
      <c r="K1446" t="s">
        <v>18</v>
      </c>
      <c r="L1446" t="s">
        <v>72</v>
      </c>
      <c r="M1446" t="s">
        <v>72</v>
      </c>
      <c r="N1446" s="5"/>
      <c r="O1446" t="str">
        <f t="shared" si="22"/>
        <v/>
      </c>
    </row>
    <row r="1447" spans="1:15" x14ac:dyDescent="0.25">
      <c r="A1447" t="s">
        <v>7515</v>
      </c>
      <c r="B1447" t="s">
        <v>7516</v>
      </c>
      <c r="C1447" t="s">
        <v>7517</v>
      </c>
      <c r="D1447">
        <v>2022</v>
      </c>
      <c r="E1447" t="s">
        <v>7184</v>
      </c>
      <c r="F1447" t="s">
        <v>57</v>
      </c>
      <c r="G1447" t="s">
        <v>739</v>
      </c>
      <c r="H1447" t="s">
        <v>7518</v>
      </c>
      <c r="I1447" t="s">
        <v>7519</v>
      </c>
      <c r="J1447" t="s">
        <v>165</v>
      </c>
      <c r="K1447" t="s">
        <v>166</v>
      </c>
      <c r="L1447" t="s">
        <v>63</v>
      </c>
      <c r="M1447" t="s">
        <v>72</v>
      </c>
      <c r="N1447" s="5"/>
      <c r="O1447" t="str">
        <f t="shared" si="22"/>
        <v/>
      </c>
    </row>
    <row r="1448" spans="1:15" x14ac:dyDescent="0.25">
      <c r="A1448" t="s">
        <v>7520</v>
      </c>
      <c r="B1448" t="s">
        <v>7521</v>
      </c>
      <c r="C1448" t="s">
        <v>7522</v>
      </c>
      <c r="D1448">
        <v>2022</v>
      </c>
      <c r="E1448" t="s">
        <v>7184</v>
      </c>
      <c r="F1448" t="s">
        <v>67</v>
      </c>
      <c r="G1448" t="s">
        <v>3900</v>
      </c>
      <c r="H1448" t="s">
        <v>7523</v>
      </c>
      <c r="I1448" t="s">
        <v>7524</v>
      </c>
      <c r="J1448" t="s">
        <v>98</v>
      </c>
      <c r="K1448" t="s">
        <v>99</v>
      </c>
      <c r="L1448" t="s">
        <v>63</v>
      </c>
      <c r="M1448" t="s">
        <v>72</v>
      </c>
      <c r="N1448" s="5"/>
      <c r="O1448" t="str">
        <f t="shared" si="22"/>
        <v/>
      </c>
    </row>
    <row r="1449" spans="1:15" x14ac:dyDescent="0.25">
      <c r="A1449" t="s">
        <v>7525</v>
      </c>
      <c r="B1449" t="s">
        <v>7526</v>
      </c>
      <c r="C1449" t="s">
        <v>7527</v>
      </c>
      <c r="D1449">
        <v>2022</v>
      </c>
      <c r="E1449" t="s">
        <v>7184</v>
      </c>
      <c r="F1449" t="s">
        <v>67</v>
      </c>
      <c r="G1449" t="s">
        <v>84</v>
      </c>
      <c r="H1449" t="s">
        <v>7528</v>
      </c>
      <c r="I1449" t="s">
        <v>7529</v>
      </c>
      <c r="J1449" t="s">
        <v>98</v>
      </c>
      <c r="K1449" t="s">
        <v>99</v>
      </c>
      <c r="L1449" t="s">
        <v>63</v>
      </c>
      <c r="M1449" t="s">
        <v>72</v>
      </c>
      <c r="N1449" s="5"/>
      <c r="O1449" t="str">
        <f t="shared" si="22"/>
        <v/>
      </c>
    </row>
    <row r="1450" spans="1:15" x14ac:dyDescent="0.25">
      <c r="A1450" t="s">
        <v>7530</v>
      </c>
      <c r="B1450" t="s">
        <v>7531</v>
      </c>
      <c r="C1450" t="s">
        <v>7532</v>
      </c>
      <c r="D1450">
        <v>2022</v>
      </c>
      <c r="E1450" t="s">
        <v>7184</v>
      </c>
      <c r="F1450" t="s">
        <v>57</v>
      </c>
      <c r="G1450" t="s">
        <v>279</v>
      </c>
      <c r="H1450" t="s">
        <v>7533</v>
      </c>
      <c r="I1450" t="s">
        <v>7534</v>
      </c>
      <c r="J1450" t="s">
        <v>98</v>
      </c>
      <c r="K1450" t="s">
        <v>99</v>
      </c>
      <c r="L1450" t="s">
        <v>63</v>
      </c>
      <c r="M1450" t="s">
        <v>72</v>
      </c>
      <c r="N1450" s="5"/>
      <c r="O1450" t="str">
        <f t="shared" si="22"/>
        <v/>
      </c>
    </row>
    <row r="1451" spans="1:15" x14ac:dyDescent="0.25">
      <c r="A1451" t="s">
        <v>7535</v>
      </c>
      <c r="B1451" t="s">
        <v>7536</v>
      </c>
      <c r="C1451" t="s">
        <v>1181</v>
      </c>
      <c r="D1451">
        <v>2022</v>
      </c>
      <c r="E1451" t="s">
        <v>7184</v>
      </c>
      <c r="F1451" t="s">
        <v>57</v>
      </c>
      <c r="G1451" t="s">
        <v>578</v>
      </c>
      <c r="H1451" t="s">
        <v>7537</v>
      </c>
      <c r="I1451" t="s">
        <v>7538</v>
      </c>
      <c r="J1451" t="s">
        <v>61</v>
      </c>
      <c r="K1451" t="s">
        <v>62</v>
      </c>
      <c r="L1451" t="s">
        <v>63</v>
      </c>
      <c r="M1451" t="s">
        <v>63</v>
      </c>
      <c r="N1451" s="5"/>
      <c r="O1451" t="str">
        <f t="shared" si="22"/>
        <v/>
      </c>
    </row>
    <row r="1452" spans="1:15" x14ac:dyDescent="0.25">
      <c r="A1452" t="s">
        <v>7539</v>
      </c>
      <c r="B1452" t="s">
        <v>7540</v>
      </c>
      <c r="C1452" t="s">
        <v>7541</v>
      </c>
      <c r="D1452">
        <v>2022</v>
      </c>
      <c r="E1452" t="s">
        <v>7184</v>
      </c>
      <c r="F1452" t="s">
        <v>57</v>
      </c>
      <c r="G1452" t="s">
        <v>7542</v>
      </c>
      <c r="H1452" t="s">
        <v>7543</v>
      </c>
      <c r="I1452" t="s">
        <v>7544</v>
      </c>
      <c r="J1452" t="s">
        <v>87</v>
      </c>
      <c r="K1452" t="s">
        <v>19</v>
      </c>
      <c r="L1452" t="s">
        <v>72</v>
      </c>
      <c r="M1452" t="s">
        <v>72</v>
      </c>
      <c r="N1452" s="5"/>
      <c r="O1452" t="str">
        <f t="shared" si="22"/>
        <v/>
      </c>
    </row>
    <row r="1453" spans="1:15" x14ac:dyDescent="0.25">
      <c r="A1453" t="s">
        <v>7545</v>
      </c>
      <c r="B1453" t="s">
        <v>7546</v>
      </c>
      <c r="C1453" t="s">
        <v>7547</v>
      </c>
      <c r="D1453">
        <v>2022</v>
      </c>
      <c r="E1453" t="s">
        <v>7184</v>
      </c>
      <c r="F1453" t="s">
        <v>67</v>
      </c>
      <c r="G1453" t="s">
        <v>3288</v>
      </c>
      <c r="H1453" t="s">
        <v>7548</v>
      </c>
      <c r="I1453" t="s">
        <v>7549</v>
      </c>
      <c r="J1453" t="s">
        <v>98</v>
      </c>
      <c r="K1453" t="s">
        <v>99</v>
      </c>
      <c r="L1453" t="s">
        <v>63</v>
      </c>
      <c r="M1453" t="s">
        <v>72</v>
      </c>
      <c r="N1453" s="5"/>
      <c r="O1453" t="str">
        <f t="shared" si="22"/>
        <v/>
      </c>
    </row>
    <row r="1454" spans="1:15" x14ac:dyDescent="0.25">
      <c r="A1454" t="s">
        <v>7550</v>
      </c>
      <c r="B1454" t="s">
        <v>7551</v>
      </c>
      <c r="C1454" t="s">
        <v>6787</v>
      </c>
      <c r="D1454">
        <v>2022</v>
      </c>
      <c r="E1454" t="s">
        <v>7184</v>
      </c>
      <c r="F1454" t="s">
        <v>57</v>
      </c>
      <c r="G1454" t="s">
        <v>596</v>
      </c>
      <c r="H1454" t="s">
        <v>7552</v>
      </c>
      <c r="I1454" t="s">
        <v>7553</v>
      </c>
      <c r="J1454" t="s">
        <v>87</v>
      </c>
      <c r="K1454" t="s">
        <v>19</v>
      </c>
      <c r="L1454" t="s">
        <v>72</v>
      </c>
      <c r="M1454" t="s">
        <v>72</v>
      </c>
      <c r="N1454" s="5"/>
      <c r="O1454" t="str">
        <f t="shared" si="22"/>
        <v/>
      </c>
    </row>
    <row r="1455" spans="1:15" x14ac:dyDescent="0.25">
      <c r="A1455" t="s">
        <v>7554</v>
      </c>
      <c r="B1455" t="s">
        <v>7555</v>
      </c>
      <c r="C1455" t="s">
        <v>7556</v>
      </c>
      <c r="D1455">
        <v>2021</v>
      </c>
      <c r="E1455" t="s">
        <v>7184</v>
      </c>
      <c r="F1455" t="s">
        <v>57</v>
      </c>
      <c r="G1455" t="s">
        <v>7557</v>
      </c>
      <c r="H1455" t="s">
        <v>7558</v>
      </c>
      <c r="I1455" t="s">
        <v>7559</v>
      </c>
      <c r="J1455" t="s">
        <v>165</v>
      </c>
      <c r="K1455" t="s">
        <v>166</v>
      </c>
      <c r="L1455" t="s">
        <v>63</v>
      </c>
      <c r="M1455" t="s">
        <v>72</v>
      </c>
      <c r="N1455" s="5"/>
      <c r="O1455" t="str">
        <f t="shared" si="22"/>
        <v/>
      </c>
    </row>
    <row r="1456" spans="1:15" x14ac:dyDescent="0.25">
      <c r="A1456" t="s">
        <v>7560</v>
      </c>
      <c r="B1456" t="s">
        <v>7561</v>
      </c>
      <c r="C1456" t="s">
        <v>7562</v>
      </c>
      <c r="D1456">
        <v>2021</v>
      </c>
      <c r="E1456" t="s">
        <v>7184</v>
      </c>
      <c r="F1456" t="s">
        <v>67</v>
      </c>
      <c r="G1456" t="s">
        <v>1409</v>
      </c>
      <c r="H1456" t="s">
        <v>7563</v>
      </c>
      <c r="I1456" t="s">
        <v>7564</v>
      </c>
      <c r="J1456" t="s">
        <v>71</v>
      </c>
      <c r="K1456" t="s">
        <v>18</v>
      </c>
      <c r="L1456" t="s">
        <v>72</v>
      </c>
      <c r="M1456" t="s">
        <v>72</v>
      </c>
      <c r="N1456" s="5"/>
      <c r="O1456" t="str">
        <f t="shared" si="22"/>
        <v/>
      </c>
    </row>
    <row r="1457" spans="1:15" x14ac:dyDescent="0.25">
      <c r="A1457" t="s">
        <v>7565</v>
      </c>
      <c r="B1457" t="s">
        <v>7566</v>
      </c>
      <c r="C1457" t="s">
        <v>4100</v>
      </c>
      <c r="D1457">
        <v>2021</v>
      </c>
      <c r="E1457" t="s">
        <v>7184</v>
      </c>
      <c r="F1457" t="s">
        <v>57</v>
      </c>
      <c r="G1457" t="s">
        <v>963</v>
      </c>
      <c r="H1457" t="s">
        <v>7567</v>
      </c>
      <c r="I1457" t="s">
        <v>7568</v>
      </c>
      <c r="J1457" t="s">
        <v>87</v>
      </c>
      <c r="K1457" t="s">
        <v>19</v>
      </c>
      <c r="L1457" t="s">
        <v>72</v>
      </c>
      <c r="M1457" t="s">
        <v>72</v>
      </c>
      <c r="N1457" s="5"/>
      <c r="O1457" t="str">
        <f t="shared" si="22"/>
        <v/>
      </c>
    </row>
    <row r="1458" spans="1:15" x14ac:dyDescent="0.25">
      <c r="A1458" t="s">
        <v>7569</v>
      </c>
      <c r="B1458" t="s">
        <v>7570</v>
      </c>
      <c r="C1458" t="s">
        <v>7571</v>
      </c>
      <c r="D1458">
        <v>2021</v>
      </c>
      <c r="E1458" t="s">
        <v>7184</v>
      </c>
      <c r="F1458" t="s">
        <v>67</v>
      </c>
      <c r="G1458" t="s">
        <v>7572</v>
      </c>
      <c r="H1458" t="s">
        <v>7573</v>
      </c>
      <c r="I1458" t="s">
        <v>7574</v>
      </c>
      <c r="J1458" t="s">
        <v>71</v>
      </c>
      <c r="K1458" t="s">
        <v>18</v>
      </c>
      <c r="L1458" t="s">
        <v>72</v>
      </c>
      <c r="M1458" t="s">
        <v>72</v>
      </c>
      <c r="N1458" s="5"/>
      <c r="O1458" t="str">
        <f t="shared" si="22"/>
        <v/>
      </c>
    </row>
    <row r="1459" spans="1:15" x14ac:dyDescent="0.25">
      <c r="A1459" t="s">
        <v>7575</v>
      </c>
      <c r="B1459" t="s">
        <v>7576</v>
      </c>
      <c r="C1459" t="s">
        <v>7577</v>
      </c>
      <c r="D1459">
        <v>2021</v>
      </c>
      <c r="E1459" t="s">
        <v>7184</v>
      </c>
      <c r="F1459" t="s">
        <v>67</v>
      </c>
      <c r="G1459" t="s">
        <v>7578</v>
      </c>
      <c r="H1459" t="s">
        <v>7579</v>
      </c>
      <c r="I1459" t="s">
        <v>7580</v>
      </c>
      <c r="J1459" t="s">
        <v>71</v>
      </c>
      <c r="K1459" t="s">
        <v>18</v>
      </c>
      <c r="L1459" t="s">
        <v>72</v>
      </c>
      <c r="M1459" t="s">
        <v>72</v>
      </c>
      <c r="N1459" s="5"/>
      <c r="O1459" t="str">
        <f t="shared" si="22"/>
        <v/>
      </c>
    </row>
    <row r="1460" spans="1:15" x14ac:dyDescent="0.25">
      <c r="A1460" t="s">
        <v>7581</v>
      </c>
      <c r="B1460" t="s">
        <v>7582</v>
      </c>
      <c r="C1460" t="s">
        <v>7277</v>
      </c>
      <c r="D1460">
        <v>2021</v>
      </c>
      <c r="E1460" t="s">
        <v>7184</v>
      </c>
      <c r="F1460" t="s">
        <v>57</v>
      </c>
      <c r="G1460" t="s">
        <v>750</v>
      </c>
      <c r="H1460" t="s">
        <v>7583</v>
      </c>
      <c r="I1460" t="s">
        <v>7584</v>
      </c>
      <c r="J1460" t="s">
        <v>98</v>
      </c>
      <c r="K1460" t="s">
        <v>99</v>
      </c>
      <c r="L1460" t="s">
        <v>63</v>
      </c>
      <c r="M1460" t="s">
        <v>72</v>
      </c>
      <c r="N1460" s="5"/>
      <c r="O1460" t="str">
        <f t="shared" si="22"/>
        <v/>
      </c>
    </row>
    <row r="1461" spans="1:15" x14ac:dyDescent="0.25">
      <c r="A1461" t="s">
        <v>7585</v>
      </c>
      <c r="B1461" t="s">
        <v>7586</v>
      </c>
      <c r="C1461" t="s">
        <v>6787</v>
      </c>
      <c r="D1461">
        <v>2021</v>
      </c>
      <c r="E1461" t="s">
        <v>7184</v>
      </c>
      <c r="F1461" t="s">
        <v>57</v>
      </c>
      <c r="G1461" t="s">
        <v>418</v>
      </c>
      <c r="H1461" t="s">
        <v>7587</v>
      </c>
      <c r="I1461" t="s">
        <v>7588</v>
      </c>
      <c r="J1461" t="s">
        <v>61</v>
      </c>
      <c r="K1461" t="s">
        <v>62</v>
      </c>
      <c r="L1461" t="s">
        <v>63</v>
      </c>
      <c r="M1461" t="s">
        <v>63</v>
      </c>
      <c r="N1461" s="5"/>
      <c r="O1461" t="str">
        <f t="shared" si="22"/>
        <v/>
      </c>
    </row>
    <row r="1462" spans="1:15" x14ac:dyDescent="0.25">
      <c r="A1462" t="s">
        <v>7589</v>
      </c>
      <c r="B1462" t="s">
        <v>7590</v>
      </c>
      <c r="C1462" t="s">
        <v>1897</v>
      </c>
      <c r="D1462">
        <v>2021</v>
      </c>
      <c r="E1462" t="s">
        <v>7184</v>
      </c>
      <c r="F1462" t="s">
        <v>67</v>
      </c>
      <c r="G1462" t="s">
        <v>4211</v>
      </c>
      <c r="H1462" t="s">
        <v>7591</v>
      </c>
      <c r="I1462" t="s">
        <v>7592</v>
      </c>
      <c r="J1462" t="s">
        <v>71</v>
      </c>
      <c r="K1462" t="s">
        <v>18</v>
      </c>
      <c r="L1462" t="s">
        <v>72</v>
      </c>
      <c r="M1462" t="s">
        <v>72</v>
      </c>
      <c r="N1462" s="5"/>
      <c r="O1462" t="str">
        <f t="shared" si="22"/>
        <v/>
      </c>
    </row>
    <row r="1463" spans="1:15" x14ac:dyDescent="0.25">
      <c r="A1463" t="s">
        <v>7593</v>
      </c>
      <c r="B1463" t="s">
        <v>7594</v>
      </c>
      <c r="C1463" t="s">
        <v>7595</v>
      </c>
      <c r="D1463">
        <v>2021</v>
      </c>
      <c r="E1463" t="s">
        <v>7184</v>
      </c>
      <c r="F1463" t="s">
        <v>57</v>
      </c>
      <c r="G1463" t="s">
        <v>7596</v>
      </c>
      <c r="H1463" t="s">
        <v>7597</v>
      </c>
      <c r="I1463" t="s">
        <v>7598</v>
      </c>
      <c r="J1463" t="s">
        <v>98</v>
      </c>
      <c r="K1463" t="s">
        <v>99</v>
      </c>
      <c r="L1463" t="s">
        <v>63</v>
      </c>
      <c r="M1463" t="s">
        <v>72</v>
      </c>
      <c r="N1463" s="5"/>
      <c r="O1463" t="str">
        <f t="shared" si="22"/>
        <v/>
      </c>
    </row>
    <row r="1464" spans="1:15" x14ac:dyDescent="0.25">
      <c r="A1464" t="s">
        <v>7599</v>
      </c>
      <c r="B1464" t="s">
        <v>7600</v>
      </c>
      <c r="C1464" t="s">
        <v>7601</v>
      </c>
      <c r="D1464">
        <v>2021</v>
      </c>
      <c r="E1464" t="s">
        <v>7184</v>
      </c>
      <c r="F1464" t="s">
        <v>67</v>
      </c>
      <c r="G1464" t="s">
        <v>7602</v>
      </c>
      <c r="H1464" t="s">
        <v>7603</v>
      </c>
      <c r="I1464" t="s">
        <v>7604</v>
      </c>
      <c r="J1464" t="s">
        <v>71</v>
      </c>
      <c r="K1464" t="s">
        <v>18</v>
      </c>
      <c r="L1464" t="s">
        <v>72</v>
      </c>
      <c r="M1464" t="s">
        <v>72</v>
      </c>
      <c r="N1464" s="5"/>
      <c r="O1464" t="str">
        <f t="shared" si="22"/>
        <v/>
      </c>
    </row>
    <row r="1465" spans="1:15" x14ac:dyDescent="0.25">
      <c r="A1465" t="s">
        <v>7605</v>
      </c>
      <c r="B1465" t="s">
        <v>7606</v>
      </c>
      <c r="C1465" t="s">
        <v>7607</v>
      </c>
      <c r="D1465">
        <v>2021</v>
      </c>
      <c r="E1465" t="s">
        <v>7184</v>
      </c>
      <c r="F1465" t="s">
        <v>57</v>
      </c>
      <c r="G1465" t="s">
        <v>3664</v>
      </c>
      <c r="H1465" t="s">
        <v>7608</v>
      </c>
      <c r="I1465" t="s">
        <v>7609</v>
      </c>
      <c r="J1465" t="s">
        <v>61</v>
      </c>
      <c r="K1465" t="s">
        <v>62</v>
      </c>
      <c r="L1465" t="s">
        <v>63</v>
      </c>
      <c r="M1465" t="s">
        <v>63</v>
      </c>
      <c r="N1465" s="5"/>
      <c r="O1465" t="str">
        <f t="shared" si="22"/>
        <v/>
      </c>
    </row>
    <row r="1466" spans="1:15" x14ac:dyDescent="0.25">
      <c r="A1466" t="s">
        <v>7610</v>
      </c>
      <c r="B1466" t="s">
        <v>7611</v>
      </c>
      <c r="C1466" t="s">
        <v>7612</v>
      </c>
      <c r="D1466">
        <v>2021</v>
      </c>
      <c r="E1466" t="s">
        <v>7184</v>
      </c>
      <c r="F1466" t="s">
        <v>57</v>
      </c>
      <c r="G1466" t="s">
        <v>7613</v>
      </c>
      <c r="H1466" t="s">
        <v>7614</v>
      </c>
      <c r="I1466" t="s">
        <v>7615</v>
      </c>
      <c r="J1466" t="s">
        <v>61</v>
      </c>
      <c r="K1466" t="s">
        <v>62</v>
      </c>
      <c r="L1466" t="s">
        <v>63</v>
      </c>
      <c r="M1466" t="s">
        <v>63</v>
      </c>
      <c r="N1466" s="5"/>
      <c r="O1466" t="str">
        <f t="shared" si="22"/>
        <v/>
      </c>
    </row>
    <row r="1467" spans="1:15" x14ac:dyDescent="0.25">
      <c r="A1467" t="s">
        <v>7616</v>
      </c>
      <c r="B1467" t="s">
        <v>7617</v>
      </c>
      <c r="C1467" t="s">
        <v>7618</v>
      </c>
      <c r="D1467">
        <v>2021</v>
      </c>
      <c r="E1467" t="s">
        <v>7184</v>
      </c>
      <c r="F1467" t="s">
        <v>57</v>
      </c>
      <c r="G1467" t="s">
        <v>750</v>
      </c>
      <c r="H1467" t="s">
        <v>7619</v>
      </c>
      <c r="I1467" t="s">
        <v>7620</v>
      </c>
      <c r="J1467" t="s">
        <v>61</v>
      </c>
      <c r="K1467" t="s">
        <v>62</v>
      </c>
      <c r="L1467" t="s">
        <v>63</v>
      </c>
      <c r="M1467" t="s">
        <v>63</v>
      </c>
      <c r="N1467" s="5"/>
      <c r="O1467" t="str">
        <f t="shared" si="22"/>
        <v/>
      </c>
    </row>
    <row r="1468" spans="1:15" x14ac:dyDescent="0.25">
      <c r="A1468" t="s">
        <v>7621</v>
      </c>
      <c r="B1468" t="s">
        <v>7622</v>
      </c>
      <c r="C1468" t="s">
        <v>1123</v>
      </c>
      <c r="D1468">
        <v>2021</v>
      </c>
      <c r="E1468" t="s">
        <v>7184</v>
      </c>
      <c r="F1468" t="s">
        <v>57</v>
      </c>
      <c r="G1468" t="s">
        <v>4101</v>
      </c>
      <c r="H1468" t="s">
        <v>7623</v>
      </c>
      <c r="I1468" t="s">
        <v>7624</v>
      </c>
      <c r="J1468" t="s">
        <v>71</v>
      </c>
      <c r="K1468" t="s">
        <v>18</v>
      </c>
      <c r="L1468" t="s">
        <v>72</v>
      </c>
      <c r="M1468" t="s">
        <v>72</v>
      </c>
      <c r="N1468" s="5"/>
      <c r="O1468" t="str">
        <f t="shared" si="22"/>
        <v/>
      </c>
    </row>
    <row r="1469" spans="1:15" x14ac:dyDescent="0.25">
      <c r="A1469" t="s">
        <v>7625</v>
      </c>
      <c r="B1469" t="s">
        <v>7626</v>
      </c>
      <c r="C1469" t="s">
        <v>7627</v>
      </c>
      <c r="D1469">
        <v>2021</v>
      </c>
      <c r="E1469" t="s">
        <v>7184</v>
      </c>
      <c r="F1469" t="s">
        <v>67</v>
      </c>
      <c r="G1469" t="s">
        <v>7628</v>
      </c>
      <c r="H1469" t="s">
        <v>7629</v>
      </c>
      <c r="I1469" t="s">
        <v>7630</v>
      </c>
      <c r="J1469" t="s">
        <v>71</v>
      </c>
      <c r="K1469" t="s">
        <v>18</v>
      </c>
      <c r="L1469" t="s">
        <v>72</v>
      </c>
      <c r="M1469" t="s">
        <v>72</v>
      </c>
      <c r="N1469" s="5"/>
      <c r="O1469" t="str">
        <f t="shared" si="22"/>
        <v/>
      </c>
    </row>
    <row r="1470" spans="1:15" x14ac:dyDescent="0.25">
      <c r="A1470" t="s">
        <v>7631</v>
      </c>
      <c r="B1470" t="s">
        <v>7632</v>
      </c>
      <c r="C1470" t="s">
        <v>7607</v>
      </c>
      <c r="D1470">
        <v>2021</v>
      </c>
      <c r="E1470" t="s">
        <v>7184</v>
      </c>
      <c r="F1470" t="s">
        <v>57</v>
      </c>
      <c r="G1470" t="s">
        <v>766</v>
      </c>
      <c r="H1470" t="s">
        <v>7633</v>
      </c>
      <c r="I1470" t="s">
        <v>7634</v>
      </c>
      <c r="J1470" t="s">
        <v>165</v>
      </c>
      <c r="K1470" t="s">
        <v>166</v>
      </c>
      <c r="L1470" t="s">
        <v>63</v>
      </c>
      <c r="M1470" t="s">
        <v>72</v>
      </c>
      <c r="N1470" s="5"/>
      <c r="O1470" t="str">
        <f t="shared" si="22"/>
        <v/>
      </c>
    </row>
    <row r="1471" spans="1:15" x14ac:dyDescent="0.25">
      <c r="A1471" t="s">
        <v>7635</v>
      </c>
      <c r="B1471" t="s">
        <v>7636</v>
      </c>
      <c r="C1471" t="s">
        <v>7637</v>
      </c>
      <c r="D1471">
        <v>2021</v>
      </c>
      <c r="E1471" t="s">
        <v>7184</v>
      </c>
      <c r="F1471" t="s">
        <v>67</v>
      </c>
      <c r="G1471" t="s">
        <v>7638</v>
      </c>
      <c r="H1471" t="s">
        <v>7639</v>
      </c>
      <c r="I1471" t="s">
        <v>7640</v>
      </c>
      <c r="J1471" t="s">
        <v>98</v>
      </c>
      <c r="K1471" t="s">
        <v>99</v>
      </c>
      <c r="L1471" t="s">
        <v>63</v>
      </c>
      <c r="M1471" t="s">
        <v>72</v>
      </c>
      <c r="N1471" s="5"/>
      <c r="O1471" t="str">
        <f t="shared" si="22"/>
        <v/>
      </c>
    </row>
    <row r="1472" spans="1:15" x14ac:dyDescent="0.25">
      <c r="A1472" t="s">
        <v>7641</v>
      </c>
      <c r="B1472" t="s">
        <v>7642</v>
      </c>
      <c r="C1472" t="s">
        <v>7643</v>
      </c>
      <c r="D1472">
        <v>2021</v>
      </c>
      <c r="E1472" t="s">
        <v>7184</v>
      </c>
      <c r="F1472" t="s">
        <v>67</v>
      </c>
      <c r="G1472" t="s">
        <v>3288</v>
      </c>
      <c r="H1472" t="s">
        <v>7644</v>
      </c>
      <c r="I1472" t="s">
        <v>7645</v>
      </c>
      <c r="J1472" t="s">
        <v>165</v>
      </c>
      <c r="K1472" t="s">
        <v>166</v>
      </c>
      <c r="L1472" t="s">
        <v>63</v>
      </c>
      <c r="M1472" t="s">
        <v>72</v>
      </c>
      <c r="N1472" s="5"/>
      <c r="O1472" t="str">
        <f t="shared" si="22"/>
        <v/>
      </c>
    </row>
    <row r="1473" spans="1:15" x14ac:dyDescent="0.25">
      <c r="A1473" t="s">
        <v>7646</v>
      </c>
      <c r="B1473" t="s">
        <v>7647</v>
      </c>
      <c r="C1473" t="s">
        <v>7648</v>
      </c>
      <c r="D1473">
        <v>2021</v>
      </c>
      <c r="E1473" t="s">
        <v>7184</v>
      </c>
      <c r="F1473" t="s">
        <v>57</v>
      </c>
      <c r="G1473" t="s">
        <v>750</v>
      </c>
      <c r="H1473" t="s">
        <v>7649</v>
      </c>
      <c r="I1473" t="s">
        <v>7650</v>
      </c>
      <c r="J1473" t="s">
        <v>61</v>
      </c>
      <c r="K1473" t="s">
        <v>62</v>
      </c>
      <c r="L1473" t="s">
        <v>63</v>
      </c>
      <c r="M1473" t="s">
        <v>63</v>
      </c>
      <c r="N1473" s="5"/>
      <c r="O1473" t="str">
        <f t="shared" si="22"/>
        <v/>
      </c>
    </row>
    <row r="1474" spans="1:15" x14ac:dyDescent="0.25">
      <c r="A1474" t="s">
        <v>7651</v>
      </c>
      <c r="B1474" t="s">
        <v>7652</v>
      </c>
      <c r="C1474" t="s">
        <v>7653</v>
      </c>
      <c r="D1474">
        <v>2021</v>
      </c>
      <c r="E1474" t="s">
        <v>7184</v>
      </c>
      <c r="F1474" t="s">
        <v>67</v>
      </c>
      <c r="G1474" t="s">
        <v>7654</v>
      </c>
      <c r="H1474" t="s">
        <v>7655</v>
      </c>
      <c r="I1474" t="s">
        <v>7656</v>
      </c>
      <c r="J1474" t="s">
        <v>71</v>
      </c>
      <c r="K1474" t="s">
        <v>18</v>
      </c>
      <c r="L1474" t="s">
        <v>72</v>
      </c>
      <c r="M1474" t="s">
        <v>72</v>
      </c>
      <c r="N1474" s="5"/>
      <c r="O1474" t="str">
        <f t="shared" ref="O1474:O1537" si="23">IF(N1474="","",IF(N1474=J1474,1,0))</f>
        <v/>
      </c>
    </row>
    <row r="1475" spans="1:15" x14ac:dyDescent="0.25">
      <c r="A1475" t="s">
        <v>7657</v>
      </c>
      <c r="B1475" t="s">
        <v>7658</v>
      </c>
      <c r="C1475" t="s">
        <v>6831</v>
      </c>
      <c r="D1475">
        <v>2021</v>
      </c>
      <c r="E1475" t="s">
        <v>7184</v>
      </c>
      <c r="F1475" t="s">
        <v>57</v>
      </c>
      <c r="G1475" t="s">
        <v>279</v>
      </c>
      <c r="H1475" t="s">
        <v>7659</v>
      </c>
      <c r="I1475" t="s">
        <v>7660</v>
      </c>
      <c r="J1475" t="s">
        <v>98</v>
      </c>
      <c r="K1475" t="s">
        <v>99</v>
      </c>
      <c r="L1475" t="s">
        <v>63</v>
      </c>
      <c r="M1475" t="s">
        <v>72</v>
      </c>
      <c r="N1475" s="5"/>
      <c r="O1475" t="str">
        <f t="shared" si="23"/>
        <v/>
      </c>
    </row>
    <row r="1476" spans="1:15" x14ac:dyDescent="0.25">
      <c r="A1476" t="s">
        <v>7661</v>
      </c>
      <c r="B1476" t="s">
        <v>7662</v>
      </c>
      <c r="C1476" t="s">
        <v>7663</v>
      </c>
      <c r="D1476">
        <v>2021</v>
      </c>
      <c r="E1476" t="s">
        <v>7184</v>
      </c>
      <c r="F1476" t="s">
        <v>57</v>
      </c>
      <c r="G1476" t="s">
        <v>7664</v>
      </c>
      <c r="H1476" t="s">
        <v>7665</v>
      </c>
      <c r="I1476" t="s">
        <v>7666</v>
      </c>
      <c r="J1476" t="s">
        <v>87</v>
      </c>
      <c r="K1476" t="s">
        <v>19</v>
      </c>
      <c r="L1476" t="s">
        <v>72</v>
      </c>
      <c r="M1476" t="s">
        <v>72</v>
      </c>
      <c r="N1476" s="5"/>
      <c r="O1476" t="str">
        <f t="shared" si="23"/>
        <v/>
      </c>
    </row>
    <row r="1477" spans="1:15" x14ac:dyDescent="0.25">
      <c r="A1477" t="s">
        <v>7667</v>
      </c>
      <c r="B1477" t="s">
        <v>7668</v>
      </c>
      <c r="C1477" t="s">
        <v>7669</v>
      </c>
      <c r="D1477">
        <v>2021</v>
      </c>
      <c r="E1477" t="s">
        <v>7184</v>
      </c>
      <c r="F1477" t="s">
        <v>67</v>
      </c>
      <c r="G1477" t="s">
        <v>7670</v>
      </c>
      <c r="H1477" t="s">
        <v>7671</v>
      </c>
      <c r="I1477" t="s">
        <v>7672</v>
      </c>
      <c r="J1477" t="s">
        <v>71</v>
      </c>
      <c r="K1477" t="s">
        <v>18</v>
      </c>
      <c r="L1477" t="s">
        <v>72</v>
      </c>
      <c r="M1477" t="s">
        <v>72</v>
      </c>
      <c r="N1477" s="5"/>
      <c r="O1477" t="str">
        <f t="shared" si="23"/>
        <v/>
      </c>
    </row>
    <row r="1478" spans="1:15" x14ac:dyDescent="0.25">
      <c r="A1478" t="s">
        <v>7673</v>
      </c>
      <c r="B1478" t="s">
        <v>7674</v>
      </c>
      <c r="C1478" t="s">
        <v>3877</v>
      </c>
      <c r="D1478">
        <v>2021</v>
      </c>
      <c r="E1478" t="s">
        <v>7184</v>
      </c>
      <c r="F1478" t="s">
        <v>67</v>
      </c>
      <c r="G1478" t="s">
        <v>3900</v>
      </c>
      <c r="H1478" t="s">
        <v>7675</v>
      </c>
      <c r="I1478" t="s">
        <v>7676</v>
      </c>
      <c r="J1478" t="s">
        <v>71</v>
      </c>
      <c r="K1478" t="s">
        <v>18</v>
      </c>
      <c r="L1478" t="s">
        <v>72</v>
      </c>
      <c r="M1478" t="s">
        <v>72</v>
      </c>
      <c r="N1478" s="5"/>
      <c r="O1478" t="str">
        <f t="shared" si="23"/>
        <v/>
      </c>
    </row>
    <row r="1479" spans="1:15" x14ac:dyDescent="0.25">
      <c r="A1479" t="s">
        <v>7677</v>
      </c>
      <c r="B1479" t="s">
        <v>7678</v>
      </c>
      <c r="C1479" t="s">
        <v>571</v>
      </c>
      <c r="D1479">
        <v>2021</v>
      </c>
      <c r="E1479" t="s">
        <v>7184</v>
      </c>
      <c r="F1479" t="s">
        <v>67</v>
      </c>
      <c r="G1479" t="s">
        <v>76</v>
      </c>
      <c r="H1479" t="s">
        <v>7679</v>
      </c>
      <c r="I1479" t="s">
        <v>7680</v>
      </c>
      <c r="J1479" t="s">
        <v>87</v>
      </c>
      <c r="K1479" t="s">
        <v>19</v>
      </c>
      <c r="L1479" t="s">
        <v>72</v>
      </c>
      <c r="M1479" t="s">
        <v>72</v>
      </c>
      <c r="N1479" s="5"/>
      <c r="O1479" t="str">
        <f t="shared" si="23"/>
        <v/>
      </c>
    </row>
    <row r="1480" spans="1:15" x14ac:dyDescent="0.25">
      <c r="A1480" t="s">
        <v>7681</v>
      </c>
      <c r="B1480" t="s">
        <v>7682</v>
      </c>
      <c r="C1480" t="s">
        <v>7683</v>
      </c>
      <c r="D1480">
        <v>2021</v>
      </c>
      <c r="E1480" t="s">
        <v>7184</v>
      </c>
      <c r="F1480" t="s">
        <v>67</v>
      </c>
      <c r="G1480" t="s">
        <v>3900</v>
      </c>
      <c r="H1480" t="s">
        <v>7684</v>
      </c>
      <c r="I1480" t="s">
        <v>7685</v>
      </c>
      <c r="J1480" t="s">
        <v>87</v>
      </c>
      <c r="K1480" t="s">
        <v>19</v>
      </c>
      <c r="L1480" t="s">
        <v>72</v>
      </c>
      <c r="M1480" t="s">
        <v>72</v>
      </c>
      <c r="N1480" s="5"/>
      <c r="O1480" t="str">
        <f t="shared" si="23"/>
        <v/>
      </c>
    </row>
    <row r="1481" spans="1:15" x14ac:dyDescent="0.25">
      <c r="A1481" t="s">
        <v>7686</v>
      </c>
      <c r="B1481" t="s">
        <v>7687</v>
      </c>
      <c r="C1481" t="s">
        <v>7688</v>
      </c>
      <c r="D1481">
        <v>2021</v>
      </c>
      <c r="E1481" t="s">
        <v>7184</v>
      </c>
      <c r="F1481" t="s">
        <v>67</v>
      </c>
      <c r="G1481" t="s">
        <v>7689</v>
      </c>
      <c r="H1481" t="s">
        <v>7690</v>
      </c>
      <c r="I1481" t="s">
        <v>7691</v>
      </c>
      <c r="J1481" t="s">
        <v>71</v>
      </c>
      <c r="K1481" t="s">
        <v>18</v>
      </c>
      <c r="L1481" t="s">
        <v>72</v>
      </c>
      <c r="M1481" t="s">
        <v>72</v>
      </c>
      <c r="N1481" s="5"/>
      <c r="O1481" t="str">
        <f t="shared" si="23"/>
        <v/>
      </c>
    </row>
    <row r="1482" spans="1:15" x14ac:dyDescent="0.25">
      <c r="A1482" t="s">
        <v>7692</v>
      </c>
      <c r="B1482" t="s">
        <v>7693</v>
      </c>
      <c r="C1482" t="s">
        <v>6678</v>
      </c>
      <c r="D1482">
        <v>2021</v>
      </c>
      <c r="E1482" t="s">
        <v>7184</v>
      </c>
      <c r="F1482" t="s">
        <v>57</v>
      </c>
      <c r="G1482" t="s">
        <v>702</v>
      </c>
      <c r="H1482" t="s">
        <v>7694</v>
      </c>
      <c r="I1482" t="s">
        <v>7695</v>
      </c>
      <c r="J1482" t="s">
        <v>71</v>
      </c>
      <c r="K1482" t="s">
        <v>18</v>
      </c>
      <c r="L1482" t="s">
        <v>72</v>
      </c>
      <c r="M1482" t="s">
        <v>72</v>
      </c>
      <c r="N1482" s="5"/>
      <c r="O1482" t="str">
        <f t="shared" si="23"/>
        <v/>
      </c>
    </row>
    <row r="1483" spans="1:15" x14ac:dyDescent="0.25">
      <c r="A1483" t="s">
        <v>7696</v>
      </c>
      <c r="B1483" t="s">
        <v>7697</v>
      </c>
      <c r="C1483" t="s">
        <v>7698</v>
      </c>
      <c r="D1483">
        <v>2021</v>
      </c>
      <c r="E1483" t="s">
        <v>7184</v>
      </c>
      <c r="F1483" t="s">
        <v>67</v>
      </c>
      <c r="G1483" t="s">
        <v>986</v>
      </c>
      <c r="H1483" t="s">
        <v>7699</v>
      </c>
      <c r="I1483" t="s">
        <v>7700</v>
      </c>
      <c r="J1483" t="s">
        <v>71</v>
      </c>
      <c r="K1483" t="s">
        <v>18</v>
      </c>
      <c r="L1483" t="s">
        <v>72</v>
      </c>
      <c r="M1483" t="s">
        <v>72</v>
      </c>
      <c r="N1483" s="5"/>
      <c r="O1483" t="str">
        <f t="shared" si="23"/>
        <v/>
      </c>
    </row>
    <row r="1484" spans="1:15" x14ac:dyDescent="0.25">
      <c r="A1484" t="s">
        <v>7701</v>
      </c>
      <c r="B1484" t="s">
        <v>7702</v>
      </c>
      <c r="C1484" t="s">
        <v>7703</v>
      </c>
      <c r="D1484">
        <v>2021</v>
      </c>
      <c r="E1484" t="s">
        <v>7184</v>
      </c>
      <c r="F1484" t="s">
        <v>57</v>
      </c>
      <c r="G1484" t="s">
        <v>825</v>
      </c>
      <c r="H1484" t="s">
        <v>7704</v>
      </c>
      <c r="I1484" t="s">
        <v>7705</v>
      </c>
      <c r="J1484" t="s">
        <v>98</v>
      </c>
      <c r="K1484" t="s">
        <v>99</v>
      </c>
      <c r="L1484" t="s">
        <v>63</v>
      </c>
      <c r="M1484" t="s">
        <v>72</v>
      </c>
      <c r="N1484" s="5"/>
      <c r="O1484" t="str">
        <f t="shared" si="23"/>
        <v/>
      </c>
    </row>
    <row r="1485" spans="1:15" x14ac:dyDescent="0.25">
      <c r="A1485" t="s">
        <v>7706</v>
      </c>
      <c r="B1485" t="s">
        <v>7707</v>
      </c>
      <c r="C1485" t="s">
        <v>5897</v>
      </c>
      <c r="D1485">
        <v>2021</v>
      </c>
      <c r="E1485" t="s">
        <v>7184</v>
      </c>
      <c r="F1485" t="s">
        <v>57</v>
      </c>
      <c r="G1485" t="s">
        <v>7708</v>
      </c>
      <c r="H1485" t="s">
        <v>7709</v>
      </c>
      <c r="I1485" t="s">
        <v>7710</v>
      </c>
      <c r="J1485" t="s">
        <v>61</v>
      </c>
      <c r="K1485" t="s">
        <v>62</v>
      </c>
      <c r="L1485" t="s">
        <v>63</v>
      </c>
      <c r="M1485" t="s">
        <v>63</v>
      </c>
      <c r="N1485" s="5"/>
      <c r="O1485" t="str">
        <f t="shared" si="23"/>
        <v/>
      </c>
    </row>
    <row r="1486" spans="1:15" x14ac:dyDescent="0.25">
      <c r="A1486" t="s">
        <v>7711</v>
      </c>
      <c r="B1486" t="s">
        <v>7712</v>
      </c>
      <c r="C1486" t="s">
        <v>7713</v>
      </c>
      <c r="D1486">
        <v>2021</v>
      </c>
      <c r="E1486" t="s">
        <v>7184</v>
      </c>
      <c r="F1486" t="s">
        <v>67</v>
      </c>
      <c r="G1486" t="s">
        <v>7714</v>
      </c>
      <c r="H1486" t="s">
        <v>7715</v>
      </c>
      <c r="I1486" t="s">
        <v>7716</v>
      </c>
      <c r="J1486" t="s">
        <v>71</v>
      </c>
      <c r="K1486" t="s">
        <v>18</v>
      </c>
      <c r="L1486" t="s">
        <v>72</v>
      </c>
      <c r="M1486" t="s">
        <v>72</v>
      </c>
      <c r="N1486" s="5"/>
      <c r="O1486" t="str">
        <f t="shared" si="23"/>
        <v/>
      </c>
    </row>
    <row r="1487" spans="1:15" x14ac:dyDescent="0.25">
      <c r="A1487" t="s">
        <v>7717</v>
      </c>
      <c r="B1487" t="s">
        <v>7718</v>
      </c>
      <c r="C1487" t="s">
        <v>7719</v>
      </c>
      <c r="D1487">
        <v>2021</v>
      </c>
      <c r="E1487" t="s">
        <v>7184</v>
      </c>
      <c r="F1487" t="s">
        <v>67</v>
      </c>
      <c r="G1487" t="s">
        <v>7720</v>
      </c>
      <c r="H1487" t="s">
        <v>7721</v>
      </c>
      <c r="I1487" t="s">
        <v>7722</v>
      </c>
      <c r="J1487" t="s">
        <v>87</v>
      </c>
      <c r="K1487" t="s">
        <v>19</v>
      </c>
      <c r="L1487" t="s">
        <v>72</v>
      </c>
      <c r="M1487" t="s">
        <v>72</v>
      </c>
      <c r="N1487" s="5"/>
      <c r="O1487" t="str">
        <f t="shared" si="23"/>
        <v/>
      </c>
    </row>
    <row r="1488" spans="1:15" x14ac:dyDescent="0.25">
      <c r="A1488" t="s">
        <v>7723</v>
      </c>
      <c r="B1488" t="s">
        <v>7724</v>
      </c>
      <c r="C1488" t="s">
        <v>144</v>
      </c>
      <c r="D1488">
        <v>2021</v>
      </c>
      <c r="E1488" t="s">
        <v>7184</v>
      </c>
      <c r="F1488" t="s">
        <v>67</v>
      </c>
      <c r="G1488" t="s">
        <v>84</v>
      </c>
      <c r="H1488" t="s">
        <v>7725</v>
      </c>
      <c r="I1488" t="s">
        <v>7726</v>
      </c>
      <c r="J1488" t="s">
        <v>71</v>
      </c>
      <c r="K1488" t="s">
        <v>18</v>
      </c>
      <c r="L1488" t="s">
        <v>72</v>
      </c>
      <c r="M1488" t="s">
        <v>72</v>
      </c>
      <c r="N1488" s="5"/>
      <c r="O1488" t="str">
        <f t="shared" si="23"/>
        <v/>
      </c>
    </row>
    <row r="1489" spans="1:15" x14ac:dyDescent="0.25">
      <c r="A1489" t="s">
        <v>7727</v>
      </c>
      <c r="B1489" t="s">
        <v>7728</v>
      </c>
      <c r="C1489" t="s">
        <v>7729</v>
      </c>
      <c r="D1489">
        <v>2021</v>
      </c>
      <c r="E1489" t="s">
        <v>7184</v>
      </c>
      <c r="F1489" t="s">
        <v>67</v>
      </c>
      <c r="G1489" t="s">
        <v>3288</v>
      </c>
      <c r="H1489" t="s">
        <v>7730</v>
      </c>
      <c r="I1489" t="s">
        <v>7731</v>
      </c>
      <c r="J1489" t="s">
        <v>87</v>
      </c>
      <c r="K1489" t="s">
        <v>19</v>
      </c>
      <c r="L1489" t="s">
        <v>72</v>
      </c>
      <c r="M1489" t="s">
        <v>72</v>
      </c>
      <c r="N1489" s="5"/>
      <c r="O1489" t="str">
        <f t="shared" si="23"/>
        <v/>
      </c>
    </row>
    <row r="1490" spans="1:15" x14ac:dyDescent="0.25">
      <c r="A1490" t="s">
        <v>7732</v>
      </c>
      <c r="B1490" t="s">
        <v>7733</v>
      </c>
      <c r="C1490" t="s">
        <v>7734</v>
      </c>
      <c r="D1490">
        <v>2021</v>
      </c>
      <c r="E1490" t="s">
        <v>7184</v>
      </c>
      <c r="F1490" t="s">
        <v>67</v>
      </c>
      <c r="G1490" t="s">
        <v>986</v>
      </c>
      <c r="H1490" t="s">
        <v>7735</v>
      </c>
      <c r="I1490" t="s">
        <v>7736</v>
      </c>
      <c r="J1490" t="s">
        <v>71</v>
      </c>
      <c r="K1490" t="s">
        <v>18</v>
      </c>
      <c r="L1490" t="s">
        <v>72</v>
      </c>
      <c r="M1490" t="s">
        <v>72</v>
      </c>
      <c r="N1490" s="5"/>
      <c r="O1490" t="str">
        <f t="shared" si="23"/>
        <v/>
      </c>
    </row>
    <row r="1491" spans="1:15" x14ac:dyDescent="0.25">
      <c r="A1491" t="s">
        <v>7737</v>
      </c>
      <c r="B1491" t="s">
        <v>7738</v>
      </c>
      <c r="C1491" t="s">
        <v>7739</v>
      </c>
      <c r="D1491">
        <v>2021</v>
      </c>
      <c r="E1491" t="s">
        <v>7184</v>
      </c>
      <c r="F1491" t="s">
        <v>57</v>
      </c>
      <c r="G1491" t="s">
        <v>766</v>
      </c>
      <c r="H1491" t="s">
        <v>7740</v>
      </c>
      <c r="I1491" t="s">
        <v>7741</v>
      </c>
      <c r="J1491" t="s">
        <v>98</v>
      </c>
      <c r="K1491" t="s">
        <v>99</v>
      </c>
      <c r="L1491" t="s">
        <v>63</v>
      </c>
      <c r="M1491" t="s">
        <v>72</v>
      </c>
      <c r="N1491" s="5"/>
      <c r="O1491" t="str">
        <f t="shared" si="23"/>
        <v/>
      </c>
    </row>
    <row r="1492" spans="1:15" x14ac:dyDescent="0.25">
      <c r="A1492" t="s">
        <v>7742</v>
      </c>
      <c r="B1492" t="s">
        <v>7743</v>
      </c>
      <c r="C1492" t="s">
        <v>7744</v>
      </c>
      <c r="D1492">
        <v>2021</v>
      </c>
      <c r="E1492" t="s">
        <v>7184</v>
      </c>
      <c r="F1492" t="s">
        <v>67</v>
      </c>
      <c r="G1492" t="s">
        <v>7745</v>
      </c>
      <c r="H1492" t="s">
        <v>7746</v>
      </c>
      <c r="I1492" t="s">
        <v>7747</v>
      </c>
      <c r="J1492" t="s">
        <v>71</v>
      </c>
      <c r="K1492" t="s">
        <v>18</v>
      </c>
      <c r="L1492" t="s">
        <v>72</v>
      </c>
      <c r="M1492" t="s">
        <v>72</v>
      </c>
      <c r="N1492" s="5"/>
      <c r="O1492" t="str">
        <f t="shared" si="23"/>
        <v/>
      </c>
    </row>
    <row r="1493" spans="1:15" x14ac:dyDescent="0.25">
      <c r="A1493" t="s">
        <v>7748</v>
      </c>
      <c r="B1493" t="s">
        <v>7749</v>
      </c>
      <c r="C1493" t="s">
        <v>7750</v>
      </c>
      <c r="D1493">
        <v>2021</v>
      </c>
      <c r="E1493" t="s">
        <v>7184</v>
      </c>
      <c r="F1493" t="s">
        <v>57</v>
      </c>
      <c r="G1493" t="s">
        <v>766</v>
      </c>
      <c r="H1493" t="s">
        <v>7751</v>
      </c>
      <c r="I1493" t="s">
        <v>7752</v>
      </c>
      <c r="J1493" t="s">
        <v>98</v>
      </c>
      <c r="K1493" t="s">
        <v>99</v>
      </c>
      <c r="L1493" t="s">
        <v>63</v>
      </c>
      <c r="M1493" t="s">
        <v>72</v>
      </c>
      <c r="N1493" s="5"/>
      <c r="O1493" t="str">
        <f t="shared" si="23"/>
        <v/>
      </c>
    </row>
    <row r="1494" spans="1:15" x14ac:dyDescent="0.25">
      <c r="A1494" t="s">
        <v>7753</v>
      </c>
      <c r="B1494" t="s">
        <v>7754</v>
      </c>
      <c r="C1494" t="s">
        <v>7755</v>
      </c>
      <c r="D1494">
        <v>2021</v>
      </c>
      <c r="E1494" t="s">
        <v>7184</v>
      </c>
      <c r="F1494" t="s">
        <v>67</v>
      </c>
      <c r="G1494" t="s">
        <v>7756</v>
      </c>
      <c r="H1494" t="s">
        <v>7757</v>
      </c>
      <c r="I1494" t="s">
        <v>7758</v>
      </c>
      <c r="J1494" t="s">
        <v>87</v>
      </c>
      <c r="K1494" t="s">
        <v>19</v>
      </c>
      <c r="L1494" t="s">
        <v>72</v>
      </c>
      <c r="M1494" t="s">
        <v>72</v>
      </c>
      <c r="N1494" s="5"/>
      <c r="O1494" t="str">
        <f t="shared" si="23"/>
        <v/>
      </c>
    </row>
    <row r="1495" spans="1:15" x14ac:dyDescent="0.25">
      <c r="A1495" t="s">
        <v>7759</v>
      </c>
      <c r="B1495" t="s">
        <v>7760</v>
      </c>
      <c r="C1495" t="s">
        <v>7761</v>
      </c>
      <c r="D1495">
        <v>2021</v>
      </c>
      <c r="E1495" t="s">
        <v>7184</v>
      </c>
      <c r="F1495" t="s">
        <v>67</v>
      </c>
      <c r="G1495" t="s">
        <v>188</v>
      </c>
      <c r="H1495" t="s">
        <v>7762</v>
      </c>
      <c r="I1495" t="s">
        <v>7763</v>
      </c>
      <c r="J1495" t="s">
        <v>71</v>
      </c>
      <c r="K1495" t="s">
        <v>18</v>
      </c>
      <c r="L1495" t="s">
        <v>72</v>
      </c>
      <c r="M1495" t="s">
        <v>72</v>
      </c>
      <c r="N1495" s="5"/>
      <c r="O1495" t="str">
        <f t="shared" si="23"/>
        <v/>
      </c>
    </row>
    <row r="1496" spans="1:15" x14ac:dyDescent="0.25">
      <c r="A1496" t="s">
        <v>7764</v>
      </c>
      <c r="B1496" t="s">
        <v>7765</v>
      </c>
      <c r="C1496" t="s">
        <v>5891</v>
      </c>
      <c r="D1496">
        <v>2021</v>
      </c>
      <c r="E1496" t="s">
        <v>7184</v>
      </c>
      <c r="F1496" t="s">
        <v>67</v>
      </c>
      <c r="G1496" t="s">
        <v>7756</v>
      </c>
      <c r="H1496" t="s">
        <v>7766</v>
      </c>
      <c r="I1496" t="s">
        <v>7767</v>
      </c>
      <c r="J1496" t="s">
        <v>87</v>
      </c>
      <c r="K1496" t="s">
        <v>19</v>
      </c>
      <c r="L1496" t="s">
        <v>72</v>
      </c>
      <c r="M1496" t="s">
        <v>72</v>
      </c>
      <c r="N1496" s="5"/>
      <c r="O1496" t="str">
        <f t="shared" si="23"/>
        <v/>
      </c>
    </row>
    <row r="1497" spans="1:15" x14ac:dyDescent="0.25">
      <c r="A1497" t="s">
        <v>7768</v>
      </c>
      <c r="B1497" t="s">
        <v>7769</v>
      </c>
      <c r="C1497" t="s">
        <v>7770</v>
      </c>
      <c r="D1497">
        <v>2021</v>
      </c>
      <c r="E1497" t="s">
        <v>7184</v>
      </c>
      <c r="F1497" t="s">
        <v>67</v>
      </c>
      <c r="G1497" t="s">
        <v>7771</v>
      </c>
      <c r="H1497" t="s">
        <v>7772</v>
      </c>
      <c r="I1497" t="s">
        <v>7773</v>
      </c>
      <c r="J1497" t="s">
        <v>71</v>
      </c>
      <c r="K1497" t="s">
        <v>18</v>
      </c>
      <c r="L1497" t="s">
        <v>72</v>
      </c>
      <c r="M1497" t="s">
        <v>72</v>
      </c>
      <c r="N1497" s="5"/>
      <c r="O1497" t="str">
        <f t="shared" si="23"/>
        <v/>
      </c>
    </row>
    <row r="1498" spans="1:15" x14ac:dyDescent="0.25">
      <c r="A1498" t="s">
        <v>7774</v>
      </c>
      <c r="B1498" t="s">
        <v>7775</v>
      </c>
      <c r="C1498" t="s">
        <v>7776</v>
      </c>
      <c r="D1498">
        <v>2021</v>
      </c>
      <c r="E1498" t="s">
        <v>7184</v>
      </c>
      <c r="F1498" t="s">
        <v>57</v>
      </c>
      <c r="G1498" t="s">
        <v>739</v>
      </c>
      <c r="H1498" t="s">
        <v>7777</v>
      </c>
      <c r="I1498" t="s">
        <v>7778</v>
      </c>
      <c r="J1498" t="s">
        <v>87</v>
      </c>
      <c r="K1498" t="s">
        <v>19</v>
      </c>
      <c r="L1498" t="s">
        <v>72</v>
      </c>
      <c r="M1498" t="s">
        <v>72</v>
      </c>
      <c r="N1498" s="5"/>
      <c r="O1498" t="str">
        <f t="shared" si="23"/>
        <v/>
      </c>
    </row>
    <row r="1499" spans="1:15" x14ac:dyDescent="0.25">
      <c r="A1499" t="s">
        <v>7779</v>
      </c>
      <c r="B1499" t="s">
        <v>7780</v>
      </c>
      <c r="C1499" t="s">
        <v>6965</v>
      </c>
      <c r="D1499">
        <v>2021</v>
      </c>
      <c r="E1499" t="s">
        <v>7184</v>
      </c>
      <c r="F1499" t="s">
        <v>57</v>
      </c>
      <c r="G1499" t="s">
        <v>7781</v>
      </c>
      <c r="H1499" t="s">
        <v>7782</v>
      </c>
      <c r="I1499" t="s">
        <v>7783</v>
      </c>
      <c r="J1499" t="s">
        <v>87</v>
      </c>
      <c r="K1499" t="s">
        <v>19</v>
      </c>
      <c r="L1499" t="s">
        <v>72</v>
      </c>
      <c r="M1499" t="s">
        <v>72</v>
      </c>
      <c r="N1499" s="5"/>
      <c r="O1499" t="str">
        <f t="shared" si="23"/>
        <v/>
      </c>
    </row>
    <row r="1500" spans="1:15" x14ac:dyDescent="0.25">
      <c r="A1500" t="s">
        <v>7784</v>
      </c>
      <c r="B1500" t="s">
        <v>7785</v>
      </c>
      <c r="C1500" t="s">
        <v>7786</v>
      </c>
      <c r="D1500">
        <v>2021</v>
      </c>
      <c r="E1500" t="s">
        <v>7184</v>
      </c>
      <c r="F1500" t="s">
        <v>57</v>
      </c>
      <c r="G1500" t="s">
        <v>1803</v>
      </c>
      <c r="H1500" t="s">
        <v>7787</v>
      </c>
      <c r="I1500" t="s">
        <v>7788</v>
      </c>
      <c r="J1500" t="s">
        <v>165</v>
      </c>
      <c r="K1500" t="s">
        <v>166</v>
      </c>
      <c r="L1500" t="s">
        <v>63</v>
      </c>
      <c r="M1500" t="s">
        <v>72</v>
      </c>
      <c r="N1500" s="5"/>
      <c r="O1500" t="str">
        <f t="shared" si="23"/>
        <v/>
      </c>
    </row>
    <row r="1501" spans="1:15" x14ac:dyDescent="0.25">
      <c r="A1501" t="s">
        <v>7789</v>
      </c>
      <c r="B1501" t="s">
        <v>7790</v>
      </c>
      <c r="C1501" t="s">
        <v>7562</v>
      </c>
      <c r="D1501">
        <v>2021</v>
      </c>
      <c r="E1501" t="s">
        <v>7184</v>
      </c>
      <c r="F1501" t="s">
        <v>67</v>
      </c>
      <c r="G1501" t="s">
        <v>3900</v>
      </c>
      <c r="H1501" t="s">
        <v>7791</v>
      </c>
      <c r="I1501" t="s">
        <v>7792</v>
      </c>
      <c r="J1501" t="s">
        <v>71</v>
      </c>
      <c r="K1501" t="s">
        <v>18</v>
      </c>
      <c r="L1501" t="s">
        <v>72</v>
      </c>
      <c r="M1501" t="s">
        <v>72</v>
      </c>
      <c r="N1501" s="5"/>
      <c r="O1501" t="str">
        <f t="shared" si="23"/>
        <v/>
      </c>
    </row>
    <row r="1502" spans="1:15" x14ac:dyDescent="0.25">
      <c r="A1502" t="s">
        <v>7793</v>
      </c>
      <c r="B1502" t="s">
        <v>7794</v>
      </c>
      <c r="C1502" t="s">
        <v>7795</v>
      </c>
      <c r="D1502">
        <v>2021</v>
      </c>
      <c r="E1502" t="s">
        <v>7184</v>
      </c>
      <c r="F1502" t="s">
        <v>57</v>
      </c>
      <c r="G1502" t="s">
        <v>750</v>
      </c>
      <c r="H1502" t="s">
        <v>7796</v>
      </c>
      <c r="I1502" t="s">
        <v>7797</v>
      </c>
      <c r="J1502" t="s">
        <v>98</v>
      </c>
      <c r="K1502" t="s">
        <v>99</v>
      </c>
      <c r="L1502" t="s">
        <v>63</v>
      </c>
      <c r="M1502" t="s">
        <v>72</v>
      </c>
      <c r="N1502" s="5"/>
      <c r="O1502" t="str">
        <f t="shared" si="23"/>
        <v/>
      </c>
    </row>
    <row r="1503" spans="1:15" x14ac:dyDescent="0.25">
      <c r="A1503" t="s">
        <v>7798</v>
      </c>
      <c r="B1503" t="s">
        <v>7799</v>
      </c>
      <c r="C1503" t="s">
        <v>7800</v>
      </c>
      <c r="D1503">
        <v>2021</v>
      </c>
      <c r="E1503" t="s">
        <v>7184</v>
      </c>
      <c r="F1503" t="s">
        <v>57</v>
      </c>
      <c r="G1503" t="s">
        <v>7801</v>
      </c>
      <c r="H1503" t="s">
        <v>7802</v>
      </c>
      <c r="I1503" t="s">
        <v>7803</v>
      </c>
      <c r="J1503" t="s">
        <v>87</v>
      </c>
      <c r="K1503" t="s">
        <v>19</v>
      </c>
      <c r="L1503" t="s">
        <v>72</v>
      </c>
      <c r="M1503" t="s">
        <v>72</v>
      </c>
      <c r="N1503" s="5"/>
      <c r="O1503" t="str">
        <f t="shared" si="23"/>
        <v/>
      </c>
    </row>
    <row r="1504" spans="1:15" x14ac:dyDescent="0.25">
      <c r="A1504" t="s">
        <v>7804</v>
      </c>
      <c r="B1504" t="s">
        <v>7805</v>
      </c>
      <c r="C1504" t="s">
        <v>7806</v>
      </c>
      <c r="D1504">
        <v>2021</v>
      </c>
      <c r="E1504" t="s">
        <v>7184</v>
      </c>
      <c r="F1504" t="s">
        <v>57</v>
      </c>
      <c r="G1504" t="s">
        <v>578</v>
      </c>
      <c r="H1504" t="s">
        <v>7807</v>
      </c>
      <c r="I1504" t="s">
        <v>7808</v>
      </c>
      <c r="J1504" t="s">
        <v>165</v>
      </c>
      <c r="K1504" t="s">
        <v>166</v>
      </c>
      <c r="L1504" t="s">
        <v>63</v>
      </c>
      <c r="M1504" t="s">
        <v>72</v>
      </c>
      <c r="N1504" s="5"/>
      <c r="O1504" t="str">
        <f t="shared" si="23"/>
        <v/>
      </c>
    </row>
    <row r="1505" spans="1:15" x14ac:dyDescent="0.25">
      <c r="A1505" t="s">
        <v>7809</v>
      </c>
      <c r="B1505" t="s">
        <v>7810</v>
      </c>
      <c r="C1505" t="s">
        <v>144</v>
      </c>
      <c r="D1505">
        <v>2021</v>
      </c>
      <c r="E1505" t="s">
        <v>7184</v>
      </c>
      <c r="F1505" t="s">
        <v>67</v>
      </c>
      <c r="G1505" t="s">
        <v>7811</v>
      </c>
      <c r="H1505" t="s">
        <v>7812</v>
      </c>
      <c r="I1505" t="s">
        <v>7813</v>
      </c>
      <c r="J1505" t="s">
        <v>98</v>
      </c>
      <c r="K1505" t="s">
        <v>99</v>
      </c>
      <c r="L1505" t="s">
        <v>63</v>
      </c>
      <c r="M1505" t="s">
        <v>72</v>
      </c>
      <c r="N1505" s="5"/>
      <c r="O1505" t="str">
        <f t="shared" si="23"/>
        <v/>
      </c>
    </row>
    <row r="1506" spans="1:15" x14ac:dyDescent="0.25">
      <c r="A1506" t="s">
        <v>7814</v>
      </c>
      <c r="B1506" t="s">
        <v>7815</v>
      </c>
      <c r="C1506" t="s">
        <v>6678</v>
      </c>
      <c r="D1506">
        <v>2021</v>
      </c>
      <c r="E1506" t="s">
        <v>7184</v>
      </c>
      <c r="F1506" t="s">
        <v>67</v>
      </c>
      <c r="G1506" t="s">
        <v>7816</v>
      </c>
      <c r="H1506" t="s">
        <v>7817</v>
      </c>
      <c r="I1506" t="s">
        <v>7818</v>
      </c>
      <c r="J1506" t="s">
        <v>98</v>
      </c>
      <c r="K1506" t="s">
        <v>99</v>
      </c>
      <c r="L1506" t="s">
        <v>63</v>
      </c>
      <c r="M1506" t="s">
        <v>72</v>
      </c>
      <c r="N1506" s="5"/>
      <c r="O1506" t="str">
        <f t="shared" si="23"/>
        <v/>
      </c>
    </row>
    <row r="1507" spans="1:15" x14ac:dyDescent="0.25">
      <c r="A1507" t="s">
        <v>7819</v>
      </c>
      <c r="B1507" t="s">
        <v>7820</v>
      </c>
      <c r="C1507" t="s">
        <v>1181</v>
      </c>
      <c r="D1507">
        <v>2021</v>
      </c>
      <c r="E1507" t="s">
        <v>7184</v>
      </c>
      <c r="F1507" t="s">
        <v>67</v>
      </c>
      <c r="G1507" t="s">
        <v>84</v>
      </c>
      <c r="H1507" t="s">
        <v>7821</v>
      </c>
      <c r="I1507" t="s">
        <v>7822</v>
      </c>
      <c r="J1507" t="s">
        <v>87</v>
      </c>
      <c r="K1507" t="s">
        <v>19</v>
      </c>
      <c r="L1507" t="s">
        <v>72</v>
      </c>
      <c r="M1507" t="s">
        <v>72</v>
      </c>
      <c r="N1507" s="5"/>
      <c r="O1507" t="str">
        <f t="shared" si="23"/>
        <v/>
      </c>
    </row>
    <row r="1508" spans="1:15" x14ac:dyDescent="0.25">
      <c r="A1508" t="s">
        <v>7823</v>
      </c>
      <c r="B1508" t="s">
        <v>7824</v>
      </c>
      <c r="C1508" t="s">
        <v>452</v>
      </c>
      <c r="D1508">
        <v>2021</v>
      </c>
      <c r="E1508" t="s">
        <v>7184</v>
      </c>
      <c r="F1508" t="s">
        <v>67</v>
      </c>
      <c r="G1508" t="s">
        <v>7825</v>
      </c>
      <c r="H1508" t="s">
        <v>7826</v>
      </c>
      <c r="I1508" t="s">
        <v>7827</v>
      </c>
      <c r="J1508" t="s">
        <v>71</v>
      </c>
      <c r="K1508" t="s">
        <v>18</v>
      </c>
      <c r="L1508" t="s">
        <v>72</v>
      </c>
      <c r="M1508" t="s">
        <v>72</v>
      </c>
      <c r="N1508" s="5"/>
      <c r="O1508" t="str">
        <f t="shared" si="23"/>
        <v/>
      </c>
    </row>
    <row r="1509" spans="1:15" x14ac:dyDescent="0.25">
      <c r="A1509" t="s">
        <v>7828</v>
      </c>
      <c r="B1509" t="s">
        <v>7829</v>
      </c>
      <c r="C1509" t="s">
        <v>7830</v>
      </c>
      <c r="D1509">
        <v>2021</v>
      </c>
      <c r="E1509" t="s">
        <v>7184</v>
      </c>
      <c r="F1509" t="s">
        <v>67</v>
      </c>
      <c r="G1509" t="s">
        <v>7831</v>
      </c>
      <c r="H1509" t="s">
        <v>7832</v>
      </c>
      <c r="I1509" t="s">
        <v>7833</v>
      </c>
      <c r="J1509" t="s">
        <v>71</v>
      </c>
      <c r="K1509" t="s">
        <v>18</v>
      </c>
      <c r="L1509" t="s">
        <v>72</v>
      </c>
      <c r="M1509" t="s">
        <v>72</v>
      </c>
      <c r="N1509" s="5"/>
      <c r="O1509" t="str">
        <f t="shared" si="23"/>
        <v/>
      </c>
    </row>
    <row r="1510" spans="1:15" x14ac:dyDescent="0.25">
      <c r="A1510" t="s">
        <v>7834</v>
      </c>
      <c r="B1510" t="s">
        <v>7835</v>
      </c>
      <c r="C1510" t="s">
        <v>1135</v>
      </c>
      <c r="D1510">
        <v>2021</v>
      </c>
      <c r="E1510" t="s">
        <v>7184</v>
      </c>
      <c r="F1510" t="s">
        <v>67</v>
      </c>
      <c r="G1510" t="s">
        <v>3288</v>
      </c>
      <c r="H1510" t="s">
        <v>7836</v>
      </c>
      <c r="I1510" t="s">
        <v>7837</v>
      </c>
      <c r="J1510" t="s">
        <v>71</v>
      </c>
      <c r="K1510" t="s">
        <v>18</v>
      </c>
      <c r="L1510" t="s">
        <v>72</v>
      </c>
      <c r="M1510" t="s">
        <v>72</v>
      </c>
      <c r="N1510" s="5"/>
      <c r="O1510" t="str">
        <f t="shared" si="23"/>
        <v/>
      </c>
    </row>
    <row r="1511" spans="1:15" x14ac:dyDescent="0.25">
      <c r="A1511" t="s">
        <v>7838</v>
      </c>
      <c r="B1511" t="s">
        <v>7839</v>
      </c>
      <c r="C1511" t="s">
        <v>7840</v>
      </c>
      <c r="D1511">
        <v>2021</v>
      </c>
      <c r="E1511" t="s">
        <v>7184</v>
      </c>
      <c r="F1511" t="s">
        <v>67</v>
      </c>
      <c r="G1511" t="s">
        <v>7841</v>
      </c>
      <c r="H1511" t="s">
        <v>7842</v>
      </c>
      <c r="I1511" t="s">
        <v>7843</v>
      </c>
      <c r="J1511" t="s">
        <v>71</v>
      </c>
      <c r="K1511" t="s">
        <v>18</v>
      </c>
      <c r="L1511" t="s">
        <v>72</v>
      </c>
      <c r="M1511" t="s">
        <v>72</v>
      </c>
      <c r="N1511" s="5"/>
      <c r="O1511" t="str">
        <f t="shared" si="23"/>
        <v/>
      </c>
    </row>
    <row r="1512" spans="1:15" x14ac:dyDescent="0.25">
      <c r="A1512" t="s">
        <v>7844</v>
      </c>
      <c r="B1512" t="s">
        <v>7845</v>
      </c>
      <c r="C1512" t="s">
        <v>6293</v>
      </c>
      <c r="D1512">
        <v>2021</v>
      </c>
      <c r="E1512" t="s">
        <v>7184</v>
      </c>
      <c r="F1512" t="s">
        <v>57</v>
      </c>
      <c r="G1512" t="s">
        <v>7846</v>
      </c>
      <c r="H1512" t="s">
        <v>7847</v>
      </c>
      <c r="I1512" t="s">
        <v>7848</v>
      </c>
      <c r="J1512" t="s">
        <v>61</v>
      </c>
      <c r="K1512" t="s">
        <v>62</v>
      </c>
      <c r="L1512" t="s">
        <v>63</v>
      </c>
      <c r="M1512" t="s">
        <v>63</v>
      </c>
      <c r="N1512" s="5"/>
      <c r="O1512" t="str">
        <f t="shared" si="23"/>
        <v/>
      </c>
    </row>
    <row r="1513" spans="1:15" x14ac:dyDescent="0.25">
      <c r="A1513" t="s">
        <v>7849</v>
      </c>
      <c r="B1513" t="s">
        <v>7850</v>
      </c>
      <c r="C1513" t="s">
        <v>7851</v>
      </c>
      <c r="D1513">
        <v>2021</v>
      </c>
      <c r="E1513" t="s">
        <v>7184</v>
      </c>
      <c r="F1513" t="s">
        <v>67</v>
      </c>
      <c r="G1513" t="s">
        <v>3288</v>
      </c>
      <c r="H1513" t="s">
        <v>7852</v>
      </c>
      <c r="I1513" t="s">
        <v>7853</v>
      </c>
      <c r="J1513" t="s">
        <v>71</v>
      </c>
      <c r="K1513" t="s">
        <v>18</v>
      </c>
      <c r="L1513" t="s">
        <v>72</v>
      </c>
      <c r="M1513" t="s">
        <v>72</v>
      </c>
      <c r="N1513" s="5"/>
      <c r="O1513" t="str">
        <f t="shared" si="23"/>
        <v/>
      </c>
    </row>
    <row r="1514" spans="1:15" x14ac:dyDescent="0.25">
      <c r="A1514" t="s">
        <v>7854</v>
      </c>
      <c r="B1514" t="s">
        <v>7855</v>
      </c>
      <c r="C1514" t="s">
        <v>1364</v>
      </c>
      <c r="D1514">
        <v>2021</v>
      </c>
      <c r="E1514" t="s">
        <v>7184</v>
      </c>
      <c r="F1514" t="s">
        <v>67</v>
      </c>
      <c r="G1514" t="s">
        <v>7856</v>
      </c>
      <c r="H1514" t="s">
        <v>7857</v>
      </c>
      <c r="I1514" t="s">
        <v>7858</v>
      </c>
      <c r="J1514" t="s">
        <v>71</v>
      </c>
      <c r="K1514" t="s">
        <v>18</v>
      </c>
      <c r="L1514" t="s">
        <v>72</v>
      </c>
      <c r="M1514" t="s">
        <v>72</v>
      </c>
      <c r="N1514" s="5"/>
      <c r="O1514" t="str">
        <f t="shared" si="23"/>
        <v/>
      </c>
    </row>
    <row r="1515" spans="1:15" x14ac:dyDescent="0.25">
      <c r="A1515" t="s">
        <v>7859</v>
      </c>
      <c r="B1515" t="s">
        <v>7860</v>
      </c>
      <c r="C1515" t="s">
        <v>7861</v>
      </c>
      <c r="D1515">
        <v>2021</v>
      </c>
      <c r="E1515" t="s">
        <v>7184</v>
      </c>
      <c r="F1515" t="s">
        <v>67</v>
      </c>
      <c r="G1515" t="s">
        <v>7862</v>
      </c>
      <c r="H1515" t="s">
        <v>7863</v>
      </c>
      <c r="I1515" t="s">
        <v>7864</v>
      </c>
      <c r="J1515" t="s">
        <v>71</v>
      </c>
      <c r="K1515" t="s">
        <v>18</v>
      </c>
      <c r="L1515" t="s">
        <v>72</v>
      </c>
      <c r="M1515" t="s">
        <v>72</v>
      </c>
      <c r="N1515" s="5"/>
      <c r="O1515" t="str">
        <f t="shared" si="23"/>
        <v/>
      </c>
    </row>
    <row r="1516" spans="1:15" x14ac:dyDescent="0.25">
      <c r="A1516" t="s">
        <v>7865</v>
      </c>
      <c r="B1516" t="s">
        <v>7866</v>
      </c>
      <c r="C1516" t="s">
        <v>5371</v>
      </c>
      <c r="D1516">
        <v>2021</v>
      </c>
      <c r="E1516" t="s">
        <v>7184</v>
      </c>
      <c r="F1516" t="s">
        <v>67</v>
      </c>
      <c r="G1516" t="s">
        <v>7628</v>
      </c>
      <c r="H1516" t="s">
        <v>7867</v>
      </c>
      <c r="I1516" t="s">
        <v>7868</v>
      </c>
      <c r="J1516" t="s">
        <v>165</v>
      </c>
      <c r="K1516" t="s">
        <v>166</v>
      </c>
      <c r="L1516" t="s">
        <v>63</v>
      </c>
      <c r="M1516" t="s">
        <v>72</v>
      </c>
      <c r="N1516" s="5"/>
      <c r="O1516" t="str">
        <f t="shared" si="23"/>
        <v/>
      </c>
    </row>
    <row r="1517" spans="1:15" x14ac:dyDescent="0.25">
      <c r="A1517" t="s">
        <v>7869</v>
      </c>
      <c r="B1517" t="s">
        <v>7870</v>
      </c>
      <c r="C1517" t="s">
        <v>95</v>
      </c>
      <c r="D1517">
        <v>2021</v>
      </c>
      <c r="E1517" t="s">
        <v>7184</v>
      </c>
      <c r="F1517" t="s">
        <v>67</v>
      </c>
      <c r="G1517" t="s">
        <v>7871</v>
      </c>
      <c r="H1517" t="s">
        <v>7872</v>
      </c>
      <c r="I1517" t="s">
        <v>7873</v>
      </c>
      <c r="J1517" t="s">
        <v>71</v>
      </c>
      <c r="K1517" t="s">
        <v>18</v>
      </c>
      <c r="L1517" t="s">
        <v>72</v>
      </c>
      <c r="M1517" t="s">
        <v>72</v>
      </c>
      <c r="N1517" s="5"/>
      <c r="O1517" t="str">
        <f t="shared" si="23"/>
        <v/>
      </c>
    </row>
    <row r="1518" spans="1:15" x14ac:dyDescent="0.25">
      <c r="A1518" t="s">
        <v>7874</v>
      </c>
      <c r="B1518" t="s">
        <v>7875</v>
      </c>
      <c r="C1518" t="s">
        <v>95</v>
      </c>
      <c r="D1518">
        <v>2021</v>
      </c>
      <c r="E1518" t="s">
        <v>7184</v>
      </c>
      <c r="F1518" t="s">
        <v>67</v>
      </c>
      <c r="G1518" t="s">
        <v>7876</v>
      </c>
      <c r="H1518" t="s">
        <v>7877</v>
      </c>
      <c r="I1518" t="s">
        <v>7878</v>
      </c>
      <c r="J1518" t="s">
        <v>71</v>
      </c>
      <c r="K1518" t="s">
        <v>18</v>
      </c>
      <c r="L1518" t="s">
        <v>72</v>
      </c>
      <c r="M1518" t="s">
        <v>72</v>
      </c>
      <c r="N1518" s="5"/>
      <c r="O1518" t="str">
        <f t="shared" si="23"/>
        <v/>
      </c>
    </row>
    <row r="1519" spans="1:15" x14ac:dyDescent="0.25">
      <c r="A1519" t="s">
        <v>7879</v>
      </c>
      <c r="B1519" t="s">
        <v>7880</v>
      </c>
      <c r="C1519" t="s">
        <v>7881</v>
      </c>
      <c r="D1519">
        <v>2021</v>
      </c>
      <c r="E1519" t="s">
        <v>7184</v>
      </c>
      <c r="F1519" t="s">
        <v>67</v>
      </c>
      <c r="G1519" t="s">
        <v>7578</v>
      </c>
      <c r="H1519" t="s">
        <v>7882</v>
      </c>
      <c r="I1519" t="s">
        <v>7883</v>
      </c>
      <c r="J1519" t="s">
        <v>71</v>
      </c>
      <c r="K1519" t="s">
        <v>18</v>
      </c>
      <c r="L1519" t="s">
        <v>72</v>
      </c>
      <c r="M1519" t="s">
        <v>72</v>
      </c>
      <c r="N1519" s="5"/>
      <c r="O1519" t="str">
        <f t="shared" si="23"/>
        <v/>
      </c>
    </row>
    <row r="1520" spans="1:15" x14ac:dyDescent="0.25">
      <c r="A1520" t="s">
        <v>7884</v>
      </c>
      <c r="B1520" t="s">
        <v>7885</v>
      </c>
      <c r="C1520" t="s">
        <v>7886</v>
      </c>
      <c r="D1520">
        <v>2021</v>
      </c>
      <c r="E1520" t="s">
        <v>7184</v>
      </c>
      <c r="F1520" t="s">
        <v>67</v>
      </c>
      <c r="G1520" t="s">
        <v>7887</v>
      </c>
      <c r="H1520" t="s">
        <v>7888</v>
      </c>
      <c r="I1520" t="s">
        <v>7889</v>
      </c>
      <c r="J1520" t="s">
        <v>71</v>
      </c>
      <c r="K1520" t="s">
        <v>18</v>
      </c>
      <c r="L1520" t="s">
        <v>72</v>
      </c>
      <c r="M1520" t="s">
        <v>72</v>
      </c>
      <c r="N1520" s="5"/>
      <c r="O1520" t="str">
        <f t="shared" si="23"/>
        <v/>
      </c>
    </row>
    <row r="1521" spans="1:15" x14ac:dyDescent="0.25">
      <c r="A1521" t="s">
        <v>7890</v>
      </c>
      <c r="B1521" t="s">
        <v>7891</v>
      </c>
      <c r="C1521" t="s">
        <v>7892</v>
      </c>
      <c r="D1521">
        <v>2021</v>
      </c>
      <c r="E1521" t="s">
        <v>7184</v>
      </c>
      <c r="F1521" t="s">
        <v>57</v>
      </c>
      <c r="G1521" t="s">
        <v>4339</v>
      </c>
      <c r="H1521" t="s">
        <v>7893</v>
      </c>
      <c r="I1521" t="s">
        <v>7894</v>
      </c>
      <c r="J1521" t="s">
        <v>71</v>
      </c>
      <c r="K1521" t="s">
        <v>18</v>
      </c>
      <c r="L1521" t="s">
        <v>72</v>
      </c>
      <c r="M1521" t="s">
        <v>72</v>
      </c>
      <c r="N1521" s="5"/>
      <c r="O1521" t="str">
        <f t="shared" si="23"/>
        <v/>
      </c>
    </row>
    <row r="1522" spans="1:15" x14ac:dyDescent="0.25">
      <c r="A1522" t="s">
        <v>7895</v>
      </c>
      <c r="B1522" t="s">
        <v>7896</v>
      </c>
      <c r="C1522" t="s">
        <v>1181</v>
      </c>
      <c r="D1522">
        <v>2021</v>
      </c>
      <c r="E1522" t="s">
        <v>7184</v>
      </c>
      <c r="F1522" t="s">
        <v>67</v>
      </c>
      <c r="G1522" t="s">
        <v>7897</v>
      </c>
      <c r="H1522" t="s">
        <v>7898</v>
      </c>
      <c r="I1522" t="s">
        <v>7899</v>
      </c>
      <c r="J1522" t="s">
        <v>71</v>
      </c>
      <c r="K1522" t="s">
        <v>18</v>
      </c>
      <c r="L1522" t="s">
        <v>72</v>
      </c>
      <c r="M1522" t="s">
        <v>72</v>
      </c>
      <c r="N1522" s="5"/>
      <c r="O1522" t="str">
        <f t="shared" si="23"/>
        <v/>
      </c>
    </row>
    <row r="1523" spans="1:15" x14ac:dyDescent="0.25">
      <c r="A1523" t="s">
        <v>7900</v>
      </c>
      <c r="B1523" t="s">
        <v>7901</v>
      </c>
      <c r="C1523" t="s">
        <v>7902</v>
      </c>
      <c r="D1523">
        <v>2021</v>
      </c>
      <c r="E1523" t="s">
        <v>7184</v>
      </c>
      <c r="F1523" t="s">
        <v>67</v>
      </c>
      <c r="G1523" t="s">
        <v>679</v>
      </c>
      <c r="H1523" t="s">
        <v>7903</v>
      </c>
      <c r="I1523" t="s">
        <v>7904</v>
      </c>
      <c r="J1523" t="s">
        <v>71</v>
      </c>
      <c r="K1523" t="s">
        <v>18</v>
      </c>
      <c r="L1523" t="s">
        <v>72</v>
      </c>
      <c r="M1523" t="s">
        <v>72</v>
      </c>
      <c r="N1523" s="5"/>
      <c r="O1523" t="str">
        <f t="shared" si="23"/>
        <v/>
      </c>
    </row>
    <row r="1524" spans="1:15" x14ac:dyDescent="0.25">
      <c r="A1524" t="s">
        <v>7905</v>
      </c>
      <c r="B1524" t="s">
        <v>7906</v>
      </c>
      <c r="C1524" t="s">
        <v>7907</v>
      </c>
      <c r="D1524">
        <v>2021</v>
      </c>
      <c r="E1524" t="s">
        <v>7184</v>
      </c>
      <c r="F1524" t="s">
        <v>67</v>
      </c>
      <c r="G1524" t="s">
        <v>3288</v>
      </c>
      <c r="H1524" t="s">
        <v>7908</v>
      </c>
      <c r="I1524" t="s">
        <v>7909</v>
      </c>
      <c r="J1524" t="s">
        <v>87</v>
      </c>
      <c r="K1524" t="s">
        <v>19</v>
      </c>
      <c r="L1524" t="s">
        <v>72</v>
      </c>
      <c r="M1524" t="s">
        <v>72</v>
      </c>
      <c r="N1524" s="5"/>
      <c r="O1524" t="str">
        <f t="shared" si="23"/>
        <v/>
      </c>
    </row>
    <row r="1525" spans="1:15" x14ac:dyDescent="0.25">
      <c r="A1525" t="s">
        <v>7910</v>
      </c>
      <c r="B1525" t="s">
        <v>7911</v>
      </c>
      <c r="C1525" t="s">
        <v>7912</v>
      </c>
      <c r="D1525">
        <v>2021</v>
      </c>
      <c r="E1525" t="s">
        <v>7184</v>
      </c>
      <c r="F1525" t="s">
        <v>67</v>
      </c>
      <c r="G1525" t="s">
        <v>7913</v>
      </c>
      <c r="H1525" t="s">
        <v>7914</v>
      </c>
      <c r="I1525" t="s">
        <v>7915</v>
      </c>
      <c r="J1525" t="s">
        <v>71</v>
      </c>
      <c r="K1525" t="s">
        <v>18</v>
      </c>
      <c r="L1525" t="s">
        <v>72</v>
      </c>
      <c r="M1525" t="s">
        <v>72</v>
      </c>
      <c r="N1525" s="5"/>
      <c r="O1525" t="str">
        <f t="shared" si="23"/>
        <v/>
      </c>
    </row>
    <row r="1526" spans="1:15" x14ac:dyDescent="0.25">
      <c r="A1526" t="s">
        <v>7916</v>
      </c>
      <c r="B1526" t="s">
        <v>7917</v>
      </c>
      <c r="C1526" t="s">
        <v>7918</v>
      </c>
      <c r="D1526">
        <v>2021</v>
      </c>
      <c r="E1526" t="s">
        <v>7184</v>
      </c>
      <c r="F1526" t="s">
        <v>67</v>
      </c>
      <c r="G1526" t="s">
        <v>84</v>
      </c>
      <c r="H1526" t="s">
        <v>7919</v>
      </c>
      <c r="I1526" t="s">
        <v>7920</v>
      </c>
      <c r="J1526" t="s">
        <v>98</v>
      </c>
      <c r="K1526" t="s">
        <v>99</v>
      </c>
      <c r="L1526" t="s">
        <v>63</v>
      </c>
      <c r="M1526" t="s">
        <v>72</v>
      </c>
      <c r="N1526" s="5"/>
      <c r="O1526" t="str">
        <f t="shared" si="23"/>
        <v/>
      </c>
    </row>
    <row r="1527" spans="1:15" x14ac:dyDescent="0.25">
      <c r="A1527" t="s">
        <v>7921</v>
      </c>
      <c r="B1527" t="s">
        <v>7922</v>
      </c>
      <c r="C1527" t="s">
        <v>7923</v>
      </c>
      <c r="D1527">
        <v>2021</v>
      </c>
      <c r="E1527" t="s">
        <v>7184</v>
      </c>
      <c r="F1527" t="s">
        <v>67</v>
      </c>
      <c r="G1527" t="s">
        <v>7924</v>
      </c>
      <c r="H1527" t="s">
        <v>7919</v>
      </c>
      <c r="I1527" t="s">
        <v>7925</v>
      </c>
      <c r="J1527" t="s">
        <v>7926</v>
      </c>
      <c r="K1527" t="s">
        <v>7927</v>
      </c>
      <c r="L1527" t="s">
        <v>72</v>
      </c>
      <c r="M1527" t="s">
        <v>72</v>
      </c>
      <c r="N1527" s="5"/>
      <c r="O1527" t="str">
        <f t="shared" si="23"/>
        <v/>
      </c>
    </row>
    <row r="1528" spans="1:15" x14ac:dyDescent="0.25">
      <c r="A1528" t="s">
        <v>7928</v>
      </c>
      <c r="B1528" t="s">
        <v>7929</v>
      </c>
      <c r="C1528" t="s">
        <v>95</v>
      </c>
      <c r="D1528">
        <v>2020</v>
      </c>
      <c r="E1528" t="s">
        <v>7184</v>
      </c>
      <c r="F1528" t="s">
        <v>67</v>
      </c>
      <c r="G1528" t="s">
        <v>84</v>
      </c>
      <c r="H1528" t="s">
        <v>7930</v>
      </c>
      <c r="I1528" t="s">
        <v>7931</v>
      </c>
      <c r="J1528" t="s">
        <v>87</v>
      </c>
      <c r="K1528" t="s">
        <v>19</v>
      </c>
      <c r="L1528" t="s">
        <v>72</v>
      </c>
      <c r="M1528" t="s">
        <v>72</v>
      </c>
      <c r="N1528" s="5"/>
      <c r="O1528" t="str">
        <f t="shared" si="23"/>
        <v/>
      </c>
    </row>
    <row r="1529" spans="1:15" x14ac:dyDescent="0.25">
      <c r="A1529" t="s">
        <v>7932</v>
      </c>
      <c r="B1529" t="s">
        <v>7933</v>
      </c>
      <c r="C1529" t="s">
        <v>7934</v>
      </c>
      <c r="D1529">
        <v>2020</v>
      </c>
      <c r="E1529" t="s">
        <v>7184</v>
      </c>
      <c r="F1529" t="s">
        <v>67</v>
      </c>
      <c r="G1529" t="s">
        <v>84</v>
      </c>
      <c r="H1529" t="s">
        <v>7935</v>
      </c>
      <c r="I1529" t="s">
        <v>7936</v>
      </c>
      <c r="J1529" t="s">
        <v>71</v>
      </c>
      <c r="K1529" t="s">
        <v>18</v>
      </c>
      <c r="L1529" t="s">
        <v>72</v>
      </c>
      <c r="M1529" t="s">
        <v>72</v>
      </c>
      <c r="N1529" s="5"/>
      <c r="O1529" t="str">
        <f t="shared" si="23"/>
        <v/>
      </c>
    </row>
    <row r="1530" spans="1:15" x14ac:dyDescent="0.25">
      <c r="A1530" t="s">
        <v>7937</v>
      </c>
      <c r="B1530" t="s">
        <v>7938</v>
      </c>
      <c r="C1530" t="s">
        <v>7939</v>
      </c>
      <c r="D1530">
        <v>2020</v>
      </c>
      <c r="E1530" t="s">
        <v>7184</v>
      </c>
      <c r="F1530" t="s">
        <v>67</v>
      </c>
      <c r="G1530" t="s">
        <v>7940</v>
      </c>
      <c r="H1530" t="s">
        <v>7941</v>
      </c>
      <c r="I1530" t="s">
        <v>7942</v>
      </c>
      <c r="J1530" t="s">
        <v>71</v>
      </c>
      <c r="K1530" t="s">
        <v>18</v>
      </c>
      <c r="L1530" t="s">
        <v>72</v>
      </c>
      <c r="M1530" t="s">
        <v>72</v>
      </c>
      <c r="N1530" s="5"/>
      <c r="O1530" t="str">
        <f t="shared" si="23"/>
        <v/>
      </c>
    </row>
    <row r="1531" spans="1:15" x14ac:dyDescent="0.25">
      <c r="A1531" t="s">
        <v>7943</v>
      </c>
      <c r="B1531" t="s">
        <v>7944</v>
      </c>
      <c r="C1531" t="s">
        <v>7755</v>
      </c>
      <c r="D1531">
        <v>2020</v>
      </c>
      <c r="E1531" t="s">
        <v>7184</v>
      </c>
      <c r="F1531" t="s">
        <v>57</v>
      </c>
      <c r="G1531" t="s">
        <v>7945</v>
      </c>
      <c r="H1531" t="s">
        <v>7946</v>
      </c>
      <c r="I1531" t="s">
        <v>7947</v>
      </c>
      <c r="J1531" t="s">
        <v>87</v>
      </c>
      <c r="K1531" t="s">
        <v>19</v>
      </c>
      <c r="L1531" t="s">
        <v>72</v>
      </c>
      <c r="M1531" t="s">
        <v>72</v>
      </c>
      <c r="N1531" s="5"/>
      <c r="O1531" t="str">
        <f t="shared" si="23"/>
        <v/>
      </c>
    </row>
    <row r="1532" spans="1:15" x14ac:dyDescent="0.25">
      <c r="A1532" t="s">
        <v>7948</v>
      </c>
      <c r="B1532" t="s">
        <v>7949</v>
      </c>
      <c r="C1532" t="s">
        <v>7950</v>
      </c>
      <c r="D1532">
        <v>2020</v>
      </c>
      <c r="E1532" t="s">
        <v>7184</v>
      </c>
      <c r="F1532" t="s">
        <v>67</v>
      </c>
      <c r="G1532" t="s">
        <v>84</v>
      </c>
      <c r="H1532" t="s">
        <v>7951</v>
      </c>
      <c r="I1532" t="s">
        <v>7952</v>
      </c>
      <c r="J1532" t="s">
        <v>71</v>
      </c>
      <c r="K1532" t="s">
        <v>18</v>
      </c>
      <c r="L1532" t="s">
        <v>72</v>
      </c>
      <c r="M1532" t="s">
        <v>72</v>
      </c>
      <c r="N1532" s="5"/>
      <c r="O1532" t="str">
        <f t="shared" si="23"/>
        <v/>
      </c>
    </row>
    <row r="1533" spans="1:15" x14ac:dyDescent="0.25">
      <c r="A1533" t="s">
        <v>7953</v>
      </c>
      <c r="B1533" t="s">
        <v>7954</v>
      </c>
      <c r="C1533" t="s">
        <v>7955</v>
      </c>
      <c r="D1533">
        <v>2020</v>
      </c>
      <c r="E1533" t="s">
        <v>7184</v>
      </c>
      <c r="F1533" t="s">
        <v>57</v>
      </c>
      <c r="G1533" t="s">
        <v>859</v>
      </c>
      <c r="H1533" t="s">
        <v>7956</v>
      </c>
      <c r="I1533" t="s">
        <v>7957</v>
      </c>
      <c r="J1533" t="s">
        <v>98</v>
      </c>
      <c r="K1533" t="s">
        <v>99</v>
      </c>
      <c r="L1533" t="s">
        <v>63</v>
      </c>
      <c r="M1533" t="s">
        <v>72</v>
      </c>
      <c r="N1533" s="5"/>
      <c r="O1533" t="str">
        <f t="shared" si="23"/>
        <v/>
      </c>
    </row>
    <row r="1534" spans="1:15" x14ac:dyDescent="0.25">
      <c r="A1534" t="s">
        <v>7958</v>
      </c>
      <c r="B1534" t="s">
        <v>7959</v>
      </c>
      <c r="C1534" t="s">
        <v>7960</v>
      </c>
      <c r="D1534">
        <v>2020</v>
      </c>
      <c r="E1534" t="s">
        <v>7184</v>
      </c>
      <c r="F1534" t="s">
        <v>67</v>
      </c>
      <c r="G1534" t="s">
        <v>7961</v>
      </c>
      <c r="H1534" t="s">
        <v>7962</v>
      </c>
      <c r="I1534" t="s">
        <v>7963</v>
      </c>
      <c r="J1534" t="s">
        <v>87</v>
      </c>
      <c r="K1534" t="s">
        <v>19</v>
      </c>
      <c r="L1534" t="s">
        <v>72</v>
      </c>
      <c r="M1534" t="s">
        <v>72</v>
      </c>
      <c r="N1534" s="5"/>
      <c r="O1534" t="str">
        <f t="shared" si="23"/>
        <v/>
      </c>
    </row>
    <row r="1535" spans="1:15" x14ac:dyDescent="0.25">
      <c r="A1535" t="s">
        <v>7964</v>
      </c>
      <c r="B1535" t="s">
        <v>7965</v>
      </c>
      <c r="C1535" t="s">
        <v>5371</v>
      </c>
      <c r="D1535">
        <v>2020</v>
      </c>
      <c r="E1535" t="s">
        <v>7184</v>
      </c>
      <c r="F1535" t="s">
        <v>67</v>
      </c>
      <c r="G1535" t="s">
        <v>7966</v>
      </c>
      <c r="H1535" t="s">
        <v>7967</v>
      </c>
      <c r="I1535" t="s">
        <v>7968</v>
      </c>
      <c r="J1535" t="s">
        <v>165</v>
      </c>
      <c r="K1535" t="s">
        <v>166</v>
      </c>
      <c r="L1535" t="s">
        <v>63</v>
      </c>
      <c r="M1535" t="s">
        <v>72</v>
      </c>
      <c r="N1535" s="5"/>
      <c r="O1535" t="str">
        <f t="shared" si="23"/>
        <v/>
      </c>
    </row>
    <row r="1536" spans="1:15" x14ac:dyDescent="0.25">
      <c r="A1536" t="s">
        <v>7969</v>
      </c>
      <c r="B1536" t="s">
        <v>7970</v>
      </c>
      <c r="C1536" t="s">
        <v>6831</v>
      </c>
      <c r="D1536">
        <v>2020</v>
      </c>
      <c r="E1536" t="s">
        <v>7184</v>
      </c>
      <c r="F1536" t="s">
        <v>57</v>
      </c>
      <c r="G1536" t="s">
        <v>750</v>
      </c>
      <c r="H1536" t="s">
        <v>7971</v>
      </c>
      <c r="I1536" t="s">
        <v>7972</v>
      </c>
      <c r="J1536" t="s">
        <v>98</v>
      </c>
      <c r="K1536" t="s">
        <v>99</v>
      </c>
      <c r="L1536" t="s">
        <v>63</v>
      </c>
      <c r="M1536" t="s">
        <v>72</v>
      </c>
      <c r="N1536" s="5"/>
      <c r="O1536" t="str">
        <f t="shared" si="23"/>
        <v/>
      </c>
    </row>
    <row r="1537" spans="1:15" x14ac:dyDescent="0.25">
      <c r="A1537" t="s">
        <v>7973</v>
      </c>
      <c r="B1537" t="s">
        <v>7974</v>
      </c>
      <c r="C1537" t="s">
        <v>144</v>
      </c>
      <c r="D1537">
        <v>2020</v>
      </c>
      <c r="E1537" t="s">
        <v>7184</v>
      </c>
      <c r="F1537" t="s">
        <v>67</v>
      </c>
      <c r="G1537" t="s">
        <v>84</v>
      </c>
      <c r="H1537" t="s">
        <v>7975</v>
      </c>
      <c r="I1537" t="s">
        <v>7976</v>
      </c>
      <c r="J1537" t="s">
        <v>71</v>
      </c>
      <c r="K1537" t="s">
        <v>18</v>
      </c>
      <c r="L1537" t="s">
        <v>72</v>
      </c>
      <c r="M1537" t="s">
        <v>72</v>
      </c>
      <c r="N1537" s="5"/>
      <c r="O1537" t="str">
        <f t="shared" si="23"/>
        <v/>
      </c>
    </row>
    <row r="1538" spans="1:15" x14ac:dyDescent="0.25">
      <c r="A1538" t="s">
        <v>7977</v>
      </c>
      <c r="B1538" t="s">
        <v>7978</v>
      </c>
      <c r="C1538" t="s">
        <v>7979</v>
      </c>
      <c r="D1538">
        <v>2020</v>
      </c>
      <c r="E1538" t="s">
        <v>7184</v>
      </c>
      <c r="F1538" t="s">
        <v>67</v>
      </c>
      <c r="G1538" t="s">
        <v>3900</v>
      </c>
      <c r="H1538" t="s">
        <v>7980</v>
      </c>
      <c r="I1538" t="s">
        <v>7981</v>
      </c>
      <c r="J1538" t="s">
        <v>87</v>
      </c>
      <c r="K1538" t="s">
        <v>19</v>
      </c>
      <c r="L1538" t="s">
        <v>72</v>
      </c>
      <c r="M1538" t="s">
        <v>72</v>
      </c>
      <c r="N1538" s="5"/>
      <c r="O1538" t="str">
        <f t="shared" ref="O1538:O1601" si="24">IF(N1538="","",IF(N1538=J1538,1,0))</f>
        <v/>
      </c>
    </row>
    <row r="1539" spans="1:15" x14ac:dyDescent="0.25">
      <c r="A1539" t="s">
        <v>7982</v>
      </c>
      <c r="B1539" t="s">
        <v>7983</v>
      </c>
      <c r="C1539" t="s">
        <v>7984</v>
      </c>
      <c r="D1539">
        <v>2020</v>
      </c>
      <c r="E1539" t="s">
        <v>7184</v>
      </c>
      <c r="F1539" t="s">
        <v>67</v>
      </c>
      <c r="G1539" t="s">
        <v>3900</v>
      </c>
      <c r="H1539" t="s">
        <v>7985</v>
      </c>
      <c r="I1539" t="s">
        <v>7986</v>
      </c>
      <c r="J1539" t="s">
        <v>71</v>
      </c>
      <c r="K1539" t="s">
        <v>18</v>
      </c>
      <c r="L1539" t="s">
        <v>72</v>
      </c>
      <c r="M1539" t="s">
        <v>72</v>
      </c>
      <c r="N1539" s="5"/>
      <c r="O1539" t="str">
        <f t="shared" si="24"/>
        <v/>
      </c>
    </row>
    <row r="1540" spans="1:15" x14ac:dyDescent="0.25">
      <c r="A1540" t="s">
        <v>7987</v>
      </c>
      <c r="B1540" t="s">
        <v>7988</v>
      </c>
      <c r="C1540" t="s">
        <v>6416</v>
      </c>
      <c r="D1540">
        <v>2020</v>
      </c>
      <c r="E1540" t="s">
        <v>7184</v>
      </c>
      <c r="F1540" t="s">
        <v>67</v>
      </c>
      <c r="G1540" t="s">
        <v>7989</v>
      </c>
      <c r="H1540" t="s">
        <v>7990</v>
      </c>
      <c r="I1540" t="s">
        <v>7991</v>
      </c>
      <c r="J1540" t="s">
        <v>71</v>
      </c>
      <c r="K1540" t="s">
        <v>18</v>
      </c>
      <c r="L1540" t="s">
        <v>72</v>
      </c>
      <c r="M1540" t="s">
        <v>72</v>
      </c>
      <c r="N1540" s="5"/>
      <c r="O1540" t="str">
        <f t="shared" si="24"/>
        <v/>
      </c>
    </row>
    <row r="1541" spans="1:15" x14ac:dyDescent="0.25">
      <c r="A1541" t="s">
        <v>7992</v>
      </c>
      <c r="B1541" t="s">
        <v>7993</v>
      </c>
      <c r="C1541" t="s">
        <v>2676</v>
      </c>
      <c r="D1541">
        <v>2020</v>
      </c>
      <c r="E1541" t="s">
        <v>7184</v>
      </c>
      <c r="F1541" t="s">
        <v>67</v>
      </c>
      <c r="G1541" t="s">
        <v>7994</v>
      </c>
      <c r="H1541" t="s">
        <v>7995</v>
      </c>
      <c r="I1541" t="s">
        <v>7996</v>
      </c>
      <c r="J1541" t="s">
        <v>79</v>
      </c>
      <c r="K1541" t="s">
        <v>80</v>
      </c>
      <c r="L1541" t="s">
        <v>72</v>
      </c>
      <c r="M1541" t="s">
        <v>72</v>
      </c>
      <c r="N1541" s="5"/>
      <c r="O1541" t="str">
        <f t="shared" si="24"/>
        <v/>
      </c>
    </row>
    <row r="1542" spans="1:15" x14ac:dyDescent="0.25">
      <c r="A1542" t="s">
        <v>7997</v>
      </c>
      <c r="B1542" t="s">
        <v>7998</v>
      </c>
      <c r="C1542" t="s">
        <v>95</v>
      </c>
      <c r="D1542">
        <v>2020</v>
      </c>
      <c r="E1542" t="s">
        <v>7184</v>
      </c>
      <c r="F1542" t="s">
        <v>67</v>
      </c>
      <c r="G1542" t="s">
        <v>76</v>
      </c>
      <c r="H1542" t="s">
        <v>7999</v>
      </c>
      <c r="I1542" t="s">
        <v>8000</v>
      </c>
      <c r="J1542" t="s">
        <v>87</v>
      </c>
      <c r="K1542" t="s">
        <v>19</v>
      </c>
      <c r="L1542" t="s">
        <v>72</v>
      </c>
      <c r="M1542" t="s">
        <v>72</v>
      </c>
      <c r="N1542" s="5"/>
      <c r="O1542" t="str">
        <f t="shared" si="24"/>
        <v/>
      </c>
    </row>
    <row r="1543" spans="1:15" x14ac:dyDescent="0.25">
      <c r="A1543" t="s">
        <v>8001</v>
      </c>
      <c r="B1543" t="s">
        <v>8002</v>
      </c>
      <c r="C1543" t="s">
        <v>144</v>
      </c>
      <c r="D1543">
        <v>2020</v>
      </c>
      <c r="E1543" t="s">
        <v>7184</v>
      </c>
      <c r="F1543" t="s">
        <v>67</v>
      </c>
      <c r="G1543" t="s">
        <v>84</v>
      </c>
      <c r="H1543" t="s">
        <v>8003</v>
      </c>
      <c r="I1543" t="s">
        <v>8004</v>
      </c>
      <c r="J1543" t="s">
        <v>71</v>
      </c>
      <c r="K1543" t="s">
        <v>18</v>
      </c>
      <c r="L1543" t="s">
        <v>72</v>
      </c>
      <c r="M1543" t="s">
        <v>72</v>
      </c>
      <c r="N1543" s="5"/>
      <c r="O1543" t="str">
        <f t="shared" si="24"/>
        <v/>
      </c>
    </row>
    <row r="1544" spans="1:15" x14ac:dyDescent="0.25">
      <c r="A1544" t="s">
        <v>8005</v>
      </c>
      <c r="B1544" t="s">
        <v>8006</v>
      </c>
      <c r="C1544" t="s">
        <v>8007</v>
      </c>
      <c r="D1544">
        <v>2020</v>
      </c>
      <c r="E1544" t="s">
        <v>7184</v>
      </c>
      <c r="F1544" t="s">
        <v>67</v>
      </c>
      <c r="G1544" t="s">
        <v>3288</v>
      </c>
      <c r="H1544" t="s">
        <v>8008</v>
      </c>
      <c r="I1544" t="s">
        <v>8009</v>
      </c>
      <c r="J1544" t="s">
        <v>87</v>
      </c>
      <c r="K1544" t="s">
        <v>19</v>
      </c>
      <c r="L1544" t="s">
        <v>72</v>
      </c>
      <c r="M1544" t="s">
        <v>72</v>
      </c>
      <c r="N1544" s="5"/>
      <c r="O1544" t="str">
        <f t="shared" si="24"/>
        <v/>
      </c>
    </row>
    <row r="1545" spans="1:15" x14ac:dyDescent="0.25">
      <c r="A1545" t="s">
        <v>8010</v>
      </c>
      <c r="B1545" t="s">
        <v>8011</v>
      </c>
      <c r="C1545" t="s">
        <v>1886</v>
      </c>
      <c r="D1545">
        <v>2020</v>
      </c>
      <c r="E1545" t="s">
        <v>7184</v>
      </c>
      <c r="F1545" t="s">
        <v>57</v>
      </c>
      <c r="G1545" t="s">
        <v>739</v>
      </c>
      <c r="H1545" t="s">
        <v>8012</v>
      </c>
      <c r="I1545" t="s">
        <v>8013</v>
      </c>
      <c r="J1545" t="s">
        <v>71</v>
      </c>
      <c r="K1545" t="s">
        <v>18</v>
      </c>
      <c r="L1545" t="s">
        <v>72</v>
      </c>
      <c r="M1545" t="s">
        <v>72</v>
      </c>
      <c r="N1545" s="5"/>
      <c r="O1545" t="str">
        <f t="shared" si="24"/>
        <v/>
      </c>
    </row>
    <row r="1546" spans="1:15" x14ac:dyDescent="0.25">
      <c r="A1546" t="s">
        <v>8014</v>
      </c>
      <c r="B1546" t="s">
        <v>8015</v>
      </c>
      <c r="C1546" t="s">
        <v>8016</v>
      </c>
      <c r="D1546">
        <v>2020</v>
      </c>
      <c r="E1546" t="s">
        <v>7184</v>
      </c>
      <c r="F1546" t="s">
        <v>57</v>
      </c>
      <c r="G1546" t="s">
        <v>922</v>
      </c>
      <c r="H1546" t="s">
        <v>8017</v>
      </c>
      <c r="I1546" t="s">
        <v>8018</v>
      </c>
      <c r="J1546" t="s">
        <v>87</v>
      </c>
      <c r="K1546" t="s">
        <v>19</v>
      </c>
      <c r="L1546" t="s">
        <v>72</v>
      </c>
      <c r="M1546" t="s">
        <v>72</v>
      </c>
      <c r="N1546" s="5"/>
      <c r="O1546" t="str">
        <f t="shared" si="24"/>
        <v/>
      </c>
    </row>
    <row r="1547" spans="1:15" x14ac:dyDescent="0.25">
      <c r="A1547" t="s">
        <v>8019</v>
      </c>
      <c r="B1547" t="s">
        <v>8020</v>
      </c>
      <c r="C1547" t="s">
        <v>4026</v>
      </c>
      <c r="D1547">
        <v>2020</v>
      </c>
      <c r="E1547" t="s">
        <v>7184</v>
      </c>
      <c r="F1547" t="s">
        <v>57</v>
      </c>
      <c r="G1547" t="s">
        <v>7846</v>
      </c>
      <c r="H1547" t="s">
        <v>8021</v>
      </c>
      <c r="I1547" t="s">
        <v>8022</v>
      </c>
      <c r="J1547" t="s">
        <v>61</v>
      </c>
      <c r="K1547" t="s">
        <v>62</v>
      </c>
      <c r="L1547" t="s">
        <v>63</v>
      </c>
      <c r="M1547" t="s">
        <v>63</v>
      </c>
      <c r="N1547" s="5"/>
      <c r="O1547" t="str">
        <f t="shared" si="24"/>
        <v/>
      </c>
    </row>
    <row r="1548" spans="1:15" x14ac:dyDescent="0.25">
      <c r="A1548" t="s">
        <v>8023</v>
      </c>
      <c r="B1548" t="s">
        <v>8024</v>
      </c>
      <c r="C1548" t="s">
        <v>8025</v>
      </c>
      <c r="D1548">
        <v>2020</v>
      </c>
      <c r="E1548" t="s">
        <v>7184</v>
      </c>
      <c r="F1548" t="s">
        <v>57</v>
      </c>
      <c r="G1548" t="s">
        <v>766</v>
      </c>
      <c r="H1548" t="s">
        <v>8026</v>
      </c>
      <c r="I1548" t="s">
        <v>8027</v>
      </c>
      <c r="J1548" t="s">
        <v>98</v>
      </c>
      <c r="K1548" t="s">
        <v>99</v>
      </c>
      <c r="L1548" t="s">
        <v>63</v>
      </c>
      <c r="M1548" t="s">
        <v>72</v>
      </c>
      <c r="N1548" s="5"/>
      <c r="O1548" t="str">
        <f t="shared" si="24"/>
        <v/>
      </c>
    </row>
    <row r="1549" spans="1:15" x14ac:dyDescent="0.25">
      <c r="A1549" t="s">
        <v>8028</v>
      </c>
      <c r="B1549" t="s">
        <v>8029</v>
      </c>
      <c r="C1549" t="s">
        <v>8030</v>
      </c>
      <c r="D1549">
        <v>2020</v>
      </c>
      <c r="E1549" t="s">
        <v>7184</v>
      </c>
      <c r="F1549" t="s">
        <v>67</v>
      </c>
      <c r="G1549" t="s">
        <v>3288</v>
      </c>
      <c r="H1549" t="s">
        <v>8031</v>
      </c>
      <c r="I1549" t="s">
        <v>8032</v>
      </c>
      <c r="J1549" t="s">
        <v>61</v>
      </c>
      <c r="K1549" t="s">
        <v>62</v>
      </c>
      <c r="L1549" t="s">
        <v>63</v>
      </c>
      <c r="M1549" t="s">
        <v>63</v>
      </c>
      <c r="N1549" s="5"/>
      <c r="O1549" t="str">
        <f t="shared" si="24"/>
        <v/>
      </c>
    </row>
    <row r="1550" spans="1:15" x14ac:dyDescent="0.25">
      <c r="A1550" t="s">
        <v>8033</v>
      </c>
      <c r="B1550" t="s">
        <v>8034</v>
      </c>
      <c r="C1550" t="s">
        <v>8035</v>
      </c>
      <c r="D1550">
        <v>2020</v>
      </c>
      <c r="E1550" t="s">
        <v>7184</v>
      </c>
      <c r="F1550" t="s">
        <v>67</v>
      </c>
      <c r="G1550" t="s">
        <v>8036</v>
      </c>
      <c r="H1550" t="s">
        <v>8037</v>
      </c>
      <c r="I1550" t="s">
        <v>8038</v>
      </c>
      <c r="J1550" t="s">
        <v>98</v>
      </c>
      <c r="K1550" t="s">
        <v>99</v>
      </c>
      <c r="L1550" t="s">
        <v>63</v>
      </c>
      <c r="M1550" t="s">
        <v>72</v>
      </c>
      <c r="N1550" s="5"/>
      <c r="O1550" t="str">
        <f t="shared" si="24"/>
        <v/>
      </c>
    </row>
    <row r="1551" spans="1:15" x14ac:dyDescent="0.25">
      <c r="A1551" t="s">
        <v>8039</v>
      </c>
      <c r="B1551" t="s">
        <v>8040</v>
      </c>
      <c r="C1551" t="s">
        <v>8041</v>
      </c>
      <c r="D1551">
        <v>2020</v>
      </c>
      <c r="E1551" t="s">
        <v>7184</v>
      </c>
      <c r="F1551" t="s">
        <v>57</v>
      </c>
      <c r="G1551" t="s">
        <v>8042</v>
      </c>
      <c r="H1551" t="s">
        <v>8043</v>
      </c>
      <c r="I1551" t="s">
        <v>8044</v>
      </c>
      <c r="J1551" t="s">
        <v>71</v>
      </c>
      <c r="K1551" t="s">
        <v>18</v>
      </c>
      <c r="L1551" t="s">
        <v>72</v>
      </c>
      <c r="M1551" t="s">
        <v>72</v>
      </c>
      <c r="N1551" s="5"/>
      <c r="O1551" t="str">
        <f t="shared" si="24"/>
        <v/>
      </c>
    </row>
    <row r="1552" spans="1:15" x14ac:dyDescent="0.25">
      <c r="A1552" t="s">
        <v>8045</v>
      </c>
      <c r="B1552" t="s">
        <v>8046</v>
      </c>
      <c r="C1552" t="s">
        <v>8047</v>
      </c>
      <c r="D1552">
        <v>2020</v>
      </c>
      <c r="E1552" t="s">
        <v>7184</v>
      </c>
      <c r="F1552" t="s">
        <v>57</v>
      </c>
      <c r="G1552" t="s">
        <v>8048</v>
      </c>
      <c r="H1552" t="s">
        <v>8049</v>
      </c>
      <c r="I1552" t="s">
        <v>8050</v>
      </c>
      <c r="J1552" t="s">
        <v>79</v>
      </c>
      <c r="K1552" t="s">
        <v>80</v>
      </c>
      <c r="L1552" t="s">
        <v>72</v>
      </c>
      <c r="M1552" t="s">
        <v>72</v>
      </c>
      <c r="N1552" s="5"/>
      <c r="O1552" t="str">
        <f t="shared" si="24"/>
        <v/>
      </c>
    </row>
    <row r="1553" spans="1:15" x14ac:dyDescent="0.25">
      <c r="A1553" t="s">
        <v>8051</v>
      </c>
      <c r="B1553" t="s">
        <v>8052</v>
      </c>
      <c r="C1553" t="s">
        <v>8053</v>
      </c>
      <c r="D1553">
        <v>2020</v>
      </c>
      <c r="E1553" t="s">
        <v>7184</v>
      </c>
      <c r="F1553" t="s">
        <v>67</v>
      </c>
      <c r="G1553" t="s">
        <v>3900</v>
      </c>
      <c r="H1553" t="s">
        <v>8054</v>
      </c>
      <c r="I1553" t="s">
        <v>8055</v>
      </c>
      <c r="J1553" t="s">
        <v>98</v>
      </c>
      <c r="K1553" t="s">
        <v>99</v>
      </c>
      <c r="L1553" t="s">
        <v>63</v>
      </c>
      <c r="M1553" t="s">
        <v>72</v>
      </c>
      <c r="N1553" s="5"/>
      <c r="O1553" t="str">
        <f t="shared" si="24"/>
        <v/>
      </c>
    </row>
    <row r="1554" spans="1:15" x14ac:dyDescent="0.25">
      <c r="A1554" t="s">
        <v>8056</v>
      </c>
      <c r="B1554" t="s">
        <v>8057</v>
      </c>
      <c r="C1554" t="s">
        <v>8058</v>
      </c>
      <c r="D1554">
        <v>2020</v>
      </c>
      <c r="E1554" t="s">
        <v>7184</v>
      </c>
      <c r="F1554" t="s">
        <v>67</v>
      </c>
      <c r="G1554" t="s">
        <v>3900</v>
      </c>
      <c r="H1554" t="s">
        <v>8059</v>
      </c>
      <c r="I1554" t="s">
        <v>8060</v>
      </c>
      <c r="J1554" t="s">
        <v>71</v>
      </c>
      <c r="K1554" t="s">
        <v>18</v>
      </c>
      <c r="L1554" t="s">
        <v>72</v>
      </c>
      <c r="M1554" t="s">
        <v>72</v>
      </c>
      <c r="N1554" s="5"/>
      <c r="O1554" t="str">
        <f t="shared" si="24"/>
        <v/>
      </c>
    </row>
    <row r="1555" spans="1:15" x14ac:dyDescent="0.25">
      <c r="A1555" t="s">
        <v>8061</v>
      </c>
      <c r="B1555" t="s">
        <v>8062</v>
      </c>
      <c r="C1555" t="s">
        <v>777</v>
      </c>
      <c r="D1555">
        <v>2020</v>
      </c>
      <c r="E1555" t="s">
        <v>7184</v>
      </c>
      <c r="F1555" t="s">
        <v>67</v>
      </c>
      <c r="G1555" t="s">
        <v>8063</v>
      </c>
      <c r="H1555" t="s">
        <v>8064</v>
      </c>
      <c r="I1555" t="s">
        <v>8065</v>
      </c>
      <c r="J1555" t="s">
        <v>71</v>
      </c>
      <c r="K1555" t="s">
        <v>18</v>
      </c>
      <c r="L1555" t="s">
        <v>72</v>
      </c>
      <c r="M1555" t="s">
        <v>72</v>
      </c>
      <c r="N1555" s="5"/>
      <c r="O1555" t="str">
        <f t="shared" si="24"/>
        <v/>
      </c>
    </row>
    <row r="1556" spans="1:15" x14ac:dyDescent="0.25">
      <c r="A1556" t="s">
        <v>8066</v>
      </c>
      <c r="B1556" t="s">
        <v>8067</v>
      </c>
      <c r="C1556" t="s">
        <v>8068</v>
      </c>
      <c r="D1556">
        <v>2020</v>
      </c>
      <c r="E1556" t="s">
        <v>7184</v>
      </c>
      <c r="F1556" t="s">
        <v>57</v>
      </c>
      <c r="G1556" t="s">
        <v>279</v>
      </c>
      <c r="H1556" t="s">
        <v>8069</v>
      </c>
      <c r="I1556" t="s">
        <v>8070</v>
      </c>
      <c r="J1556" t="s">
        <v>165</v>
      </c>
      <c r="K1556" t="s">
        <v>166</v>
      </c>
      <c r="L1556" t="s">
        <v>63</v>
      </c>
      <c r="M1556" t="s">
        <v>72</v>
      </c>
      <c r="N1556" s="5"/>
      <c r="O1556" t="str">
        <f t="shared" si="24"/>
        <v/>
      </c>
    </row>
    <row r="1557" spans="1:15" x14ac:dyDescent="0.25">
      <c r="A1557" t="s">
        <v>8071</v>
      </c>
      <c r="B1557" t="s">
        <v>8072</v>
      </c>
      <c r="C1557" t="s">
        <v>8073</v>
      </c>
      <c r="D1557">
        <v>2020</v>
      </c>
      <c r="E1557" t="s">
        <v>7184</v>
      </c>
      <c r="F1557" t="s">
        <v>67</v>
      </c>
      <c r="G1557" t="s">
        <v>84</v>
      </c>
      <c r="H1557" t="s">
        <v>8074</v>
      </c>
      <c r="I1557" t="s">
        <v>8075</v>
      </c>
      <c r="J1557" t="s">
        <v>61</v>
      </c>
      <c r="K1557" t="s">
        <v>62</v>
      </c>
      <c r="L1557" t="s">
        <v>63</v>
      </c>
      <c r="M1557" t="s">
        <v>63</v>
      </c>
      <c r="N1557" s="5"/>
      <c r="O1557" t="str">
        <f t="shared" si="24"/>
        <v/>
      </c>
    </row>
    <row r="1558" spans="1:15" x14ac:dyDescent="0.25">
      <c r="A1558" t="s">
        <v>8076</v>
      </c>
      <c r="B1558" t="s">
        <v>8077</v>
      </c>
      <c r="C1558" t="s">
        <v>8078</v>
      </c>
      <c r="D1558">
        <v>2020</v>
      </c>
      <c r="E1558" t="s">
        <v>7184</v>
      </c>
      <c r="F1558" t="s">
        <v>67</v>
      </c>
      <c r="G1558" t="s">
        <v>6495</v>
      </c>
      <c r="H1558" t="s">
        <v>8079</v>
      </c>
      <c r="I1558" t="s">
        <v>8080</v>
      </c>
      <c r="J1558" t="s">
        <v>61</v>
      </c>
      <c r="K1558" t="s">
        <v>62</v>
      </c>
      <c r="L1558" t="s">
        <v>63</v>
      </c>
      <c r="M1558" t="s">
        <v>63</v>
      </c>
      <c r="N1558" s="5"/>
      <c r="O1558" t="str">
        <f t="shared" si="24"/>
        <v/>
      </c>
    </row>
    <row r="1559" spans="1:15" x14ac:dyDescent="0.25">
      <c r="A1559" t="s">
        <v>8081</v>
      </c>
      <c r="B1559" t="s">
        <v>8082</v>
      </c>
      <c r="C1559" t="s">
        <v>2081</v>
      </c>
      <c r="D1559">
        <v>2020</v>
      </c>
      <c r="E1559" t="s">
        <v>7184</v>
      </c>
      <c r="F1559" t="s">
        <v>67</v>
      </c>
      <c r="G1559" t="s">
        <v>8083</v>
      </c>
      <c r="H1559" t="s">
        <v>8084</v>
      </c>
      <c r="I1559" t="s">
        <v>8085</v>
      </c>
      <c r="J1559" t="s">
        <v>87</v>
      </c>
      <c r="K1559" t="s">
        <v>19</v>
      </c>
      <c r="L1559" t="s">
        <v>72</v>
      </c>
      <c r="M1559" t="s">
        <v>72</v>
      </c>
      <c r="N1559" s="5"/>
      <c r="O1559" t="str">
        <f t="shared" si="24"/>
        <v/>
      </c>
    </row>
    <row r="1560" spans="1:15" x14ac:dyDescent="0.25">
      <c r="A1560" t="s">
        <v>8086</v>
      </c>
      <c r="B1560" t="s">
        <v>8087</v>
      </c>
      <c r="C1560" t="s">
        <v>8088</v>
      </c>
      <c r="D1560">
        <v>2020</v>
      </c>
      <c r="E1560" t="s">
        <v>7184</v>
      </c>
      <c r="F1560" t="s">
        <v>67</v>
      </c>
      <c r="G1560" t="s">
        <v>3900</v>
      </c>
      <c r="H1560" t="s">
        <v>8089</v>
      </c>
      <c r="I1560" t="s">
        <v>8090</v>
      </c>
      <c r="J1560" t="s">
        <v>71</v>
      </c>
      <c r="K1560" t="s">
        <v>18</v>
      </c>
      <c r="L1560" t="s">
        <v>72</v>
      </c>
      <c r="M1560" t="s">
        <v>72</v>
      </c>
      <c r="N1560" s="5"/>
      <c r="O1560" t="str">
        <f t="shared" si="24"/>
        <v/>
      </c>
    </row>
    <row r="1561" spans="1:15" x14ac:dyDescent="0.25">
      <c r="A1561" t="s">
        <v>8091</v>
      </c>
      <c r="B1561" t="s">
        <v>8092</v>
      </c>
      <c r="C1561" t="s">
        <v>8093</v>
      </c>
      <c r="D1561">
        <v>2020</v>
      </c>
      <c r="E1561" t="s">
        <v>7184</v>
      </c>
      <c r="F1561" t="s">
        <v>67</v>
      </c>
      <c r="G1561" t="s">
        <v>76</v>
      </c>
      <c r="H1561" t="s">
        <v>8094</v>
      </c>
      <c r="I1561" t="s">
        <v>8095</v>
      </c>
      <c r="J1561" t="s">
        <v>87</v>
      </c>
      <c r="K1561" t="s">
        <v>19</v>
      </c>
      <c r="L1561" t="s">
        <v>72</v>
      </c>
      <c r="M1561" t="s">
        <v>72</v>
      </c>
      <c r="N1561" s="5"/>
      <c r="O1561" t="str">
        <f t="shared" si="24"/>
        <v/>
      </c>
    </row>
    <row r="1562" spans="1:15" x14ac:dyDescent="0.25">
      <c r="A1562" t="s">
        <v>8096</v>
      </c>
      <c r="B1562" t="s">
        <v>8097</v>
      </c>
      <c r="C1562" t="s">
        <v>571</v>
      </c>
      <c r="D1562">
        <v>2020</v>
      </c>
      <c r="E1562" t="s">
        <v>7184</v>
      </c>
      <c r="F1562" t="s">
        <v>67</v>
      </c>
      <c r="G1562" t="s">
        <v>8098</v>
      </c>
      <c r="H1562" t="s">
        <v>8099</v>
      </c>
      <c r="I1562" t="s">
        <v>8100</v>
      </c>
      <c r="J1562" t="s">
        <v>87</v>
      </c>
      <c r="K1562" t="s">
        <v>19</v>
      </c>
      <c r="L1562" t="s">
        <v>72</v>
      </c>
      <c r="M1562" t="s">
        <v>72</v>
      </c>
      <c r="N1562" s="5"/>
      <c r="O1562" t="str">
        <f t="shared" si="24"/>
        <v/>
      </c>
    </row>
    <row r="1563" spans="1:15" x14ac:dyDescent="0.25">
      <c r="A1563" t="s">
        <v>8101</v>
      </c>
      <c r="B1563" t="s">
        <v>8102</v>
      </c>
      <c r="C1563" t="s">
        <v>8103</v>
      </c>
      <c r="D1563">
        <v>2020</v>
      </c>
      <c r="E1563" t="s">
        <v>7184</v>
      </c>
      <c r="F1563" t="s">
        <v>67</v>
      </c>
      <c r="G1563" t="s">
        <v>8104</v>
      </c>
      <c r="H1563" t="s">
        <v>8105</v>
      </c>
      <c r="I1563" t="s">
        <v>8106</v>
      </c>
      <c r="J1563" t="s">
        <v>71</v>
      </c>
      <c r="K1563" t="s">
        <v>18</v>
      </c>
      <c r="L1563" t="s">
        <v>72</v>
      </c>
      <c r="M1563" t="s">
        <v>72</v>
      </c>
      <c r="N1563" s="5"/>
      <c r="O1563" t="str">
        <f t="shared" si="24"/>
        <v/>
      </c>
    </row>
    <row r="1564" spans="1:15" x14ac:dyDescent="0.25">
      <c r="A1564" t="s">
        <v>8107</v>
      </c>
      <c r="B1564" t="s">
        <v>8108</v>
      </c>
      <c r="C1564" t="s">
        <v>8109</v>
      </c>
      <c r="D1564">
        <v>2020</v>
      </c>
      <c r="E1564" t="s">
        <v>7184</v>
      </c>
      <c r="F1564" t="s">
        <v>67</v>
      </c>
      <c r="G1564" t="s">
        <v>8110</v>
      </c>
      <c r="H1564" t="s">
        <v>8111</v>
      </c>
      <c r="I1564" t="s">
        <v>8112</v>
      </c>
      <c r="J1564" t="s">
        <v>87</v>
      </c>
      <c r="K1564" t="s">
        <v>19</v>
      </c>
      <c r="L1564" t="s">
        <v>72</v>
      </c>
      <c r="M1564" t="s">
        <v>72</v>
      </c>
      <c r="N1564" s="5"/>
      <c r="O1564" t="str">
        <f t="shared" si="24"/>
        <v/>
      </c>
    </row>
    <row r="1565" spans="1:15" x14ac:dyDescent="0.25">
      <c r="A1565" t="s">
        <v>8113</v>
      </c>
      <c r="B1565" t="s">
        <v>8114</v>
      </c>
      <c r="C1565" t="s">
        <v>1343</v>
      </c>
      <c r="D1565">
        <v>2020</v>
      </c>
      <c r="E1565" t="s">
        <v>7184</v>
      </c>
      <c r="F1565" t="s">
        <v>67</v>
      </c>
      <c r="G1565" t="s">
        <v>7961</v>
      </c>
      <c r="H1565" t="s">
        <v>8115</v>
      </c>
      <c r="I1565" t="s">
        <v>8116</v>
      </c>
      <c r="J1565" t="s">
        <v>79</v>
      </c>
      <c r="K1565" t="s">
        <v>80</v>
      </c>
      <c r="L1565" t="s">
        <v>72</v>
      </c>
      <c r="M1565" t="s">
        <v>72</v>
      </c>
      <c r="N1565" s="5"/>
      <c r="O1565" t="str">
        <f t="shared" si="24"/>
        <v/>
      </c>
    </row>
    <row r="1566" spans="1:15" x14ac:dyDescent="0.25">
      <c r="A1566" t="s">
        <v>8117</v>
      </c>
      <c r="B1566" t="s">
        <v>8118</v>
      </c>
      <c r="C1566" t="s">
        <v>8119</v>
      </c>
      <c r="D1566">
        <v>2020</v>
      </c>
      <c r="E1566" t="s">
        <v>7184</v>
      </c>
      <c r="F1566" t="s">
        <v>67</v>
      </c>
      <c r="G1566" t="s">
        <v>2029</v>
      </c>
      <c r="H1566" t="s">
        <v>8120</v>
      </c>
      <c r="I1566" t="s">
        <v>8121</v>
      </c>
      <c r="J1566" t="s">
        <v>98</v>
      </c>
      <c r="K1566" t="s">
        <v>99</v>
      </c>
      <c r="L1566" t="s">
        <v>63</v>
      </c>
      <c r="M1566" t="s">
        <v>72</v>
      </c>
      <c r="N1566" s="5"/>
      <c r="O1566" t="str">
        <f t="shared" si="24"/>
        <v/>
      </c>
    </row>
    <row r="1567" spans="1:15" x14ac:dyDescent="0.25">
      <c r="A1567" t="s">
        <v>8122</v>
      </c>
      <c r="B1567" t="s">
        <v>8123</v>
      </c>
      <c r="C1567" t="s">
        <v>8124</v>
      </c>
      <c r="D1567">
        <v>2020</v>
      </c>
      <c r="E1567" t="s">
        <v>7184</v>
      </c>
      <c r="F1567" t="s">
        <v>67</v>
      </c>
      <c r="G1567" t="s">
        <v>3288</v>
      </c>
      <c r="H1567" t="s">
        <v>8125</v>
      </c>
      <c r="I1567" t="s">
        <v>8126</v>
      </c>
      <c r="J1567" t="s">
        <v>71</v>
      </c>
      <c r="K1567" t="s">
        <v>18</v>
      </c>
      <c r="L1567" t="s">
        <v>72</v>
      </c>
      <c r="M1567" t="s">
        <v>72</v>
      </c>
      <c r="N1567" s="5"/>
      <c r="O1567" t="str">
        <f t="shared" si="24"/>
        <v/>
      </c>
    </row>
    <row r="1568" spans="1:15" x14ac:dyDescent="0.25">
      <c r="A1568" t="s">
        <v>8127</v>
      </c>
      <c r="B1568" t="s">
        <v>8128</v>
      </c>
      <c r="C1568" t="s">
        <v>2194</v>
      </c>
      <c r="D1568">
        <v>2020</v>
      </c>
      <c r="E1568" t="s">
        <v>7184</v>
      </c>
      <c r="F1568" t="s">
        <v>57</v>
      </c>
      <c r="G1568" t="s">
        <v>8129</v>
      </c>
      <c r="H1568" t="s">
        <v>8130</v>
      </c>
      <c r="I1568" t="s">
        <v>8131</v>
      </c>
      <c r="J1568" t="s">
        <v>61</v>
      </c>
      <c r="K1568" t="s">
        <v>62</v>
      </c>
      <c r="L1568" t="s">
        <v>63</v>
      </c>
      <c r="M1568" t="s">
        <v>63</v>
      </c>
      <c r="N1568" s="5"/>
      <c r="O1568" t="str">
        <f t="shared" si="24"/>
        <v/>
      </c>
    </row>
    <row r="1569" spans="1:15" x14ac:dyDescent="0.25">
      <c r="A1569" t="s">
        <v>8132</v>
      </c>
      <c r="B1569" t="s">
        <v>8133</v>
      </c>
      <c r="C1569" t="s">
        <v>8134</v>
      </c>
      <c r="D1569">
        <v>2020</v>
      </c>
      <c r="E1569" t="s">
        <v>7184</v>
      </c>
      <c r="F1569" t="s">
        <v>57</v>
      </c>
      <c r="G1569" t="s">
        <v>766</v>
      </c>
      <c r="H1569" t="s">
        <v>8135</v>
      </c>
      <c r="I1569" t="s">
        <v>8136</v>
      </c>
      <c r="J1569" t="s">
        <v>61</v>
      </c>
      <c r="K1569" t="s">
        <v>62</v>
      </c>
      <c r="L1569" t="s">
        <v>63</v>
      </c>
      <c r="M1569" t="s">
        <v>63</v>
      </c>
      <c r="N1569" s="5"/>
      <c r="O1569" t="str">
        <f t="shared" si="24"/>
        <v/>
      </c>
    </row>
    <row r="1570" spans="1:15" x14ac:dyDescent="0.25">
      <c r="A1570" t="s">
        <v>8137</v>
      </c>
      <c r="B1570" t="s">
        <v>8138</v>
      </c>
      <c r="C1570" t="s">
        <v>8139</v>
      </c>
      <c r="D1570">
        <v>2020</v>
      </c>
      <c r="E1570" t="s">
        <v>7184</v>
      </c>
      <c r="F1570" t="s">
        <v>57</v>
      </c>
      <c r="G1570" t="s">
        <v>766</v>
      </c>
      <c r="H1570" t="s">
        <v>8140</v>
      </c>
      <c r="I1570" t="s">
        <v>8141</v>
      </c>
      <c r="J1570" t="s">
        <v>79</v>
      </c>
      <c r="K1570" t="s">
        <v>80</v>
      </c>
      <c r="L1570" t="s">
        <v>72</v>
      </c>
      <c r="M1570" t="s">
        <v>72</v>
      </c>
      <c r="N1570" s="5"/>
      <c r="O1570" t="str">
        <f t="shared" si="24"/>
        <v/>
      </c>
    </row>
    <row r="1571" spans="1:15" x14ac:dyDescent="0.25">
      <c r="A1571" t="s">
        <v>8142</v>
      </c>
      <c r="B1571" t="s">
        <v>8143</v>
      </c>
      <c r="C1571" t="s">
        <v>8078</v>
      </c>
      <c r="D1571">
        <v>2019</v>
      </c>
      <c r="E1571" t="s">
        <v>8144</v>
      </c>
      <c r="F1571" t="s">
        <v>57</v>
      </c>
      <c r="G1571" t="s">
        <v>8145</v>
      </c>
      <c r="H1571" t="s">
        <v>8146</v>
      </c>
      <c r="I1571" t="s">
        <v>8147</v>
      </c>
      <c r="J1571" t="s">
        <v>165</v>
      </c>
      <c r="K1571" t="s">
        <v>166</v>
      </c>
      <c r="L1571" t="s">
        <v>63</v>
      </c>
      <c r="M1571" t="s">
        <v>72</v>
      </c>
      <c r="N1571" s="5"/>
      <c r="O1571" t="str">
        <f t="shared" si="24"/>
        <v/>
      </c>
    </row>
    <row r="1572" spans="1:15" x14ac:dyDescent="0.25">
      <c r="A1572" t="s">
        <v>8148</v>
      </c>
      <c r="B1572" t="s">
        <v>8149</v>
      </c>
      <c r="C1572" t="s">
        <v>8150</v>
      </c>
      <c r="D1572">
        <v>2019</v>
      </c>
      <c r="E1572" t="s">
        <v>8144</v>
      </c>
      <c r="F1572" t="s">
        <v>57</v>
      </c>
      <c r="G1572" t="s">
        <v>766</v>
      </c>
      <c r="H1572" t="s">
        <v>8151</v>
      </c>
      <c r="I1572" t="s">
        <v>8152</v>
      </c>
      <c r="J1572" t="s">
        <v>87</v>
      </c>
      <c r="K1572" t="s">
        <v>19</v>
      </c>
      <c r="L1572" t="s">
        <v>72</v>
      </c>
      <c r="M1572" t="s">
        <v>72</v>
      </c>
      <c r="N1572" s="5"/>
      <c r="O1572" t="str">
        <f t="shared" si="24"/>
        <v/>
      </c>
    </row>
    <row r="1573" spans="1:15" x14ac:dyDescent="0.25">
      <c r="A1573" t="s">
        <v>8153</v>
      </c>
      <c r="B1573" t="s">
        <v>8154</v>
      </c>
      <c r="C1573" t="s">
        <v>2204</v>
      </c>
      <c r="D1573">
        <v>2019</v>
      </c>
      <c r="E1573" t="s">
        <v>8144</v>
      </c>
      <c r="F1573" t="s">
        <v>67</v>
      </c>
      <c r="G1573" t="s">
        <v>3288</v>
      </c>
      <c r="H1573" t="s">
        <v>8155</v>
      </c>
      <c r="I1573" t="s">
        <v>8156</v>
      </c>
      <c r="J1573" t="s">
        <v>87</v>
      </c>
      <c r="K1573" t="s">
        <v>19</v>
      </c>
      <c r="L1573" t="s">
        <v>72</v>
      </c>
      <c r="M1573" t="s">
        <v>72</v>
      </c>
      <c r="N1573" s="5"/>
      <c r="O1573" t="str">
        <f t="shared" si="24"/>
        <v/>
      </c>
    </row>
    <row r="1574" spans="1:15" x14ac:dyDescent="0.25">
      <c r="A1574" t="s">
        <v>8157</v>
      </c>
      <c r="B1574" t="s">
        <v>8158</v>
      </c>
      <c r="C1574" t="s">
        <v>8159</v>
      </c>
      <c r="D1574">
        <v>2019</v>
      </c>
      <c r="E1574" t="s">
        <v>8144</v>
      </c>
      <c r="F1574" t="s">
        <v>57</v>
      </c>
      <c r="G1574" t="s">
        <v>4438</v>
      </c>
      <c r="H1574" t="s">
        <v>8160</v>
      </c>
      <c r="I1574" t="s">
        <v>8161</v>
      </c>
      <c r="J1574" t="s">
        <v>98</v>
      </c>
      <c r="K1574" t="s">
        <v>99</v>
      </c>
      <c r="L1574" t="s">
        <v>63</v>
      </c>
      <c r="M1574" t="s">
        <v>72</v>
      </c>
      <c r="N1574" s="5"/>
      <c r="O1574" t="str">
        <f t="shared" si="24"/>
        <v/>
      </c>
    </row>
    <row r="1575" spans="1:15" x14ac:dyDescent="0.25">
      <c r="A1575" t="s">
        <v>8162</v>
      </c>
      <c r="B1575" t="s">
        <v>8163</v>
      </c>
      <c r="C1575" t="s">
        <v>8164</v>
      </c>
      <c r="D1575">
        <v>2019</v>
      </c>
      <c r="E1575" t="s">
        <v>8144</v>
      </c>
      <c r="F1575" t="s">
        <v>67</v>
      </c>
      <c r="G1575" t="s">
        <v>6495</v>
      </c>
      <c r="H1575" t="s">
        <v>8165</v>
      </c>
      <c r="I1575" t="s">
        <v>8166</v>
      </c>
      <c r="J1575" t="s">
        <v>98</v>
      </c>
      <c r="K1575" t="s">
        <v>99</v>
      </c>
      <c r="L1575" t="s">
        <v>63</v>
      </c>
      <c r="M1575" t="s">
        <v>72</v>
      </c>
      <c r="N1575" s="5"/>
      <c r="O1575" t="str">
        <f t="shared" si="24"/>
        <v/>
      </c>
    </row>
    <row r="1576" spans="1:15" x14ac:dyDescent="0.25">
      <c r="A1576" t="s">
        <v>8167</v>
      </c>
      <c r="B1576" t="s">
        <v>8168</v>
      </c>
      <c r="C1576" t="s">
        <v>95</v>
      </c>
      <c r="D1576">
        <v>2019</v>
      </c>
      <c r="E1576" t="s">
        <v>8144</v>
      </c>
      <c r="F1576" t="s">
        <v>67</v>
      </c>
      <c r="G1576" t="s">
        <v>84</v>
      </c>
      <c r="H1576" t="s">
        <v>8169</v>
      </c>
      <c r="I1576" t="s">
        <v>8170</v>
      </c>
      <c r="J1576" t="s">
        <v>61</v>
      </c>
      <c r="K1576" t="s">
        <v>62</v>
      </c>
      <c r="L1576" t="s">
        <v>63</v>
      </c>
      <c r="M1576" t="s">
        <v>63</v>
      </c>
      <c r="N1576" s="5"/>
      <c r="O1576" t="str">
        <f t="shared" si="24"/>
        <v/>
      </c>
    </row>
    <row r="1577" spans="1:15" x14ac:dyDescent="0.25">
      <c r="A1577" t="s">
        <v>8171</v>
      </c>
      <c r="B1577" t="s">
        <v>8172</v>
      </c>
      <c r="C1577" t="s">
        <v>1293</v>
      </c>
      <c r="D1577">
        <v>2019</v>
      </c>
      <c r="E1577" t="s">
        <v>8144</v>
      </c>
      <c r="F1577" t="s">
        <v>67</v>
      </c>
      <c r="G1577" t="s">
        <v>8173</v>
      </c>
      <c r="H1577" t="s">
        <v>8174</v>
      </c>
      <c r="I1577" t="s">
        <v>8175</v>
      </c>
      <c r="J1577" t="s">
        <v>71</v>
      </c>
      <c r="K1577" t="s">
        <v>18</v>
      </c>
      <c r="L1577" t="s">
        <v>72</v>
      </c>
      <c r="M1577" t="s">
        <v>72</v>
      </c>
      <c r="N1577" s="5"/>
      <c r="O1577" t="str">
        <f t="shared" si="24"/>
        <v/>
      </c>
    </row>
    <row r="1578" spans="1:15" x14ac:dyDescent="0.25">
      <c r="A1578" t="s">
        <v>8176</v>
      </c>
      <c r="B1578" t="s">
        <v>8177</v>
      </c>
      <c r="C1578" t="s">
        <v>8178</v>
      </c>
      <c r="D1578">
        <v>2019</v>
      </c>
      <c r="E1578" t="s">
        <v>8144</v>
      </c>
      <c r="F1578" t="s">
        <v>67</v>
      </c>
      <c r="G1578" t="s">
        <v>8179</v>
      </c>
      <c r="H1578" t="s">
        <v>8180</v>
      </c>
      <c r="I1578" t="s">
        <v>8181</v>
      </c>
      <c r="J1578" t="s">
        <v>165</v>
      </c>
      <c r="K1578" t="s">
        <v>166</v>
      </c>
      <c r="L1578" t="s">
        <v>63</v>
      </c>
      <c r="M1578" t="s">
        <v>72</v>
      </c>
      <c r="N1578" s="5"/>
      <c r="O1578" t="str">
        <f t="shared" si="24"/>
        <v/>
      </c>
    </row>
    <row r="1579" spans="1:15" x14ac:dyDescent="0.25">
      <c r="A1579" t="s">
        <v>8182</v>
      </c>
      <c r="B1579" t="s">
        <v>8183</v>
      </c>
      <c r="C1579" t="s">
        <v>8184</v>
      </c>
      <c r="D1579">
        <v>2019</v>
      </c>
      <c r="E1579" t="s">
        <v>8144</v>
      </c>
      <c r="F1579" t="s">
        <v>57</v>
      </c>
      <c r="G1579" t="s">
        <v>766</v>
      </c>
      <c r="H1579" t="s">
        <v>8185</v>
      </c>
      <c r="I1579" t="s">
        <v>8186</v>
      </c>
      <c r="J1579" t="s">
        <v>71</v>
      </c>
      <c r="K1579" t="s">
        <v>18</v>
      </c>
      <c r="L1579" t="s">
        <v>72</v>
      </c>
      <c r="M1579" t="s">
        <v>72</v>
      </c>
      <c r="N1579" s="5"/>
      <c r="O1579" t="str">
        <f t="shared" si="24"/>
        <v/>
      </c>
    </row>
    <row r="1580" spans="1:15" x14ac:dyDescent="0.25">
      <c r="A1580" t="s">
        <v>8187</v>
      </c>
      <c r="B1580" t="s">
        <v>8188</v>
      </c>
      <c r="C1580" t="s">
        <v>144</v>
      </c>
      <c r="D1580">
        <v>2019</v>
      </c>
      <c r="E1580" t="s">
        <v>8144</v>
      </c>
      <c r="F1580" t="s">
        <v>57</v>
      </c>
      <c r="G1580" t="s">
        <v>766</v>
      </c>
      <c r="H1580" t="s">
        <v>8189</v>
      </c>
      <c r="I1580" t="s">
        <v>8190</v>
      </c>
      <c r="J1580" t="s">
        <v>98</v>
      </c>
      <c r="K1580" t="s">
        <v>99</v>
      </c>
      <c r="L1580" t="s">
        <v>63</v>
      </c>
      <c r="M1580" t="s">
        <v>72</v>
      </c>
      <c r="N1580" s="5"/>
      <c r="O1580" t="str">
        <f t="shared" si="24"/>
        <v/>
      </c>
    </row>
    <row r="1581" spans="1:15" x14ac:dyDescent="0.25">
      <c r="A1581" t="s">
        <v>8191</v>
      </c>
      <c r="B1581" t="s">
        <v>8192</v>
      </c>
      <c r="C1581" t="s">
        <v>8193</v>
      </c>
      <c r="D1581">
        <v>2019</v>
      </c>
      <c r="E1581" t="s">
        <v>8144</v>
      </c>
      <c r="F1581" t="s">
        <v>67</v>
      </c>
      <c r="G1581" t="s">
        <v>8194</v>
      </c>
      <c r="H1581" t="s">
        <v>8195</v>
      </c>
      <c r="I1581" t="s">
        <v>8196</v>
      </c>
      <c r="J1581" t="s">
        <v>98</v>
      </c>
      <c r="K1581" t="s">
        <v>99</v>
      </c>
      <c r="L1581" t="s">
        <v>63</v>
      </c>
      <c r="M1581" t="s">
        <v>72</v>
      </c>
      <c r="N1581" s="5"/>
      <c r="O1581" t="str">
        <f t="shared" si="24"/>
        <v/>
      </c>
    </row>
    <row r="1582" spans="1:15" x14ac:dyDescent="0.25">
      <c r="A1582" t="s">
        <v>8197</v>
      </c>
      <c r="B1582" t="s">
        <v>8198</v>
      </c>
      <c r="C1582" t="s">
        <v>8199</v>
      </c>
      <c r="D1582">
        <v>2019</v>
      </c>
      <c r="E1582" t="s">
        <v>8144</v>
      </c>
      <c r="F1582" t="s">
        <v>67</v>
      </c>
      <c r="G1582" t="s">
        <v>8200</v>
      </c>
      <c r="H1582" t="s">
        <v>8201</v>
      </c>
      <c r="I1582" t="s">
        <v>8202</v>
      </c>
      <c r="J1582" t="s">
        <v>98</v>
      </c>
      <c r="K1582" t="s">
        <v>99</v>
      </c>
      <c r="L1582" t="s">
        <v>63</v>
      </c>
      <c r="M1582" t="s">
        <v>72</v>
      </c>
      <c r="N1582" s="5"/>
      <c r="O1582" t="str">
        <f t="shared" si="24"/>
        <v/>
      </c>
    </row>
    <row r="1583" spans="1:15" x14ac:dyDescent="0.25">
      <c r="A1583" t="s">
        <v>8203</v>
      </c>
      <c r="B1583" t="s">
        <v>8204</v>
      </c>
      <c r="C1583" t="s">
        <v>8205</v>
      </c>
      <c r="D1583">
        <v>2019</v>
      </c>
      <c r="E1583" t="s">
        <v>8144</v>
      </c>
      <c r="F1583" t="s">
        <v>67</v>
      </c>
      <c r="G1583" t="s">
        <v>8206</v>
      </c>
      <c r="H1583" t="s">
        <v>8207</v>
      </c>
      <c r="I1583" t="s">
        <v>8208</v>
      </c>
      <c r="J1583" t="s">
        <v>71</v>
      </c>
      <c r="K1583" t="s">
        <v>18</v>
      </c>
      <c r="L1583" t="s">
        <v>72</v>
      </c>
      <c r="M1583" t="s">
        <v>72</v>
      </c>
      <c r="N1583" s="5"/>
      <c r="O1583" t="str">
        <f t="shared" si="24"/>
        <v/>
      </c>
    </row>
    <row r="1584" spans="1:15" x14ac:dyDescent="0.25">
      <c r="A1584" t="s">
        <v>8209</v>
      </c>
      <c r="B1584" t="s">
        <v>8210</v>
      </c>
      <c r="C1584" t="s">
        <v>8211</v>
      </c>
      <c r="D1584">
        <v>2019</v>
      </c>
      <c r="E1584" t="s">
        <v>8144</v>
      </c>
      <c r="F1584" t="s">
        <v>67</v>
      </c>
      <c r="G1584" t="s">
        <v>84</v>
      </c>
      <c r="H1584" t="s">
        <v>8212</v>
      </c>
      <c r="I1584" t="s">
        <v>8213</v>
      </c>
      <c r="J1584" t="s">
        <v>98</v>
      </c>
      <c r="K1584" t="s">
        <v>99</v>
      </c>
      <c r="L1584" t="s">
        <v>63</v>
      </c>
      <c r="M1584" t="s">
        <v>72</v>
      </c>
      <c r="N1584" s="5"/>
      <c r="O1584" t="str">
        <f t="shared" si="24"/>
        <v/>
      </c>
    </row>
    <row r="1585" spans="1:15" x14ac:dyDescent="0.25">
      <c r="A1585" t="s">
        <v>8214</v>
      </c>
      <c r="B1585" t="s">
        <v>8215</v>
      </c>
      <c r="C1585" t="s">
        <v>8216</v>
      </c>
      <c r="D1585">
        <v>2019</v>
      </c>
      <c r="E1585" t="s">
        <v>8144</v>
      </c>
      <c r="F1585" t="s">
        <v>57</v>
      </c>
      <c r="G1585" t="s">
        <v>8217</v>
      </c>
      <c r="H1585" t="s">
        <v>8218</v>
      </c>
      <c r="I1585" t="s">
        <v>8219</v>
      </c>
      <c r="J1585" t="s">
        <v>71</v>
      </c>
      <c r="K1585" t="s">
        <v>18</v>
      </c>
      <c r="L1585" t="s">
        <v>72</v>
      </c>
      <c r="M1585" t="s">
        <v>72</v>
      </c>
      <c r="N1585" s="5"/>
      <c r="O1585" t="str">
        <f t="shared" si="24"/>
        <v/>
      </c>
    </row>
    <row r="1586" spans="1:15" x14ac:dyDescent="0.25">
      <c r="A1586" t="s">
        <v>8220</v>
      </c>
      <c r="B1586" t="s">
        <v>8221</v>
      </c>
      <c r="C1586" t="s">
        <v>6416</v>
      </c>
      <c r="D1586">
        <v>2019</v>
      </c>
      <c r="E1586" t="s">
        <v>8144</v>
      </c>
      <c r="F1586" t="s">
        <v>67</v>
      </c>
      <c r="G1586" t="s">
        <v>6916</v>
      </c>
      <c r="H1586" t="s">
        <v>8222</v>
      </c>
      <c r="I1586" t="s">
        <v>8223</v>
      </c>
      <c r="J1586" t="s">
        <v>71</v>
      </c>
      <c r="K1586" t="s">
        <v>18</v>
      </c>
      <c r="L1586" t="s">
        <v>72</v>
      </c>
      <c r="M1586" t="s">
        <v>72</v>
      </c>
      <c r="N1586" s="5"/>
      <c r="O1586" t="str">
        <f t="shared" si="24"/>
        <v/>
      </c>
    </row>
    <row r="1587" spans="1:15" x14ac:dyDescent="0.25">
      <c r="A1587" t="s">
        <v>8224</v>
      </c>
      <c r="B1587" t="s">
        <v>8225</v>
      </c>
      <c r="C1587" t="s">
        <v>7293</v>
      </c>
      <c r="D1587">
        <v>2019</v>
      </c>
      <c r="E1587" t="s">
        <v>8144</v>
      </c>
      <c r="F1587" t="s">
        <v>67</v>
      </c>
      <c r="G1587" t="s">
        <v>3288</v>
      </c>
      <c r="H1587" t="s">
        <v>8226</v>
      </c>
      <c r="I1587" t="s">
        <v>8227</v>
      </c>
      <c r="J1587" t="s">
        <v>71</v>
      </c>
      <c r="K1587" t="s">
        <v>18</v>
      </c>
      <c r="L1587" t="s">
        <v>72</v>
      </c>
      <c r="M1587" t="s">
        <v>72</v>
      </c>
      <c r="N1587" s="5"/>
      <c r="O1587" t="str">
        <f t="shared" si="24"/>
        <v/>
      </c>
    </row>
    <row r="1588" spans="1:15" x14ac:dyDescent="0.25">
      <c r="A1588" t="s">
        <v>8228</v>
      </c>
      <c r="B1588" t="s">
        <v>8229</v>
      </c>
      <c r="C1588" t="s">
        <v>7755</v>
      </c>
      <c r="D1588">
        <v>2019</v>
      </c>
      <c r="E1588" t="s">
        <v>8144</v>
      </c>
      <c r="F1588" t="s">
        <v>67</v>
      </c>
      <c r="G1588" t="s">
        <v>8230</v>
      </c>
      <c r="H1588" t="s">
        <v>8231</v>
      </c>
      <c r="I1588" t="s">
        <v>8232</v>
      </c>
      <c r="J1588" t="s">
        <v>87</v>
      </c>
      <c r="K1588" t="s">
        <v>19</v>
      </c>
      <c r="L1588" t="s">
        <v>72</v>
      </c>
      <c r="M1588" t="s">
        <v>72</v>
      </c>
      <c r="N1588" s="5"/>
      <c r="O1588" t="str">
        <f t="shared" si="24"/>
        <v/>
      </c>
    </row>
    <row r="1589" spans="1:15" x14ac:dyDescent="0.25">
      <c r="A1589" t="s">
        <v>8233</v>
      </c>
      <c r="B1589" t="s">
        <v>8234</v>
      </c>
      <c r="C1589" t="s">
        <v>8235</v>
      </c>
      <c r="D1589">
        <v>2019</v>
      </c>
      <c r="E1589" t="s">
        <v>8144</v>
      </c>
      <c r="F1589" t="s">
        <v>57</v>
      </c>
      <c r="G1589" t="s">
        <v>1803</v>
      </c>
      <c r="H1589" t="s">
        <v>8236</v>
      </c>
      <c r="I1589" t="s">
        <v>8237</v>
      </c>
      <c r="J1589" t="s">
        <v>61</v>
      </c>
      <c r="K1589" t="s">
        <v>62</v>
      </c>
      <c r="L1589" t="s">
        <v>63</v>
      </c>
      <c r="M1589" t="s">
        <v>63</v>
      </c>
      <c r="N1589" s="5"/>
      <c r="O1589" t="str">
        <f t="shared" si="24"/>
        <v/>
      </c>
    </row>
    <row r="1590" spans="1:15" x14ac:dyDescent="0.25">
      <c r="A1590" t="s">
        <v>8238</v>
      </c>
      <c r="B1590" t="s">
        <v>8239</v>
      </c>
      <c r="C1590" t="s">
        <v>8240</v>
      </c>
      <c r="D1590">
        <v>2019</v>
      </c>
      <c r="E1590" t="s">
        <v>8144</v>
      </c>
      <c r="F1590" t="s">
        <v>57</v>
      </c>
      <c r="G1590" t="s">
        <v>8241</v>
      </c>
      <c r="H1590" t="s">
        <v>8242</v>
      </c>
      <c r="I1590" t="s">
        <v>8243</v>
      </c>
      <c r="J1590" t="s">
        <v>98</v>
      </c>
      <c r="K1590" t="s">
        <v>99</v>
      </c>
      <c r="L1590" t="s">
        <v>63</v>
      </c>
      <c r="M1590" t="s">
        <v>72</v>
      </c>
      <c r="N1590" s="5"/>
      <c r="O1590" t="str">
        <f t="shared" si="24"/>
        <v/>
      </c>
    </row>
    <row r="1591" spans="1:15" x14ac:dyDescent="0.25">
      <c r="A1591" t="s">
        <v>8244</v>
      </c>
      <c r="B1591" t="s">
        <v>8245</v>
      </c>
      <c r="C1591" t="s">
        <v>8246</v>
      </c>
      <c r="D1591">
        <v>2019</v>
      </c>
      <c r="E1591" t="s">
        <v>8144</v>
      </c>
      <c r="F1591" t="s">
        <v>67</v>
      </c>
      <c r="G1591" t="s">
        <v>8194</v>
      </c>
      <c r="H1591" t="s">
        <v>8247</v>
      </c>
      <c r="I1591" t="s">
        <v>8248</v>
      </c>
      <c r="J1591" t="s">
        <v>61</v>
      </c>
      <c r="K1591" t="s">
        <v>62</v>
      </c>
      <c r="L1591" t="s">
        <v>63</v>
      </c>
      <c r="M1591" t="s">
        <v>63</v>
      </c>
      <c r="N1591" s="5"/>
      <c r="O1591" t="str">
        <f t="shared" si="24"/>
        <v/>
      </c>
    </row>
    <row r="1592" spans="1:15" x14ac:dyDescent="0.25">
      <c r="A1592" t="s">
        <v>8249</v>
      </c>
      <c r="B1592" t="s">
        <v>8250</v>
      </c>
      <c r="C1592" t="s">
        <v>8251</v>
      </c>
      <c r="D1592">
        <v>2018</v>
      </c>
      <c r="E1592" t="s">
        <v>8144</v>
      </c>
      <c r="F1592" t="s">
        <v>67</v>
      </c>
      <c r="G1592" t="s">
        <v>8252</v>
      </c>
      <c r="H1592" t="s">
        <v>8253</v>
      </c>
      <c r="I1592" t="s">
        <v>8254</v>
      </c>
      <c r="J1592" t="s">
        <v>71</v>
      </c>
      <c r="K1592" t="s">
        <v>18</v>
      </c>
      <c r="L1592" t="s">
        <v>72</v>
      </c>
      <c r="M1592" t="s">
        <v>72</v>
      </c>
      <c r="N1592" s="5"/>
      <c r="O1592" t="str">
        <f t="shared" si="24"/>
        <v/>
      </c>
    </row>
    <row r="1593" spans="1:15" x14ac:dyDescent="0.25">
      <c r="A1593" t="s">
        <v>8255</v>
      </c>
      <c r="B1593" t="s">
        <v>8256</v>
      </c>
      <c r="C1593" t="s">
        <v>8257</v>
      </c>
      <c r="D1593">
        <v>2018</v>
      </c>
      <c r="E1593" t="s">
        <v>8144</v>
      </c>
      <c r="F1593" t="s">
        <v>67</v>
      </c>
      <c r="G1593" t="s">
        <v>8258</v>
      </c>
      <c r="H1593" t="s">
        <v>8259</v>
      </c>
      <c r="I1593" t="s">
        <v>8260</v>
      </c>
      <c r="J1593" t="s">
        <v>71</v>
      </c>
      <c r="K1593" t="s">
        <v>18</v>
      </c>
      <c r="L1593" t="s">
        <v>72</v>
      </c>
      <c r="M1593" t="s">
        <v>72</v>
      </c>
      <c r="N1593" s="5"/>
      <c r="O1593" t="str">
        <f t="shared" si="24"/>
        <v/>
      </c>
    </row>
    <row r="1594" spans="1:15" x14ac:dyDescent="0.25">
      <c r="A1594" t="s">
        <v>8261</v>
      </c>
      <c r="B1594" t="s">
        <v>8262</v>
      </c>
      <c r="C1594" t="s">
        <v>8263</v>
      </c>
      <c r="D1594">
        <v>2018</v>
      </c>
      <c r="E1594" t="s">
        <v>8144</v>
      </c>
      <c r="F1594" t="s">
        <v>57</v>
      </c>
      <c r="G1594" t="s">
        <v>418</v>
      </c>
      <c r="H1594" t="s">
        <v>8264</v>
      </c>
      <c r="I1594" t="s">
        <v>8265</v>
      </c>
      <c r="J1594" t="s">
        <v>61</v>
      </c>
      <c r="K1594" t="s">
        <v>62</v>
      </c>
      <c r="L1594" t="s">
        <v>63</v>
      </c>
      <c r="M1594" t="s">
        <v>63</v>
      </c>
      <c r="N1594" s="5"/>
      <c r="O1594" t="str">
        <f t="shared" si="24"/>
        <v/>
      </c>
    </row>
    <row r="1595" spans="1:15" x14ac:dyDescent="0.25">
      <c r="A1595" t="s">
        <v>8266</v>
      </c>
      <c r="B1595" t="s">
        <v>8267</v>
      </c>
      <c r="C1595" t="s">
        <v>7123</v>
      </c>
      <c r="D1595">
        <v>2018</v>
      </c>
      <c r="E1595" t="s">
        <v>8144</v>
      </c>
      <c r="F1595" t="s">
        <v>57</v>
      </c>
      <c r="G1595" t="s">
        <v>1803</v>
      </c>
      <c r="H1595" t="s">
        <v>8268</v>
      </c>
      <c r="I1595" t="s">
        <v>8269</v>
      </c>
      <c r="J1595" t="s">
        <v>165</v>
      </c>
      <c r="K1595" t="s">
        <v>166</v>
      </c>
      <c r="L1595" t="s">
        <v>63</v>
      </c>
      <c r="M1595" t="s">
        <v>72</v>
      </c>
      <c r="N1595" s="5"/>
      <c r="O1595" t="str">
        <f t="shared" si="24"/>
        <v/>
      </c>
    </row>
    <row r="1596" spans="1:15" x14ac:dyDescent="0.25">
      <c r="A1596" t="s">
        <v>8270</v>
      </c>
      <c r="B1596" t="s">
        <v>8271</v>
      </c>
      <c r="C1596" t="s">
        <v>661</v>
      </c>
      <c r="D1596">
        <v>2018</v>
      </c>
      <c r="E1596" t="s">
        <v>8144</v>
      </c>
      <c r="F1596" t="s">
        <v>67</v>
      </c>
      <c r="G1596" t="s">
        <v>84</v>
      </c>
      <c r="H1596" t="s">
        <v>8272</v>
      </c>
      <c r="I1596" t="s">
        <v>8273</v>
      </c>
      <c r="J1596" t="s">
        <v>71</v>
      </c>
      <c r="K1596" t="s">
        <v>18</v>
      </c>
      <c r="L1596" t="s">
        <v>72</v>
      </c>
      <c r="M1596" t="s">
        <v>72</v>
      </c>
      <c r="N1596" s="5"/>
      <c r="O1596" t="str">
        <f t="shared" si="24"/>
        <v/>
      </c>
    </row>
    <row r="1597" spans="1:15" x14ac:dyDescent="0.25">
      <c r="A1597" t="s">
        <v>8274</v>
      </c>
      <c r="B1597" t="s">
        <v>8275</v>
      </c>
      <c r="C1597" t="s">
        <v>8276</v>
      </c>
      <c r="D1597">
        <v>2018</v>
      </c>
      <c r="E1597" t="s">
        <v>8144</v>
      </c>
      <c r="F1597" t="s">
        <v>67</v>
      </c>
      <c r="G1597" t="s">
        <v>8277</v>
      </c>
      <c r="H1597" t="s">
        <v>8278</v>
      </c>
      <c r="I1597" t="s">
        <v>8279</v>
      </c>
      <c r="J1597" t="s">
        <v>87</v>
      </c>
      <c r="K1597" t="s">
        <v>19</v>
      </c>
      <c r="L1597" t="s">
        <v>72</v>
      </c>
      <c r="M1597" t="s">
        <v>72</v>
      </c>
      <c r="N1597" s="5"/>
      <c r="O1597" t="str">
        <f t="shared" si="24"/>
        <v/>
      </c>
    </row>
    <row r="1598" spans="1:15" x14ac:dyDescent="0.25">
      <c r="A1598" t="s">
        <v>8280</v>
      </c>
      <c r="B1598" t="s">
        <v>8281</v>
      </c>
      <c r="C1598" t="s">
        <v>8164</v>
      </c>
      <c r="D1598">
        <v>2018</v>
      </c>
      <c r="E1598" t="s">
        <v>8144</v>
      </c>
      <c r="F1598" t="s">
        <v>67</v>
      </c>
      <c r="G1598" t="s">
        <v>8104</v>
      </c>
      <c r="H1598" t="s">
        <v>8282</v>
      </c>
      <c r="I1598" t="s">
        <v>8283</v>
      </c>
      <c r="J1598" t="s">
        <v>71</v>
      </c>
      <c r="K1598" t="s">
        <v>18</v>
      </c>
      <c r="L1598" t="s">
        <v>72</v>
      </c>
      <c r="M1598" t="s">
        <v>72</v>
      </c>
      <c r="N1598" s="5"/>
      <c r="O1598" t="str">
        <f t="shared" si="24"/>
        <v/>
      </c>
    </row>
    <row r="1599" spans="1:15" x14ac:dyDescent="0.25">
      <c r="A1599" t="s">
        <v>8284</v>
      </c>
      <c r="B1599" t="s">
        <v>8285</v>
      </c>
      <c r="C1599" t="s">
        <v>452</v>
      </c>
      <c r="D1599">
        <v>2018</v>
      </c>
      <c r="E1599" t="s">
        <v>8144</v>
      </c>
      <c r="F1599" t="s">
        <v>67</v>
      </c>
      <c r="G1599" t="s">
        <v>8286</v>
      </c>
      <c r="H1599" t="s">
        <v>8287</v>
      </c>
      <c r="I1599" t="s">
        <v>8288</v>
      </c>
      <c r="J1599" t="s">
        <v>71</v>
      </c>
      <c r="K1599" t="s">
        <v>18</v>
      </c>
      <c r="L1599" t="s">
        <v>72</v>
      </c>
      <c r="M1599" t="s">
        <v>72</v>
      </c>
      <c r="N1599" s="5"/>
      <c r="O1599" t="str">
        <f t="shared" si="24"/>
        <v/>
      </c>
    </row>
    <row r="1600" spans="1:15" x14ac:dyDescent="0.25">
      <c r="A1600" t="s">
        <v>8289</v>
      </c>
      <c r="B1600" t="s">
        <v>8290</v>
      </c>
      <c r="C1600" t="s">
        <v>8291</v>
      </c>
      <c r="D1600">
        <v>2018</v>
      </c>
      <c r="E1600" t="s">
        <v>8144</v>
      </c>
      <c r="F1600" t="s">
        <v>67</v>
      </c>
      <c r="G1600" t="s">
        <v>6495</v>
      </c>
      <c r="H1600" t="s">
        <v>8292</v>
      </c>
      <c r="I1600" t="s">
        <v>8293</v>
      </c>
      <c r="J1600" t="s">
        <v>87</v>
      </c>
      <c r="K1600" t="s">
        <v>19</v>
      </c>
      <c r="L1600" t="s">
        <v>72</v>
      </c>
      <c r="M1600" t="s">
        <v>72</v>
      </c>
      <c r="N1600" s="5"/>
      <c r="O1600" t="str">
        <f t="shared" si="24"/>
        <v/>
      </c>
    </row>
    <row r="1601" spans="1:15" x14ac:dyDescent="0.25">
      <c r="A1601" t="s">
        <v>8294</v>
      </c>
      <c r="B1601" t="s">
        <v>8295</v>
      </c>
      <c r="C1601" t="s">
        <v>8296</v>
      </c>
      <c r="D1601">
        <v>2018</v>
      </c>
      <c r="E1601" t="s">
        <v>8144</v>
      </c>
      <c r="F1601" t="s">
        <v>67</v>
      </c>
      <c r="G1601" t="s">
        <v>8297</v>
      </c>
      <c r="H1601" t="s">
        <v>8298</v>
      </c>
      <c r="I1601" t="s">
        <v>8299</v>
      </c>
      <c r="J1601" t="s">
        <v>71</v>
      </c>
      <c r="K1601" t="s">
        <v>18</v>
      </c>
      <c r="L1601" t="s">
        <v>72</v>
      </c>
      <c r="M1601" t="s">
        <v>72</v>
      </c>
      <c r="N1601" s="5"/>
      <c r="O1601" t="str">
        <f t="shared" si="24"/>
        <v/>
      </c>
    </row>
    <row r="1602" spans="1:15" x14ac:dyDescent="0.25">
      <c r="A1602" t="s">
        <v>8300</v>
      </c>
      <c r="B1602" t="s">
        <v>8301</v>
      </c>
      <c r="C1602" t="s">
        <v>8302</v>
      </c>
      <c r="D1602">
        <v>2018</v>
      </c>
      <c r="E1602" t="s">
        <v>8144</v>
      </c>
      <c r="F1602" t="s">
        <v>67</v>
      </c>
      <c r="G1602" t="s">
        <v>8303</v>
      </c>
      <c r="H1602" t="s">
        <v>8304</v>
      </c>
      <c r="I1602" t="s">
        <v>8305</v>
      </c>
      <c r="J1602" t="s">
        <v>71</v>
      </c>
      <c r="K1602" t="s">
        <v>18</v>
      </c>
      <c r="L1602" t="s">
        <v>72</v>
      </c>
      <c r="M1602" t="s">
        <v>72</v>
      </c>
      <c r="N1602" s="5"/>
      <c r="O1602" t="str">
        <f t="shared" ref="O1602:O1665" si="25">IF(N1602="","",IF(N1602=J1602,1,0))</f>
        <v/>
      </c>
    </row>
    <row r="1603" spans="1:15" x14ac:dyDescent="0.25">
      <c r="A1603" t="s">
        <v>8306</v>
      </c>
      <c r="B1603" t="s">
        <v>8307</v>
      </c>
      <c r="C1603" t="s">
        <v>8199</v>
      </c>
      <c r="D1603">
        <v>2018</v>
      </c>
      <c r="E1603" t="s">
        <v>8144</v>
      </c>
      <c r="F1603" t="s">
        <v>67</v>
      </c>
      <c r="G1603" t="s">
        <v>8308</v>
      </c>
      <c r="H1603" t="s">
        <v>8309</v>
      </c>
      <c r="I1603" t="s">
        <v>8310</v>
      </c>
      <c r="J1603" t="s">
        <v>71</v>
      </c>
      <c r="K1603" t="s">
        <v>18</v>
      </c>
      <c r="L1603" t="s">
        <v>72</v>
      </c>
      <c r="M1603" t="s">
        <v>72</v>
      </c>
      <c r="N1603" s="5"/>
      <c r="O1603" t="str">
        <f t="shared" si="25"/>
        <v/>
      </c>
    </row>
    <row r="1604" spans="1:15" x14ac:dyDescent="0.25">
      <c r="A1604" t="s">
        <v>8311</v>
      </c>
      <c r="B1604" t="s">
        <v>8312</v>
      </c>
      <c r="C1604" t="s">
        <v>8313</v>
      </c>
      <c r="D1604">
        <v>2018</v>
      </c>
      <c r="E1604" t="s">
        <v>8144</v>
      </c>
      <c r="F1604" t="s">
        <v>67</v>
      </c>
      <c r="G1604" t="s">
        <v>84</v>
      </c>
      <c r="H1604" t="s">
        <v>8314</v>
      </c>
      <c r="I1604" t="s">
        <v>8315</v>
      </c>
      <c r="J1604" t="s">
        <v>165</v>
      </c>
      <c r="K1604" t="s">
        <v>166</v>
      </c>
      <c r="L1604" t="s">
        <v>63</v>
      </c>
      <c r="M1604" t="s">
        <v>72</v>
      </c>
      <c r="N1604" s="5"/>
      <c r="O1604" t="str">
        <f t="shared" si="25"/>
        <v/>
      </c>
    </row>
    <row r="1605" spans="1:15" x14ac:dyDescent="0.25">
      <c r="A1605" t="s">
        <v>8316</v>
      </c>
      <c r="B1605" t="s">
        <v>8317</v>
      </c>
      <c r="C1605" t="s">
        <v>6905</v>
      </c>
      <c r="D1605">
        <v>2018</v>
      </c>
      <c r="E1605" t="s">
        <v>8144</v>
      </c>
      <c r="F1605" t="s">
        <v>57</v>
      </c>
      <c r="G1605" t="s">
        <v>8318</v>
      </c>
      <c r="H1605" t="s">
        <v>8319</v>
      </c>
      <c r="I1605" t="s">
        <v>8320</v>
      </c>
      <c r="J1605" t="s">
        <v>87</v>
      </c>
      <c r="K1605" t="s">
        <v>19</v>
      </c>
      <c r="L1605" t="s">
        <v>72</v>
      </c>
      <c r="M1605" t="s">
        <v>72</v>
      </c>
      <c r="N1605" s="5"/>
      <c r="O1605" t="str">
        <f t="shared" si="25"/>
        <v/>
      </c>
    </row>
    <row r="1606" spans="1:15" x14ac:dyDescent="0.25">
      <c r="A1606" t="s">
        <v>8321</v>
      </c>
      <c r="B1606" t="s">
        <v>8322</v>
      </c>
      <c r="C1606" t="s">
        <v>7755</v>
      </c>
      <c r="D1606">
        <v>2018</v>
      </c>
      <c r="E1606" t="s">
        <v>8144</v>
      </c>
      <c r="F1606" t="s">
        <v>67</v>
      </c>
      <c r="G1606" t="s">
        <v>2029</v>
      </c>
      <c r="H1606" t="s">
        <v>8323</v>
      </c>
      <c r="I1606" t="s">
        <v>8324</v>
      </c>
      <c r="J1606" t="s">
        <v>87</v>
      </c>
      <c r="K1606" t="s">
        <v>19</v>
      </c>
      <c r="L1606" t="s">
        <v>72</v>
      </c>
      <c r="M1606" t="s">
        <v>72</v>
      </c>
      <c r="N1606" s="5"/>
      <c r="O1606" t="str">
        <f t="shared" si="25"/>
        <v/>
      </c>
    </row>
    <row r="1607" spans="1:15" x14ac:dyDescent="0.25">
      <c r="A1607" t="s">
        <v>8325</v>
      </c>
      <c r="B1607" t="s">
        <v>8326</v>
      </c>
      <c r="C1607" t="s">
        <v>8327</v>
      </c>
      <c r="D1607">
        <v>2018</v>
      </c>
      <c r="E1607" t="s">
        <v>8144</v>
      </c>
      <c r="F1607" t="s">
        <v>67</v>
      </c>
      <c r="G1607" t="s">
        <v>8328</v>
      </c>
      <c r="H1607" t="s">
        <v>8329</v>
      </c>
      <c r="I1607" t="s">
        <v>8330</v>
      </c>
      <c r="J1607" t="s">
        <v>71</v>
      </c>
      <c r="K1607" t="s">
        <v>18</v>
      </c>
      <c r="L1607" t="s">
        <v>72</v>
      </c>
      <c r="M1607" t="s">
        <v>72</v>
      </c>
      <c r="N1607" s="5"/>
      <c r="O1607" t="str">
        <f t="shared" si="25"/>
        <v/>
      </c>
    </row>
    <row r="1608" spans="1:15" x14ac:dyDescent="0.25">
      <c r="A1608" t="s">
        <v>8331</v>
      </c>
      <c r="B1608" t="s">
        <v>8332</v>
      </c>
      <c r="C1608" t="s">
        <v>2656</v>
      </c>
      <c r="D1608">
        <v>2018</v>
      </c>
      <c r="E1608" t="s">
        <v>8144</v>
      </c>
      <c r="F1608" t="s">
        <v>57</v>
      </c>
      <c r="G1608" t="s">
        <v>766</v>
      </c>
      <c r="H1608" t="s">
        <v>8333</v>
      </c>
      <c r="I1608" t="s">
        <v>8334</v>
      </c>
      <c r="J1608" t="s">
        <v>87</v>
      </c>
      <c r="K1608" t="s">
        <v>19</v>
      </c>
      <c r="L1608" t="s">
        <v>72</v>
      </c>
      <c r="M1608" t="s">
        <v>72</v>
      </c>
      <c r="N1608" s="5"/>
      <c r="O1608" t="str">
        <f t="shared" si="25"/>
        <v/>
      </c>
    </row>
    <row r="1609" spans="1:15" x14ac:dyDescent="0.25">
      <c r="A1609" t="s">
        <v>8335</v>
      </c>
      <c r="B1609" t="s">
        <v>8336</v>
      </c>
      <c r="C1609" t="s">
        <v>8337</v>
      </c>
      <c r="D1609">
        <v>2018</v>
      </c>
      <c r="E1609" t="s">
        <v>8144</v>
      </c>
      <c r="F1609" t="s">
        <v>67</v>
      </c>
      <c r="G1609" t="s">
        <v>8338</v>
      </c>
      <c r="H1609" t="s">
        <v>8339</v>
      </c>
      <c r="I1609" t="s">
        <v>8340</v>
      </c>
      <c r="J1609" t="s">
        <v>71</v>
      </c>
      <c r="K1609" t="s">
        <v>18</v>
      </c>
      <c r="L1609" t="s">
        <v>72</v>
      </c>
      <c r="M1609" t="s">
        <v>72</v>
      </c>
      <c r="N1609" s="5"/>
      <c r="O1609" t="str">
        <f t="shared" si="25"/>
        <v/>
      </c>
    </row>
    <row r="1610" spans="1:15" x14ac:dyDescent="0.25">
      <c r="A1610" t="s">
        <v>8341</v>
      </c>
      <c r="B1610" t="s">
        <v>8342</v>
      </c>
      <c r="C1610" t="s">
        <v>8343</v>
      </c>
      <c r="D1610">
        <v>2018</v>
      </c>
      <c r="E1610" t="s">
        <v>8144</v>
      </c>
      <c r="F1610" t="s">
        <v>57</v>
      </c>
      <c r="G1610" t="s">
        <v>418</v>
      </c>
      <c r="H1610" t="s">
        <v>8344</v>
      </c>
      <c r="I1610" t="s">
        <v>8345</v>
      </c>
      <c r="J1610" t="s">
        <v>61</v>
      </c>
      <c r="K1610" t="s">
        <v>62</v>
      </c>
      <c r="L1610" t="s">
        <v>63</v>
      </c>
      <c r="M1610" t="s">
        <v>63</v>
      </c>
      <c r="N1610" s="5"/>
      <c r="O1610" t="str">
        <f t="shared" si="25"/>
        <v/>
      </c>
    </row>
    <row r="1611" spans="1:15" x14ac:dyDescent="0.25">
      <c r="A1611" t="s">
        <v>8346</v>
      </c>
      <c r="B1611" t="s">
        <v>8347</v>
      </c>
      <c r="C1611" t="s">
        <v>8348</v>
      </c>
      <c r="D1611">
        <v>2018</v>
      </c>
      <c r="E1611" t="s">
        <v>8144</v>
      </c>
      <c r="F1611" t="s">
        <v>67</v>
      </c>
      <c r="G1611" t="s">
        <v>8349</v>
      </c>
      <c r="H1611" t="s">
        <v>8350</v>
      </c>
      <c r="I1611" t="s">
        <v>8351</v>
      </c>
      <c r="J1611" t="s">
        <v>98</v>
      </c>
      <c r="K1611" t="s">
        <v>99</v>
      </c>
      <c r="L1611" t="s">
        <v>63</v>
      </c>
      <c r="M1611" t="s">
        <v>72</v>
      </c>
      <c r="N1611" s="5"/>
      <c r="O1611" t="str">
        <f t="shared" si="25"/>
        <v/>
      </c>
    </row>
    <row r="1612" spans="1:15" x14ac:dyDescent="0.25">
      <c r="A1612" t="s">
        <v>8352</v>
      </c>
      <c r="B1612" t="s">
        <v>8353</v>
      </c>
      <c r="C1612" t="s">
        <v>962</v>
      </c>
      <c r="D1612">
        <v>2018</v>
      </c>
      <c r="E1612" t="s">
        <v>8144</v>
      </c>
      <c r="F1612" t="s">
        <v>67</v>
      </c>
      <c r="G1612" t="s">
        <v>8354</v>
      </c>
      <c r="H1612" t="s">
        <v>8355</v>
      </c>
      <c r="I1612" t="s">
        <v>8356</v>
      </c>
      <c r="J1612" t="s">
        <v>87</v>
      </c>
      <c r="K1612" t="s">
        <v>19</v>
      </c>
      <c r="L1612" t="s">
        <v>72</v>
      </c>
      <c r="M1612" t="s">
        <v>72</v>
      </c>
      <c r="N1612" s="5"/>
      <c r="O1612" t="str">
        <f t="shared" si="25"/>
        <v/>
      </c>
    </row>
    <row r="1613" spans="1:15" x14ac:dyDescent="0.25">
      <c r="A1613" t="s">
        <v>8357</v>
      </c>
      <c r="B1613" t="s">
        <v>8358</v>
      </c>
      <c r="C1613" t="s">
        <v>4026</v>
      </c>
      <c r="D1613">
        <v>2017</v>
      </c>
      <c r="E1613" t="s">
        <v>8144</v>
      </c>
      <c r="F1613" t="s">
        <v>67</v>
      </c>
      <c r="G1613" t="s">
        <v>8359</v>
      </c>
      <c r="H1613" t="s">
        <v>8360</v>
      </c>
      <c r="I1613" t="s">
        <v>8361</v>
      </c>
      <c r="J1613" t="s">
        <v>71</v>
      </c>
      <c r="K1613" t="s">
        <v>18</v>
      </c>
      <c r="L1613" t="s">
        <v>72</v>
      </c>
      <c r="M1613" t="s">
        <v>72</v>
      </c>
      <c r="N1613" s="5"/>
      <c r="O1613" t="str">
        <f t="shared" si="25"/>
        <v/>
      </c>
    </row>
    <row r="1614" spans="1:15" x14ac:dyDescent="0.25">
      <c r="A1614" t="s">
        <v>8362</v>
      </c>
      <c r="B1614" t="s">
        <v>8363</v>
      </c>
      <c r="C1614" t="s">
        <v>8364</v>
      </c>
      <c r="D1614">
        <v>2017</v>
      </c>
      <c r="E1614" t="s">
        <v>8144</v>
      </c>
      <c r="F1614" t="s">
        <v>57</v>
      </c>
      <c r="G1614" t="s">
        <v>578</v>
      </c>
      <c r="H1614" t="s">
        <v>8365</v>
      </c>
      <c r="I1614" t="s">
        <v>8366</v>
      </c>
      <c r="J1614" t="s">
        <v>61</v>
      </c>
      <c r="K1614" t="s">
        <v>62</v>
      </c>
      <c r="L1614" t="s">
        <v>63</v>
      </c>
      <c r="M1614" t="s">
        <v>63</v>
      </c>
      <c r="N1614" s="5"/>
      <c r="O1614" t="str">
        <f t="shared" si="25"/>
        <v/>
      </c>
    </row>
    <row r="1615" spans="1:15" x14ac:dyDescent="0.25">
      <c r="A1615" t="s">
        <v>8367</v>
      </c>
      <c r="B1615" t="s">
        <v>8368</v>
      </c>
      <c r="C1615" t="s">
        <v>8184</v>
      </c>
      <c r="D1615">
        <v>2017</v>
      </c>
      <c r="E1615" t="s">
        <v>8144</v>
      </c>
      <c r="F1615" t="s">
        <v>57</v>
      </c>
      <c r="G1615" t="s">
        <v>4438</v>
      </c>
      <c r="H1615" t="s">
        <v>8369</v>
      </c>
      <c r="I1615" t="s">
        <v>8370</v>
      </c>
      <c r="J1615" t="s">
        <v>98</v>
      </c>
      <c r="K1615" t="s">
        <v>99</v>
      </c>
      <c r="L1615" t="s">
        <v>63</v>
      </c>
      <c r="M1615" t="s">
        <v>72</v>
      </c>
      <c r="N1615" s="5"/>
      <c r="O1615" t="str">
        <f t="shared" si="25"/>
        <v/>
      </c>
    </row>
    <row r="1616" spans="1:15" x14ac:dyDescent="0.25">
      <c r="A1616" t="s">
        <v>8371</v>
      </c>
      <c r="B1616" t="s">
        <v>8372</v>
      </c>
      <c r="C1616" t="s">
        <v>8373</v>
      </c>
      <c r="D1616">
        <v>2017</v>
      </c>
      <c r="E1616" t="s">
        <v>8144</v>
      </c>
      <c r="F1616" t="s">
        <v>67</v>
      </c>
      <c r="G1616" t="s">
        <v>3288</v>
      </c>
      <c r="H1616" t="s">
        <v>8374</v>
      </c>
      <c r="I1616" t="s">
        <v>8375</v>
      </c>
      <c r="J1616" t="s">
        <v>71</v>
      </c>
      <c r="K1616" t="s">
        <v>18</v>
      </c>
      <c r="L1616" t="s">
        <v>72</v>
      </c>
      <c r="M1616" t="s">
        <v>72</v>
      </c>
      <c r="N1616" s="5"/>
      <c r="O1616" t="str">
        <f t="shared" si="25"/>
        <v/>
      </c>
    </row>
    <row r="1617" spans="1:15" x14ac:dyDescent="0.25">
      <c r="A1617" t="s">
        <v>8376</v>
      </c>
      <c r="B1617" t="s">
        <v>8377</v>
      </c>
      <c r="C1617" t="s">
        <v>7293</v>
      </c>
      <c r="D1617">
        <v>2017</v>
      </c>
      <c r="E1617" t="s">
        <v>8144</v>
      </c>
      <c r="F1617" t="s">
        <v>67</v>
      </c>
      <c r="G1617" t="s">
        <v>2029</v>
      </c>
      <c r="H1617" t="s">
        <v>8378</v>
      </c>
      <c r="I1617" t="s">
        <v>8379</v>
      </c>
      <c r="J1617" t="s">
        <v>71</v>
      </c>
      <c r="K1617" t="s">
        <v>18</v>
      </c>
      <c r="L1617" t="s">
        <v>72</v>
      </c>
      <c r="M1617" t="s">
        <v>72</v>
      </c>
      <c r="N1617" s="5"/>
      <c r="O1617" t="str">
        <f t="shared" si="25"/>
        <v/>
      </c>
    </row>
    <row r="1618" spans="1:15" x14ac:dyDescent="0.25">
      <c r="A1618" t="s">
        <v>8380</v>
      </c>
      <c r="B1618" t="s">
        <v>8381</v>
      </c>
      <c r="C1618" t="s">
        <v>8382</v>
      </c>
      <c r="D1618">
        <v>2017</v>
      </c>
      <c r="E1618" t="s">
        <v>8144</v>
      </c>
      <c r="F1618" t="s">
        <v>57</v>
      </c>
      <c r="G1618" t="s">
        <v>418</v>
      </c>
      <c r="H1618" t="s">
        <v>8383</v>
      </c>
      <c r="I1618" t="s">
        <v>8384</v>
      </c>
      <c r="J1618" t="s">
        <v>61</v>
      </c>
      <c r="K1618" t="s">
        <v>62</v>
      </c>
      <c r="L1618" t="s">
        <v>63</v>
      </c>
      <c r="M1618" t="s">
        <v>63</v>
      </c>
      <c r="N1618" s="5"/>
      <c r="O1618" t="str">
        <f t="shared" si="25"/>
        <v/>
      </c>
    </row>
    <row r="1619" spans="1:15" x14ac:dyDescent="0.25">
      <c r="A1619" t="s">
        <v>8385</v>
      </c>
      <c r="B1619" t="s">
        <v>8386</v>
      </c>
      <c r="C1619" t="s">
        <v>8184</v>
      </c>
      <c r="D1619">
        <v>2017</v>
      </c>
      <c r="E1619" t="s">
        <v>8144</v>
      </c>
      <c r="F1619" t="s">
        <v>57</v>
      </c>
      <c r="G1619" t="s">
        <v>8387</v>
      </c>
      <c r="H1619" t="s">
        <v>8388</v>
      </c>
      <c r="I1619" t="s">
        <v>8389</v>
      </c>
      <c r="J1619" t="s">
        <v>98</v>
      </c>
      <c r="K1619" t="s">
        <v>99</v>
      </c>
      <c r="L1619" t="s">
        <v>63</v>
      </c>
      <c r="M1619" t="s">
        <v>72</v>
      </c>
      <c r="N1619" s="5"/>
      <c r="O1619" t="str">
        <f t="shared" si="25"/>
        <v/>
      </c>
    </row>
    <row r="1620" spans="1:15" x14ac:dyDescent="0.25">
      <c r="A1620" t="s">
        <v>8390</v>
      </c>
      <c r="B1620" t="s">
        <v>8391</v>
      </c>
      <c r="C1620" t="s">
        <v>8392</v>
      </c>
      <c r="D1620">
        <v>2017</v>
      </c>
      <c r="E1620" t="s">
        <v>8144</v>
      </c>
      <c r="F1620" t="s">
        <v>67</v>
      </c>
      <c r="G1620" t="s">
        <v>5458</v>
      </c>
      <c r="H1620" t="s">
        <v>8393</v>
      </c>
      <c r="I1620" t="s">
        <v>8394</v>
      </c>
      <c r="J1620" t="s">
        <v>71</v>
      </c>
      <c r="K1620" t="s">
        <v>18</v>
      </c>
      <c r="L1620" t="s">
        <v>72</v>
      </c>
      <c r="M1620" t="s">
        <v>72</v>
      </c>
      <c r="N1620" s="5"/>
      <c r="O1620" t="str">
        <f t="shared" si="25"/>
        <v/>
      </c>
    </row>
    <row r="1621" spans="1:15" x14ac:dyDescent="0.25">
      <c r="A1621" t="s">
        <v>8395</v>
      </c>
      <c r="B1621" t="s">
        <v>8396</v>
      </c>
      <c r="C1621" t="s">
        <v>7293</v>
      </c>
      <c r="D1621">
        <v>2017</v>
      </c>
      <c r="E1621" t="s">
        <v>8144</v>
      </c>
      <c r="F1621" t="s">
        <v>67</v>
      </c>
      <c r="G1621" t="s">
        <v>3288</v>
      </c>
      <c r="H1621" t="s">
        <v>8397</v>
      </c>
      <c r="I1621" t="s">
        <v>8398</v>
      </c>
      <c r="J1621" t="s">
        <v>87</v>
      </c>
      <c r="K1621" t="s">
        <v>19</v>
      </c>
      <c r="L1621" t="s">
        <v>72</v>
      </c>
      <c r="M1621" t="s">
        <v>72</v>
      </c>
      <c r="N1621" s="5"/>
      <c r="O1621" t="str">
        <f t="shared" si="25"/>
        <v/>
      </c>
    </row>
    <row r="1622" spans="1:15" x14ac:dyDescent="0.25">
      <c r="A1622" t="s">
        <v>8399</v>
      </c>
      <c r="B1622" t="s">
        <v>8400</v>
      </c>
      <c r="C1622" t="s">
        <v>95</v>
      </c>
      <c r="D1622">
        <v>2017</v>
      </c>
      <c r="E1622" t="s">
        <v>8144</v>
      </c>
      <c r="F1622" t="s">
        <v>67</v>
      </c>
      <c r="G1622" t="s">
        <v>8401</v>
      </c>
      <c r="H1622" t="s">
        <v>8402</v>
      </c>
      <c r="I1622" t="s">
        <v>8403</v>
      </c>
      <c r="J1622" t="s">
        <v>71</v>
      </c>
      <c r="K1622" t="s">
        <v>18</v>
      </c>
      <c r="L1622" t="s">
        <v>72</v>
      </c>
      <c r="M1622" t="s">
        <v>72</v>
      </c>
      <c r="N1622" s="5"/>
      <c r="O1622" t="str">
        <f t="shared" si="25"/>
        <v/>
      </c>
    </row>
    <row r="1623" spans="1:15" x14ac:dyDescent="0.25">
      <c r="A1623" t="s">
        <v>8404</v>
      </c>
      <c r="B1623" t="s">
        <v>8405</v>
      </c>
      <c r="C1623" t="s">
        <v>2204</v>
      </c>
      <c r="D1623">
        <v>2017</v>
      </c>
      <c r="E1623" t="s">
        <v>8144</v>
      </c>
      <c r="F1623" t="s">
        <v>67</v>
      </c>
      <c r="G1623" t="s">
        <v>8406</v>
      </c>
      <c r="H1623" t="s">
        <v>8407</v>
      </c>
      <c r="I1623" t="s">
        <v>8408</v>
      </c>
      <c r="J1623" t="s">
        <v>71</v>
      </c>
      <c r="K1623" t="s">
        <v>18</v>
      </c>
      <c r="L1623" t="s">
        <v>72</v>
      </c>
      <c r="M1623" t="s">
        <v>72</v>
      </c>
      <c r="N1623" s="5"/>
      <c r="O1623" t="str">
        <f t="shared" si="25"/>
        <v/>
      </c>
    </row>
    <row r="1624" spans="1:15" x14ac:dyDescent="0.25">
      <c r="A1624" t="s">
        <v>8409</v>
      </c>
      <c r="B1624" t="s">
        <v>8410</v>
      </c>
      <c r="C1624" t="s">
        <v>8411</v>
      </c>
      <c r="D1624">
        <v>2017</v>
      </c>
      <c r="E1624" t="s">
        <v>8144</v>
      </c>
      <c r="F1624" t="s">
        <v>57</v>
      </c>
      <c r="G1624" t="s">
        <v>8412</v>
      </c>
      <c r="H1624" t="s">
        <v>8413</v>
      </c>
      <c r="I1624" t="s">
        <v>8414</v>
      </c>
      <c r="J1624" t="s">
        <v>165</v>
      </c>
      <c r="K1624" t="s">
        <v>166</v>
      </c>
      <c r="L1624" t="s">
        <v>63</v>
      </c>
      <c r="M1624" t="s">
        <v>72</v>
      </c>
      <c r="N1624" s="5"/>
      <c r="O1624" t="str">
        <f t="shared" si="25"/>
        <v/>
      </c>
    </row>
    <row r="1625" spans="1:15" x14ac:dyDescent="0.25">
      <c r="A1625" t="s">
        <v>8415</v>
      </c>
      <c r="B1625" t="s">
        <v>8416</v>
      </c>
      <c r="C1625" t="s">
        <v>8417</v>
      </c>
      <c r="D1625">
        <v>2016</v>
      </c>
      <c r="E1625" t="s">
        <v>8418</v>
      </c>
      <c r="F1625" t="s">
        <v>67</v>
      </c>
      <c r="G1625" t="s">
        <v>3288</v>
      </c>
      <c r="H1625" t="s">
        <v>8419</v>
      </c>
      <c r="I1625" t="s">
        <v>8420</v>
      </c>
      <c r="J1625" t="s">
        <v>98</v>
      </c>
      <c r="K1625" t="s">
        <v>99</v>
      </c>
      <c r="L1625" t="s">
        <v>63</v>
      </c>
      <c r="M1625" t="s">
        <v>72</v>
      </c>
      <c r="N1625" s="5"/>
      <c r="O1625" t="str">
        <f t="shared" si="25"/>
        <v/>
      </c>
    </row>
    <row r="1626" spans="1:15" x14ac:dyDescent="0.25">
      <c r="A1626" t="s">
        <v>8421</v>
      </c>
      <c r="B1626" t="s">
        <v>8422</v>
      </c>
      <c r="C1626" t="s">
        <v>7755</v>
      </c>
      <c r="D1626">
        <v>2016</v>
      </c>
      <c r="E1626" t="s">
        <v>8418</v>
      </c>
      <c r="F1626" t="s">
        <v>67</v>
      </c>
      <c r="G1626" t="s">
        <v>2029</v>
      </c>
      <c r="H1626" t="s">
        <v>8423</v>
      </c>
      <c r="I1626" t="s">
        <v>8424</v>
      </c>
      <c r="J1626" t="s">
        <v>61</v>
      </c>
      <c r="K1626" t="s">
        <v>62</v>
      </c>
      <c r="L1626" t="s">
        <v>63</v>
      </c>
      <c r="M1626" t="s">
        <v>63</v>
      </c>
      <c r="N1626" s="5"/>
      <c r="O1626" t="str">
        <f t="shared" si="25"/>
        <v/>
      </c>
    </row>
    <row r="1627" spans="1:15" x14ac:dyDescent="0.25">
      <c r="A1627" t="s">
        <v>8425</v>
      </c>
      <c r="B1627" t="s">
        <v>8426</v>
      </c>
      <c r="C1627" t="s">
        <v>8427</v>
      </c>
      <c r="D1627">
        <v>2016</v>
      </c>
      <c r="E1627" t="s">
        <v>8418</v>
      </c>
      <c r="F1627" t="s">
        <v>67</v>
      </c>
      <c r="G1627" t="s">
        <v>8428</v>
      </c>
      <c r="H1627" t="s">
        <v>8429</v>
      </c>
      <c r="I1627" t="s">
        <v>8430</v>
      </c>
      <c r="J1627" t="s">
        <v>71</v>
      </c>
      <c r="K1627" t="s">
        <v>18</v>
      </c>
      <c r="L1627" t="s">
        <v>72</v>
      </c>
      <c r="M1627" t="s">
        <v>72</v>
      </c>
      <c r="N1627" s="5"/>
      <c r="O1627" t="str">
        <f t="shared" si="25"/>
        <v/>
      </c>
    </row>
    <row r="1628" spans="1:15" x14ac:dyDescent="0.25">
      <c r="A1628" t="s">
        <v>8431</v>
      </c>
      <c r="B1628" t="s">
        <v>8432</v>
      </c>
      <c r="C1628" t="s">
        <v>8433</v>
      </c>
      <c r="D1628">
        <v>2016</v>
      </c>
      <c r="E1628" t="s">
        <v>8418</v>
      </c>
      <c r="F1628" t="s">
        <v>57</v>
      </c>
      <c r="G1628" t="s">
        <v>8434</v>
      </c>
      <c r="H1628" t="s">
        <v>8435</v>
      </c>
      <c r="I1628" t="s">
        <v>8436</v>
      </c>
      <c r="J1628" t="s">
        <v>61</v>
      </c>
      <c r="K1628" t="s">
        <v>62</v>
      </c>
      <c r="L1628" t="s">
        <v>63</v>
      </c>
      <c r="M1628" t="s">
        <v>63</v>
      </c>
      <c r="N1628" s="5"/>
      <c r="O1628" t="str">
        <f t="shared" si="25"/>
        <v/>
      </c>
    </row>
    <row r="1629" spans="1:15" x14ac:dyDescent="0.25">
      <c r="A1629" t="s">
        <v>8437</v>
      </c>
      <c r="B1629" t="s">
        <v>8438</v>
      </c>
      <c r="C1629" t="s">
        <v>8439</v>
      </c>
      <c r="D1629">
        <v>2016</v>
      </c>
      <c r="E1629" t="s">
        <v>8418</v>
      </c>
      <c r="F1629" t="s">
        <v>57</v>
      </c>
      <c r="G1629" t="s">
        <v>8440</v>
      </c>
      <c r="H1629" t="s">
        <v>8441</v>
      </c>
      <c r="I1629" t="s">
        <v>8442</v>
      </c>
      <c r="J1629" t="s">
        <v>98</v>
      </c>
      <c r="K1629" t="s">
        <v>99</v>
      </c>
      <c r="L1629" t="s">
        <v>63</v>
      </c>
      <c r="M1629" t="s">
        <v>72</v>
      </c>
      <c r="N1629" s="5"/>
      <c r="O1629" t="str">
        <f t="shared" si="25"/>
        <v/>
      </c>
    </row>
    <row r="1630" spans="1:15" x14ac:dyDescent="0.25">
      <c r="A1630" t="s">
        <v>8443</v>
      </c>
      <c r="B1630" t="s">
        <v>8444</v>
      </c>
      <c r="C1630" t="s">
        <v>8184</v>
      </c>
      <c r="D1630">
        <v>2015</v>
      </c>
      <c r="E1630" t="s">
        <v>8418</v>
      </c>
      <c r="F1630" t="s">
        <v>67</v>
      </c>
      <c r="G1630" t="s">
        <v>3288</v>
      </c>
      <c r="H1630" t="s">
        <v>8445</v>
      </c>
      <c r="I1630" t="s">
        <v>8446</v>
      </c>
      <c r="J1630" t="s">
        <v>98</v>
      </c>
      <c r="K1630" t="s">
        <v>99</v>
      </c>
      <c r="L1630" t="s">
        <v>63</v>
      </c>
      <c r="M1630" t="s">
        <v>72</v>
      </c>
      <c r="N1630" s="5"/>
      <c r="O1630" t="str">
        <f t="shared" si="25"/>
        <v/>
      </c>
    </row>
    <row r="1631" spans="1:15" x14ac:dyDescent="0.25">
      <c r="A1631" t="s">
        <v>8447</v>
      </c>
      <c r="B1631" t="s">
        <v>8448</v>
      </c>
      <c r="C1631" t="s">
        <v>367</v>
      </c>
      <c r="D1631">
        <v>2015</v>
      </c>
      <c r="E1631" t="s">
        <v>8418</v>
      </c>
      <c r="F1631" t="s">
        <v>67</v>
      </c>
      <c r="G1631" t="s">
        <v>8449</v>
      </c>
      <c r="H1631" t="s">
        <v>8450</v>
      </c>
      <c r="I1631" t="s">
        <v>8451</v>
      </c>
      <c r="J1631" t="s">
        <v>98</v>
      </c>
      <c r="K1631" t="s">
        <v>99</v>
      </c>
      <c r="L1631" t="s">
        <v>63</v>
      </c>
      <c r="M1631" t="s">
        <v>72</v>
      </c>
      <c r="N1631" s="5"/>
      <c r="O1631" t="str">
        <f t="shared" si="25"/>
        <v/>
      </c>
    </row>
    <row r="1632" spans="1:15" x14ac:dyDescent="0.25">
      <c r="A1632" t="s">
        <v>8452</v>
      </c>
      <c r="B1632" t="s">
        <v>8453</v>
      </c>
      <c r="C1632" t="s">
        <v>8184</v>
      </c>
      <c r="D1632">
        <v>2014</v>
      </c>
      <c r="E1632" t="s">
        <v>8418</v>
      </c>
      <c r="F1632" t="s">
        <v>67</v>
      </c>
      <c r="G1632" t="s">
        <v>3288</v>
      </c>
      <c r="H1632" t="s">
        <v>8454</v>
      </c>
      <c r="I1632" t="s">
        <v>8455</v>
      </c>
      <c r="J1632" t="s">
        <v>71</v>
      </c>
      <c r="K1632" t="s">
        <v>18</v>
      </c>
      <c r="L1632" t="s">
        <v>72</v>
      </c>
      <c r="M1632" t="s">
        <v>72</v>
      </c>
      <c r="N1632" s="5"/>
      <c r="O1632" t="str">
        <f t="shared" si="25"/>
        <v/>
      </c>
    </row>
    <row r="1633" spans="1:15" x14ac:dyDescent="0.25">
      <c r="A1633" t="s">
        <v>8456</v>
      </c>
      <c r="B1633" t="s">
        <v>8457</v>
      </c>
      <c r="C1633" t="s">
        <v>8458</v>
      </c>
      <c r="D1633">
        <v>2014</v>
      </c>
      <c r="E1633" t="s">
        <v>8418</v>
      </c>
      <c r="F1633" t="s">
        <v>57</v>
      </c>
      <c r="G1633" t="s">
        <v>3288</v>
      </c>
      <c r="H1633" t="s">
        <v>8459</v>
      </c>
      <c r="I1633" t="s">
        <v>8460</v>
      </c>
      <c r="J1633" t="s">
        <v>71</v>
      </c>
      <c r="K1633" t="s">
        <v>18</v>
      </c>
      <c r="L1633" t="s">
        <v>72</v>
      </c>
      <c r="M1633" t="s">
        <v>72</v>
      </c>
      <c r="N1633" s="5"/>
      <c r="O1633" t="str">
        <f t="shared" si="25"/>
        <v/>
      </c>
    </row>
    <row r="1634" spans="1:15" x14ac:dyDescent="0.25">
      <c r="A1634" t="s">
        <v>8461</v>
      </c>
      <c r="B1634" t="s">
        <v>8462</v>
      </c>
      <c r="C1634" t="s">
        <v>8463</v>
      </c>
      <c r="D1634">
        <v>2013</v>
      </c>
      <c r="E1634" t="s">
        <v>8418</v>
      </c>
      <c r="F1634" t="s">
        <v>67</v>
      </c>
      <c r="G1634" t="s">
        <v>3900</v>
      </c>
      <c r="H1634" t="s">
        <v>8464</v>
      </c>
      <c r="I1634" t="s">
        <v>8465</v>
      </c>
      <c r="J1634" t="s">
        <v>71</v>
      </c>
      <c r="K1634" t="s">
        <v>18</v>
      </c>
      <c r="L1634" t="s">
        <v>72</v>
      </c>
      <c r="M1634" t="s">
        <v>72</v>
      </c>
      <c r="N1634" s="5"/>
      <c r="O1634" t="str">
        <f t="shared" si="25"/>
        <v/>
      </c>
    </row>
    <row r="1635" spans="1:15" x14ac:dyDescent="0.25">
      <c r="A1635" t="s">
        <v>8466</v>
      </c>
      <c r="B1635" t="s">
        <v>8467</v>
      </c>
      <c r="C1635" t="s">
        <v>8468</v>
      </c>
      <c r="D1635">
        <v>2013</v>
      </c>
      <c r="E1635" t="s">
        <v>8418</v>
      </c>
      <c r="F1635" t="s">
        <v>67</v>
      </c>
      <c r="G1635" t="s">
        <v>8469</v>
      </c>
      <c r="H1635" t="s">
        <v>8470</v>
      </c>
      <c r="I1635" t="s">
        <v>8471</v>
      </c>
      <c r="J1635" t="s">
        <v>87</v>
      </c>
      <c r="K1635" t="s">
        <v>19</v>
      </c>
      <c r="L1635" t="s">
        <v>72</v>
      </c>
      <c r="M1635" t="s">
        <v>72</v>
      </c>
      <c r="N1635" s="5"/>
      <c r="O1635" t="str">
        <f t="shared" si="25"/>
        <v/>
      </c>
    </row>
    <row r="1636" spans="1:15" x14ac:dyDescent="0.25">
      <c r="A1636" t="s">
        <v>8472</v>
      </c>
      <c r="B1636" t="s">
        <v>8473</v>
      </c>
      <c r="C1636" t="s">
        <v>8474</v>
      </c>
      <c r="D1636">
        <v>2013</v>
      </c>
      <c r="E1636" t="s">
        <v>8418</v>
      </c>
      <c r="F1636" t="s">
        <v>67</v>
      </c>
      <c r="G1636" t="s">
        <v>8475</v>
      </c>
      <c r="H1636" t="s">
        <v>8476</v>
      </c>
      <c r="I1636" t="s">
        <v>8477</v>
      </c>
      <c r="J1636" t="s">
        <v>71</v>
      </c>
      <c r="K1636" t="s">
        <v>18</v>
      </c>
      <c r="L1636" t="s">
        <v>72</v>
      </c>
      <c r="M1636" t="s">
        <v>72</v>
      </c>
      <c r="N1636" s="5"/>
      <c r="O1636" t="str">
        <f t="shared" si="25"/>
        <v/>
      </c>
    </row>
    <row r="1637" spans="1:15" x14ac:dyDescent="0.25">
      <c r="A1637" t="s">
        <v>8478</v>
      </c>
      <c r="B1637" t="s">
        <v>8479</v>
      </c>
      <c r="C1637" t="s">
        <v>8480</v>
      </c>
      <c r="D1637">
        <v>2013</v>
      </c>
      <c r="E1637" t="s">
        <v>8418</v>
      </c>
      <c r="F1637" t="s">
        <v>67</v>
      </c>
      <c r="G1637" t="s">
        <v>5458</v>
      </c>
      <c r="H1637" t="s">
        <v>8481</v>
      </c>
      <c r="I1637" t="s">
        <v>8482</v>
      </c>
      <c r="J1637" t="s">
        <v>79</v>
      </c>
      <c r="K1637" t="s">
        <v>80</v>
      </c>
      <c r="L1637" t="s">
        <v>72</v>
      </c>
      <c r="M1637" t="s">
        <v>72</v>
      </c>
      <c r="N1637" s="5"/>
      <c r="O1637" t="str">
        <f t="shared" si="25"/>
        <v/>
      </c>
    </row>
    <row r="1638" spans="1:15" x14ac:dyDescent="0.25">
      <c r="A1638" t="s">
        <v>8483</v>
      </c>
      <c r="B1638" t="s">
        <v>8484</v>
      </c>
      <c r="C1638" t="s">
        <v>8485</v>
      </c>
      <c r="D1638">
        <v>2013</v>
      </c>
      <c r="E1638" t="s">
        <v>8418</v>
      </c>
      <c r="F1638" t="s">
        <v>67</v>
      </c>
      <c r="G1638" t="s">
        <v>8469</v>
      </c>
      <c r="H1638" t="s">
        <v>8486</v>
      </c>
      <c r="I1638" t="s">
        <v>8487</v>
      </c>
      <c r="J1638" t="s">
        <v>71</v>
      </c>
      <c r="K1638" t="s">
        <v>18</v>
      </c>
      <c r="L1638" t="s">
        <v>72</v>
      </c>
      <c r="M1638" t="s">
        <v>72</v>
      </c>
      <c r="N1638" s="5"/>
      <c r="O1638" t="str">
        <f t="shared" si="25"/>
        <v/>
      </c>
    </row>
    <row r="1639" spans="1:15" x14ac:dyDescent="0.25">
      <c r="A1639" t="s">
        <v>8488</v>
      </c>
      <c r="B1639" t="s">
        <v>8489</v>
      </c>
      <c r="C1639" t="s">
        <v>8490</v>
      </c>
      <c r="D1639">
        <v>2012</v>
      </c>
      <c r="E1639" t="s">
        <v>8418</v>
      </c>
      <c r="F1639" t="s">
        <v>67</v>
      </c>
      <c r="G1639" t="s">
        <v>7887</v>
      </c>
      <c r="H1639" t="s">
        <v>8491</v>
      </c>
      <c r="I1639" t="s">
        <v>8492</v>
      </c>
      <c r="J1639" t="s">
        <v>71</v>
      </c>
      <c r="K1639" t="s">
        <v>18</v>
      </c>
      <c r="L1639" t="s">
        <v>72</v>
      </c>
      <c r="M1639" t="s">
        <v>72</v>
      </c>
      <c r="N1639" s="5"/>
      <c r="O1639" t="str">
        <f t="shared" si="25"/>
        <v/>
      </c>
    </row>
    <row r="1640" spans="1:15" x14ac:dyDescent="0.25">
      <c r="A1640" t="s">
        <v>8493</v>
      </c>
      <c r="B1640" t="s">
        <v>8494</v>
      </c>
      <c r="C1640" t="s">
        <v>8495</v>
      </c>
      <c r="D1640">
        <v>2012</v>
      </c>
      <c r="E1640" t="s">
        <v>8418</v>
      </c>
      <c r="F1640" t="s">
        <v>67</v>
      </c>
      <c r="G1640" t="s">
        <v>84</v>
      </c>
      <c r="H1640" t="s">
        <v>8496</v>
      </c>
      <c r="I1640" t="s">
        <v>8497</v>
      </c>
      <c r="J1640" t="s">
        <v>71</v>
      </c>
      <c r="K1640" t="s">
        <v>18</v>
      </c>
      <c r="L1640" t="s">
        <v>72</v>
      </c>
      <c r="M1640" t="s">
        <v>72</v>
      </c>
      <c r="N1640" s="5"/>
      <c r="O1640" t="str">
        <f t="shared" si="25"/>
        <v/>
      </c>
    </row>
    <row r="1641" spans="1:15" x14ac:dyDescent="0.25">
      <c r="A1641" t="s">
        <v>8498</v>
      </c>
      <c r="B1641" t="s">
        <v>8499</v>
      </c>
      <c r="C1641" t="s">
        <v>8500</v>
      </c>
      <c r="D1641">
        <v>2012</v>
      </c>
      <c r="E1641" t="s">
        <v>8418</v>
      </c>
      <c r="F1641" t="s">
        <v>67</v>
      </c>
      <c r="G1641" t="s">
        <v>3133</v>
      </c>
      <c r="H1641" t="s">
        <v>8501</v>
      </c>
      <c r="I1641" t="s">
        <v>8502</v>
      </c>
      <c r="J1641" t="s">
        <v>71</v>
      </c>
      <c r="K1641" t="s">
        <v>18</v>
      </c>
      <c r="L1641" t="s">
        <v>72</v>
      </c>
      <c r="M1641" t="s">
        <v>72</v>
      </c>
      <c r="N1641" s="5"/>
      <c r="O1641" t="str">
        <f t="shared" si="25"/>
        <v/>
      </c>
    </row>
    <row r="1642" spans="1:15" x14ac:dyDescent="0.25">
      <c r="A1642" t="s">
        <v>8503</v>
      </c>
      <c r="B1642" t="s">
        <v>8504</v>
      </c>
      <c r="C1642" t="s">
        <v>8505</v>
      </c>
      <c r="D1642">
        <v>2012</v>
      </c>
      <c r="E1642" t="s">
        <v>8418</v>
      </c>
      <c r="F1642" t="s">
        <v>67</v>
      </c>
      <c r="G1642" t="s">
        <v>3288</v>
      </c>
      <c r="H1642" t="s">
        <v>8506</v>
      </c>
      <c r="I1642" t="s">
        <v>8507</v>
      </c>
      <c r="J1642" t="s">
        <v>71</v>
      </c>
      <c r="K1642" t="s">
        <v>18</v>
      </c>
      <c r="L1642" t="s">
        <v>72</v>
      </c>
      <c r="M1642" t="s">
        <v>72</v>
      </c>
      <c r="N1642" s="5"/>
      <c r="O1642" t="str">
        <f t="shared" si="25"/>
        <v/>
      </c>
    </row>
    <row r="1643" spans="1:15" x14ac:dyDescent="0.25">
      <c r="A1643" t="s">
        <v>8508</v>
      </c>
      <c r="B1643" t="s">
        <v>8509</v>
      </c>
      <c r="C1643" t="s">
        <v>962</v>
      </c>
      <c r="D1643">
        <v>2012</v>
      </c>
      <c r="E1643" t="s">
        <v>8418</v>
      </c>
      <c r="F1643" t="s">
        <v>67</v>
      </c>
      <c r="G1643" t="s">
        <v>8510</v>
      </c>
      <c r="H1643" t="s">
        <v>8511</v>
      </c>
      <c r="I1643" t="s">
        <v>8512</v>
      </c>
      <c r="J1643" t="s">
        <v>71</v>
      </c>
      <c r="K1643" t="s">
        <v>18</v>
      </c>
      <c r="L1643" t="s">
        <v>72</v>
      </c>
      <c r="M1643" t="s">
        <v>72</v>
      </c>
      <c r="N1643" s="5"/>
      <c r="O1643" t="str">
        <f t="shared" si="25"/>
        <v/>
      </c>
    </row>
  </sheetData>
  <autoFilter ref="A1:O1643" xr:uid="{00000000-0009-0000-0000-000001000000}"/>
  <dataValidations count="1">
    <dataValidation type="list" allowBlank="1" sqref="N2:N1643" xr:uid="{00000000-0002-0000-0100-000000000000}">
      <formula1>"I,N6,N7,N8,N9,N10"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6" customWidth="1"/>
    <col min="4" max="4" width="7" customWidth="1"/>
    <col min="5" max="5" width="50" customWidth="1"/>
    <col min="6" max="6" width="28" customWidth="1"/>
    <col min="7" max="7" width="14" customWidth="1"/>
    <col min="8" max="10" width="26" customWidth="1"/>
    <col min="11" max="11" width="30" customWidth="1"/>
    <col min="12" max="12" width="22" customWidth="1"/>
    <col min="13" max="13" width="18" customWidth="1"/>
    <col min="14" max="14" width="22" customWidth="1"/>
    <col min="15" max="15" width="7" customWidth="1"/>
    <col min="16" max="16" width="22" customWidth="1"/>
    <col min="17" max="17" width="26" customWidth="1"/>
    <col min="18" max="18" width="36" customWidth="1"/>
    <col min="19" max="19" width="10" customWidth="1"/>
    <col min="20" max="20" width="40" customWidth="1"/>
    <col min="21" max="21" width="22" customWidth="1"/>
    <col min="22" max="22" width="26" customWidth="1"/>
    <col min="23" max="23" width="12" customWidth="1"/>
  </cols>
  <sheetData>
    <row r="1" spans="1:23" ht="60" x14ac:dyDescent="0.25">
      <c r="A1" s="4" t="s">
        <v>8513</v>
      </c>
      <c r="B1" s="4" t="s">
        <v>8514</v>
      </c>
      <c r="C1" s="4" t="s">
        <v>40</v>
      </c>
      <c r="D1" s="4" t="s">
        <v>41</v>
      </c>
      <c r="E1" s="4" t="s">
        <v>39</v>
      </c>
      <c r="F1" s="4" t="s">
        <v>8515</v>
      </c>
      <c r="G1" s="4" t="s">
        <v>43</v>
      </c>
      <c r="H1" s="4" t="s">
        <v>8516</v>
      </c>
      <c r="I1" s="4" t="s">
        <v>8517</v>
      </c>
      <c r="J1" s="4" t="s">
        <v>8518</v>
      </c>
      <c r="K1" s="4" t="s">
        <v>8519</v>
      </c>
      <c r="L1" s="4" t="s">
        <v>8520</v>
      </c>
      <c r="M1" s="4" t="s">
        <v>8521</v>
      </c>
      <c r="N1" s="4" t="s">
        <v>8522</v>
      </c>
      <c r="O1" s="4" t="s">
        <v>8523</v>
      </c>
      <c r="P1" s="4" t="s">
        <v>8524</v>
      </c>
      <c r="Q1" s="4" t="s">
        <v>8525</v>
      </c>
      <c r="R1" s="4" t="s">
        <v>8526</v>
      </c>
      <c r="S1" s="4" t="s">
        <v>8527</v>
      </c>
      <c r="T1" s="4" t="s">
        <v>8528</v>
      </c>
      <c r="U1" s="4" t="s">
        <v>45</v>
      </c>
      <c r="V1" s="4" t="s">
        <v>46</v>
      </c>
      <c r="W1" s="4" t="s">
        <v>8529</v>
      </c>
    </row>
    <row r="2" spans="1:23" ht="45" x14ac:dyDescent="0.25">
      <c r="A2" t="s">
        <v>53</v>
      </c>
      <c r="C2" t="s">
        <v>55</v>
      </c>
      <c r="D2">
        <v>2027</v>
      </c>
      <c r="E2" s="3" t="s">
        <v>54</v>
      </c>
      <c r="F2" t="s">
        <v>58</v>
      </c>
      <c r="G2" t="s">
        <v>57</v>
      </c>
      <c r="H2" t="s">
        <v>8530</v>
      </c>
      <c r="I2" t="s">
        <v>8531</v>
      </c>
      <c r="J2" t="s">
        <v>8532</v>
      </c>
      <c r="K2" t="s">
        <v>8533</v>
      </c>
      <c r="L2" t="s">
        <v>8534</v>
      </c>
      <c r="M2" t="s">
        <v>8535</v>
      </c>
      <c r="N2" t="s">
        <v>8536</v>
      </c>
      <c r="O2">
        <v>101</v>
      </c>
      <c r="P2" t="s">
        <v>8537</v>
      </c>
      <c r="Q2" t="s">
        <v>8538</v>
      </c>
      <c r="R2" s="3" t="s">
        <v>8539</v>
      </c>
      <c r="S2" t="s">
        <v>8540</v>
      </c>
      <c r="T2" s="3" t="s">
        <v>8541</v>
      </c>
      <c r="U2" t="s">
        <v>59</v>
      </c>
      <c r="V2" t="s">
        <v>60</v>
      </c>
      <c r="W2" s="5"/>
    </row>
    <row r="3" spans="1:23" ht="45" x14ac:dyDescent="0.25">
      <c r="A3" t="s">
        <v>197</v>
      </c>
      <c r="C3" t="s">
        <v>199</v>
      </c>
      <c r="D3">
        <v>2026</v>
      </c>
      <c r="E3" s="3" t="s">
        <v>198</v>
      </c>
      <c r="F3" t="s">
        <v>200</v>
      </c>
      <c r="G3" t="s">
        <v>57</v>
      </c>
      <c r="H3" t="s">
        <v>8542</v>
      </c>
      <c r="I3" t="s">
        <v>8543</v>
      </c>
      <c r="J3" t="s">
        <v>8544</v>
      </c>
      <c r="K3" t="s">
        <v>8545</v>
      </c>
      <c r="L3" t="s">
        <v>8546</v>
      </c>
      <c r="M3" t="s">
        <v>8535</v>
      </c>
      <c r="N3" t="s">
        <v>8536</v>
      </c>
      <c r="O3">
        <v>344</v>
      </c>
      <c r="P3" t="s">
        <v>8547</v>
      </c>
      <c r="Q3" t="s">
        <v>8548</v>
      </c>
      <c r="R3" s="3" t="s">
        <v>8549</v>
      </c>
      <c r="S3" t="s">
        <v>8550</v>
      </c>
      <c r="T3" s="3" t="s">
        <v>8551</v>
      </c>
      <c r="U3" t="s">
        <v>201</v>
      </c>
      <c r="V3" t="s">
        <v>202</v>
      </c>
      <c r="W3" s="5"/>
    </row>
    <row r="4" spans="1:23" ht="30" x14ac:dyDescent="0.25">
      <c r="A4" t="s">
        <v>365</v>
      </c>
      <c r="C4" t="s">
        <v>367</v>
      </c>
      <c r="D4">
        <v>2026</v>
      </c>
      <c r="E4" s="3" t="s">
        <v>366</v>
      </c>
      <c r="F4" t="s">
        <v>368</v>
      </c>
      <c r="G4" t="s">
        <v>57</v>
      </c>
      <c r="H4" t="s">
        <v>8552</v>
      </c>
      <c r="I4" t="s">
        <v>8553</v>
      </c>
      <c r="J4" t="s">
        <v>8554</v>
      </c>
      <c r="K4" t="s">
        <v>8555</v>
      </c>
      <c r="L4" t="s">
        <v>8556</v>
      </c>
      <c r="M4" t="s">
        <v>8557</v>
      </c>
      <c r="N4" t="s">
        <v>8536</v>
      </c>
      <c r="O4">
        <v>67</v>
      </c>
      <c r="P4" t="s">
        <v>8558</v>
      </c>
      <c r="Q4" t="s">
        <v>8559</v>
      </c>
      <c r="R4" s="3" t="s">
        <v>8560</v>
      </c>
      <c r="S4" t="s">
        <v>8550</v>
      </c>
      <c r="T4" s="3" t="s">
        <v>8561</v>
      </c>
      <c r="U4" t="s">
        <v>369</v>
      </c>
      <c r="V4" t="s">
        <v>370</v>
      </c>
      <c r="W4" s="5"/>
    </row>
    <row r="5" spans="1:23" ht="45" x14ac:dyDescent="0.25">
      <c r="A5" t="s">
        <v>431</v>
      </c>
      <c r="C5" t="s">
        <v>367</v>
      </c>
      <c r="D5">
        <v>2026</v>
      </c>
      <c r="E5" s="3" t="s">
        <v>432</v>
      </c>
      <c r="F5" t="s">
        <v>251</v>
      </c>
      <c r="G5" t="s">
        <v>57</v>
      </c>
      <c r="H5" t="s">
        <v>8562</v>
      </c>
      <c r="I5" t="s">
        <v>8563</v>
      </c>
      <c r="J5" t="s">
        <v>8564</v>
      </c>
      <c r="K5" t="s">
        <v>8565</v>
      </c>
      <c r="L5" t="s">
        <v>8534</v>
      </c>
      <c r="M5" t="s">
        <v>8535</v>
      </c>
      <c r="N5" t="s">
        <v>8536</v>
      </c>
      <c r="O5">
        <v>90</v>
      </c>
      <c r="P5" t="s">
        <v>8566</v>
      </c>
      <c r="Q5" t="s">
        <v>8567</v>
      </c>
      <c r="R5" s="3" t="s">
        <v>8568</v>
      </c>
      <c r="S5" t="s">
        <v>8569</v>
      </c>
      <c r="T5" s="3" t="s">
        <v>8570</v>
      </c>
      <c r="U5" t="s">
        <v>433</v>
      </c>
      <c r="V5" t="s">
        <v>434</v>
      </c>
      <c r="W5" s="5"/>
    </row>
    <row r="6" spans="1:23" ht="45" x14ac:dyDescent="0.25">
      <c r="A6" t="s">
        <v>575</v>
      </c>
      <c r="C6" t="s">
        <v>577</v>
      </c>
      <c r="D6">
        <v>2026</v>
      </c>
      <c r="E6" s="3" t="s">
        <v>576</v>
      </c>
      <c r="F6" t="s">
        <v>578</v>
      </c>
      <c r="G6" t="s">
        <v>57</v>
      </c>
      <c r="H6" t="s">
        <v>8571</v>
      </c>
      <c r="I6" t="s">
        <v>8572</v>
      </c>
      <c r="J6" t="s">
        <v>8573</v>
      </c>
      <c r="K6" t="s">
        <v>8574</v>
      </c>
      <c r="L6" t="s">
        <v>8556</v>
      </c>
      <c r="M6" t="s">
        <v>8535</v>
      </c>
      <c r="N6" t="s">
        <v>8536</v>
      </c>
      <c r="O6">
        <v>105</v>
      </c>
      <c r="P6" t="s">
        <v>8575</v>
      </c>
      <c r="Q6" t="s">
        <v>8576</v>
      </c>
      <c r="R6" s="3" t="s">
        <v>8577</v>
      </c>
      <c r="S6" t="s">
        <v>8550</v>
      </c>
      <c r="T6" s="3" t="s">
        <v>8578</v>
      </c>
      <c r="U6" t="s">
        <v>579</v>
      </c>
      <c r="V6" t="s">
        <v>580</v>
      </c>
      <c r="W6" s="5"/>
    </row>
    <row r="7" spans="1:23" ht="45" x14ac:dyDescent="0.25">
      <c r="A7" t="s">
        <v>616</v>
      </c>
      <c r="C7" t="s">
        <v>618</v>
      </c>
      <c r="D7">
        <v>2026</v>
      </c>
      <c r="E7" s="3" t="s">
        <v>617</v>
      </c>
      <c r="F7" t="s">
        <v>578</v>
      </c>
      <c r="G7" t="s">
        <v>57</v>
      </c>
      <c r="H7" t="s">
        <v>8579</v>
      </c>
      <c r="I7" t="s">
        <v>8580</v>
      </c>
      <c r="J7" t="s">
        <v>8581</v>
      </c>
      <c r="K7" t="s">
        <v>8582</v>
      </c>
      <c r="L7" t="s">
        <v>8556</v>
      </c>
      <c r="M7" t="s">
        <v>8535</v>
      </c>
      <c r="N7" t="s">
        <v>8583</v>
      </c>
      <c r="O7">
        <v>117</v>
      </c>
      <c r="P7" t="s">
        <v>8584</v>
      </c>
      <c r="Q7" t="s">
        <v>8585</v>
      </c>
      <c r="R7" s="3" t="s">
        <v>8586</v>
      </c>
      <c r="S7" t="s">
        <v>8540</v>
      </c>
      <c r="T7" s="3" t="s">
        <v>8587</v>
      </c>
      <c r="U7" t="s">
        <v>619</v>
      </c>
      <c r="V7" t="s">
        <v>620</v>
      </c>
      <c r="W7" s="5"/>
    </row>
    <row r="8" spans="1:23" ht="45" x14ac:dyDescent="0.25">
      <c r="A8" t="s">
        <v>775</v>
      </c>
      <c r="C8" t="s">
        <v>777</v>
      </c>
      <c r="D8">
        <v>2026</v>
      </c>
      <c r="E8" s="3" t="s">
        <v>776</v>
      </c>
      <c r="F8" t="s">
        <v>176</v>
      </c>
      <c r="G8" t="s">
        <v>57</v>
      </c>
      <c r="H8" t="s">
        <v>8588</v>
      </c>
      <c r="I8" t="s">
        <v>8589</v>
      </c>
      <c r="J8" t="s">
        <v>8590</v>
      </c>
      <c r="K8" t="s">
        <v>8591</v>
      </c>
      <c r="L8" t="s">
        <v>8534</v>
      </c>
      <c r="M8" t="s">
        <v>8535</v>
      </c>
      <c r="N8" t="s">
        <v>8592</v>
      </c>
      <c r="O8">
        <v>183</v>
      </c>
      <c r="P8" t="s">
        <v>8593</v>
      </c>
      <c r="Q8" t="s">
        <v>8594</v>
      </c>
      <c r="R8" s="3" t="s">
        <v>8595</v>
      </c>
      <c r="S8" t="s">
        <v>8540</v>
      </c>
      <c r="T8" s="3" t="s">
        <v>8596</v>
      </c>
      <c r="U8" t="s">
        <v>778</v>
      </c>
      <c r="V8" t="s">
        <v>779</v>
      </c>
      <c r="W8" s="5"/>
    </row>
    <row r="9" spans="1:23" ht="45" x14ac:dyDescent="0.25">
      <c r="A9" t="s">
        <v>818</v>
      </c>
      <c r="C9" t="s">
        <v>428</v>
      </c>
      <c r="D9">
        <v>2026</v>
      </c>
      <c r="E9" s="3" t="s">
        <v>819</v>
      </c>
      <c r="F9" t="s">
        <v>368</v>
      </c>
      <c r="G9" t="s">
        <v>57</v>
      </c>
      <c r="H9" t="s">
        <v>8597</v>
      </c>
      <c r="I9" t="s">
        <v>8598</v>
      </c>
      <c r="J9" t="s">
        <v>8599</v>
      </c>
      <c r="K9" t="s">
        <v>8600</v>
      </c>
      <c r="L9" t="s">
        <v>8534</v>
      </c>
      <c r="M9" t="s">
        <v>8535</v>
      </c>
      <c r="N9" t="s">
        <v>8536</v>
      </c>
      <c r="O9">
        <v>220</v>
      </c>
      <c r="P9" t="s">
        <v>8601</v>
      </c>
      <c r="Q9" t="s">
        <v>8602</v>
      </c>
      <c r="R9" s="3" t="s">
        <v>8603</v>
      </c>
      <c r="S9" t="s">
        <v>8550</v>
      </c>
      <c r="T9" s="3" t="s">
        <v>8604</v>
      </c>
      <c r="U9" t="s">
        <v>820</v>
      </c>
      <c r="V9" t="s">
        <v>821</v>
      </c>
      <c r="W9" s="5"/>
    </row>
    <row r="10" spans="1:23" ht="45" x14ac:dyDescent="0.25">
      <c r="A10" t="s">
        <v>913</v>
      </c>
      <c r="C10" t="s">
        <v>915</v>
      </c>
      <c r="D10">
        <v>2026</v>
      </c>
      <c r="E10" s="3" t="s">
        <v>914</v>
      </c>
      <c r="F10" t="s">
        <v>916</v>
      </c>
      <c r="G10" t="s">
        <v>57</v>
      </c>
      <c r="H10" t="s">
        <v>8605</v>
      </c>
      <c r="I10" t="s">
        <v>8606</v>
      </c>
      <c r="J10" t="s">
        <v>8607</v>
      </c>
      <c r="K10" t="s">
        <v>8608</v>
      </c>
      <c r="L10" t="s">
        <v>8534</v>
      </c>
      <c r="M10" t="s">
        <v>8535</v>
      </c>
      <c r="N10" t="s">
        <v>8609</v>
      </c>
      <c r="O10">
        <v>592</v>
      </c>
      <c r="P10" t="s">
        <v>8610</v>
      </c>
      <c r="Q10" t="s">
        <v>8611</v>
      </c>
      <c r="R10" s="3" t="s">
        <v>8612</v>
      </c>
      <c r="S10" t="s">
        <v>8550</v>
      </c>
      <c r="T10" s="3" t="s">
        <v>8613</v>
      </c>
      <c r="U10" t="s">
        <v>917</v>
      </c>
      <c r="V10" t="s">
        <v>918</v>
      </c>
      <c r="W10" s="5"/>
    </row>
    <row r="11" spans="1:23" ht="45" x14ac:dyDescent="0.25">
      <c r="A11" t="s">
        <v>929</v>
      </c>
      <c r="C11" t="s">
        <v>931</v>
      </c>
      <c r="D11">
        <v>2026</v>
      </c>
      <c r="E11" s="3" t="s">
        <v>930</v>
      </c>
      <c r="F11" t="s">
        <v>932</v>
      </c>
      <c r="G11" t="s">
        <v>57</v>
      </c>
      <c r="H11" t="s">
        <v>8614</v>
      </c>
      <c r="I11" t="s">
        <v>8615</v>
      </c>
      <c r="J11" t="s">
        <v>8616</v>
      </c>
      <c r="K11" t="s">
        <v>8617</v>
      </c>
      <c r="L11" t="s">
        <v>8534</v>
      </c>
      <c r="M11" t="s">
        <v>8535</v>
      </c>
      <c r="N11" t="s">
        <v>8536</v>
      </c>
      <c r="O11">
        <v>60</v>
      </c>
      <c r="P11" t="s">
        <v>8618</v>
      </c>
      <c r="Q11" t="s">
        <v>8619</v>
      </c>
      <c r="R11" s="3" t="s">
        <v>8620</v>
      </c>
      <c r="S11" t="s">
        <v>8550</v>
      </c>
      <c r="T11" s="3" t="s">
        <v>8621</v>
      </c>
      <c r="U11" t="s">
        <v>933</v>
      </c>
      <c r="V11" t="s">
        <v>934</v>
      </c>
      <c r="W11" s="5"/>
    </row>
    <row r="12" spans="1:23" ht="60" x14ac:dyDescent="0.25">
      <c r="A12" t="s">
        <v>1194</v>
      </c>
      <c r="C12" t="s">
        <v>1196</v>
      </c>
      <c r="D12">
        <v>2026</v>
      </c>
      <c r="E12" s="3" t="s">
        <v>1195</v>
      </c>
      <c r="F12" t="s">
        <v>418</v>
      </c>
      <c r="G12" t="s">
        <v>57</v>
      </c>
      <c r="H12" t="s">
        <v>8622</v>
      </c>
      <c r="I12" t="s">
        <v>8623</v>
      </c>
      <c r="J12" t="s">
        <v>8624</v>
      </c>
      <c r="K12" t="s">
        <v>8625</v>
      </c>
      <c r="L12" t="s">
        <v>8534</v>
      </c>
      <c r="M12" t="s">
        <v>8535</v>
      </c>
      <c r="N12" t="s">
        <v>8536</v>
      </c>
      <c r="O12">
        <v>147</v>
      </c>
      <c r="P12" t="s">
        <v>8626</v>
      </c>
      <c r="Q12" t="s">
        <v>8627</v>
      </c>
      <c r="R12" s="3" t="s">
        <v>8628</v>
      </c>
      <c r="S12" t="s">
        <v>8540</v>
      </c>
      <c r="T12" s="3" t="s">
        <v>8629</v>
      </c>
      <c r="U12" t="s">
        <v>1197</v>
      </c>
      <c r="V12" t="s">
        <v>1198</v>
      </c>
      <c r="W12" s="5"/>
    </row>
    <row r="13" spans="1:23" ht="45" x14ac:dyDescent="0.25">
      <c r="A13" t="s">
        <v>1211</v>
      </c>
      <c r="B13" t="s">
        <v>621</v>
      </c>
      <c r="C13" t="s">
        <v>1213</v>
      </c>
      <c r="D13">
        <v>2026</v>
      </c>
      <c r="E13" s="3" t="s">
        <v>1212</v>
      </c>
      <c r="F13" t="s">
        <v>497</v>
      </c>
      <c r="G13" t="s">
        <v>57</v>
      </c>
      <c r="H13" t="s">
        <v>8630</v>
      </c>
      <c r="I13" t="s">
        <v>8631</v>
      </c>
      <c r="J13" t="s">
        <v>8632</v>
      </c>
      <c r="K13" t="s">
        <v>8633</v>
      </c>
      <c r="L13" t="s">
        <v>8534</v>
      </c>
      <c r="M13" t="s">
        <v>8535</v>
      </c>
      <c r="N13" t="s">
        <v>8536</v>
      </c>
      <c r="O13">
        <v>995</v>
      </c>
      <c r="P13" t="s">
        <v>8634</v>
      </c>
      <c r="Q13" t="s">
        <v>8635</v>
      </c>
      <c r="R13" s="3" t="s">
        <v>8636</v>
      </c>
      <c r="S13" t="s">
        <v>8550</v>
      </c>
      <c r="T13" s="3" t="s">
        <v>8637</v>
      </c>
      <c r="U13" t="s">
        <v>1214</v>
      </c>
      <c r="V13" t="s">
        <v>1215</v>
      </c>
      <c r="W13" s="5"/>
    </row>
    <row r="14" spans="1:23" ht="45" x14ac:dyDescent="0.25">
      <c r="A14" t="s">
        <v>1216</v>
      </c>
      <c r="C14" t="s">
        <v>205</v>
      </c>
      <c r="D14">
        <v>2026</v>
      </c>
      <c r="E14" s="3" t="s">
        <v>1217</v>
      </c>
      <c r="F14" t="s">
        <v>766</v>
      </c>
      <c r="G14" t="s">
        <v>57</v>
      </c>
      <c r="H14" t="s">
        <v>8638</v>
      </c>
      <c r="I14" t="s">
        <v>8639</v>
      </c>
      <c r="J14" t="s">
        <v>8640</v>
      </c>
      <c r="K14" t="s">
        <v>8641</v>
      </c>
      <c r="L14" t="s">
        <v>8642</v>
      </c>
      <c r="M14" t="s">
        <v>8643</v>
      </c>
      <c r="N14" t="s">
        <v>8536</v>
      </c>
      <c r="O14">
        <v>93</v>
      </c>
      <c r="P14" t="s">
        <v>8644</v>
      </c>
      <c r="Q14" t="s">
        <v>8645</v>
      </c>
      <c r="R14" s="3" t="s">
        <v>8646</v>
      </c>
      <c r="S14" t="s">
        <v>8550</v>
      </c>
      <c r="T14" s="3" t="s">
        <v>8647</v>
      </c>
      <c r="U14" t="s">
        <v>1218</v>
      </c>
      <c r="V14" t="s">
        <v>1219</v>
      </c>
      <c r="W14" s="5"/>
    </row>
    <row r="15" spans="1:23" ht="30" x14ac:dyDescent="0.25">
      <c r="A15" t="s">
        <v>1236</v>
      </c>
      <c r="C15" t="s">
        <v>1238</v>
      </c>
      <c r="D15">
        <v>2026</v>
      </c>
      <c r="E15" s="3" t="s">
        <v>1237</v>
      </c>
      <c r="F15" t="s">
        <v>291</v>
      </c>
      <c r="G15" t="s">
        <v>57</v>
      </c>
      <c r="H15" t="s">
        <v>8648</v>
      </c>
      <c r="I15" t="s">
        <v>8649</v>
      </c>
      <c r="J15" t="s">
        <v>8532</v>
      </c>
      <c r="K15" t="s">
        <v>8650</v>
      </c>
      <c r="L15" t="s">
        <v>8651</v>
      </c>
      <c r="M15" t="s">
        <v>8652</v>
      </c>
      <c r="N15" t="s">
        <v>8653</v>
      </c>
      <c r="O15" t="s">
        <v>8654</v>
      </c>
      <c r="P15" t="s">
        <v>8655</v>
      </c>
      <c r="Q15" t="s">
        <v>8656</v>
      </c>
      <c r="R15" s="3" t="s">
        <v>8657</v>
      </c>
      <c r="S15" t="s">
        <v>8550</v>
      </c>
      <c r="T15" s="3" t="s">
        <v>8658</v>
      </c>
      <c r="U15" t="s">
        <v>1239</v>
      </c>
      <c r="V15" t="s">
        <v>1240</v>
      </c>
      <c r="W15" s="5"/>
    </row>
    <row r="16" spans="1:23" ht="30" x14ac:dyDescent="0.25">
      <c r="A16" t="s">
        <v>1247</v>
      </c>
      <c r="C16" t="s">
        <v>571</v>
      </c>
      <c r="D16">
        <v>2026</v>
      </c>
      <c r="E16" s="3" t="s">
        <v>1248</v>
      </c>
      <c r="F16" t="s">
        <v>1249</v>
      </c>
      <c r="G16" t="s">
        <v>67</v>
      </c>
      <c r="H16" t="s">
        <v>8659</v>
      </c>
      <c r="I16" t="s">
        <v>8660</v>
      </c>
      <c r="J16" t="s">
        <v>8607</v>
      </c>
      <c r="K16" t="s">
        <v>8661</v>
      </c>
      <c r="L16" t="s">
        <v>8662</v>
      </c>
      <c r="M16" t="s">
        <v>8663</v>
      </c>
      <c r="N16" t="s">
        <v>8664</v>
      </c>
      <c r="O16">
        <v>20</v>
      </c>
      <c r="P16" t="s">
        <v>8655</v>
      </c>
      <c r="Q16" t="s">
        <v>8665</v>
      </c>
      <c r="R16" s="3" t="s">
        <v>8666</v>
      </c>
      <c r="S16" t="s">
        <v>8550</v>
      </c>
      <c r="T16" s="3" t="s">
        <v>8667</v>
      </c>
      <c r="U16" t="s">
        <v>1250</v>
      </c>
      <c r="V16" t="s">
        <v>1251</v>
      </c>
      <c r="W16" s="5"/>
    </row>
    <row r="17" spans="1:23" ht="45" x14ac:dyDescent="0.25">
      <c r="A17" t="s">
        <v>1302</v>
      </c>
      <c r="C17" t="s">
        <v>777</v>
      </c>
      <c r="D17">
        <v>2026</v>
      </c>
      <c r="E17" s="3" t="s">
        <v>1303</v>
      </c>
      <c r="F17" t="s">
        <v>1304</v>
      </c>
      <c r="G17" t="s">
        <v>57</v>
      </c>
      <c r="H17" t="s">
        <v>8668</v>
      </c>
      <c r="I17" t="s">
        <v>8669</v>
      </c>
      <c r="J17" t="s">
        <v>8599</v>
      </c>
      <c r="K17" t="s">
        <v>8670</v>
      </c>
      <c r="L17" t="s">
        <v>8534</v>
      </c>
      <c r="M17" t="s">
        <v>8535</v>
      </c>
      <c r="N17" t="s">
        <v>8536</v>
      </c>
      <c r="O17">
        <v>99</v>
      </c>
      <c r="P17" t="s">
        <v>8671</v>
      </c>
      <c r="Q17" t="s">
        <v>8672</v>
      </c>
      <c r="R17" s="3" t="s">
        <v>8673</v>
      </c>
      <c r="S17" t="s">
        <v>8540</v>
      </c>
      <c r="T17" s="3" t="s">
        <v>8674</v>
      </c>
      <c r="U17" t="s">
        <v>1305</v>
      </c>
      <c r="V17" t="s">
        <v>1306</v>
      </c>
      <c r="W17" s="5"/>
    </row>
    <row r="18" spans="1:23" ht="45" x14ac:dyDescent="0.25">
      <c r="A18" t="s">
        <v>1514</v>
      </c>
      <c r="C18" t="s">
        <v>1516</v>
      </c>
      <c r="D18">
        <v>2026</v>
      </c>
      <c r="E18" s="3" t="s">
        <v>1515</v>
      </c>
      <c r="F18" t="s">
        <v>1517</v>
      </c>
      <c r="G18" t="s">
        <v>57</v>
      </c>
      <c r="H18" t="s">
        <v>8675</v>
      </c>
      <c r="I18" t="s">
        <v>8676</v>
      </c>
      <c r="J18" t="s">
        <v>8607</v>
      </c>
      <c r="K18" t="s">
        <v>8677</v>
      </c>
      <c r="L18" t="s">
        <v>8534</v>
      </c>
      <c r="M18" t="s">
        <v>8535</v>
      </c>
      <c r="N18" t="s">
        <v>8678</v>
      </c>
      <c r="O18" t="s">
        <v>8654</v>
      </c>
      <c r="P18" t="s">
        <v>8655</v>
      </c>
      <c r="Q18" t="s">
        <v>8679</v>
      </c>
      <c r="R18" s="3" t="s">
        <v>8680</v>
      </c>
      <c r="S18" t="s">
        <v>8550</v>
      </c>
      <c r="T18" s="3" t="s">
        <v>8681</v>
      </c>
      <c r="U18" t="s">
        <v>1518</v>
      </c>
      <c r="V18" t="s">
        <v>1519</v>
      </c>
      <c r="W18" s="5"/>
    </row>
    <row r="19" spans="1:23" ht="30" x14ac:dyDescent="0.25">
      <c r="A19" t="s">
        <v>1695</v>
      </c>
      <c r="C19" t="s">
        <v>1697</v>
      </c>
      <c r="D19">
        <v>2026</v>
      </c>
      <c r="E19" s="3" t="s">
        <v>1696</v>
      </c>
      <c r="F19" t="s">
        <v>859</v>
      </c>
      <c r="G19" t="s">
        <v>57</v>
      </c>
      <c r="H19" t="s">
        <v>8682</v>
      </c>
      <c r="I19" t="s">
        <v>8683</v>
      </c>
      <c r="J19" t="s">
        <v>8532</v>
      </c>
      <c r="K19" t="s">
        <v>8565</v>
      </c>
      <c r="L19" t="s">
        <v>8534</v>
      </c>
      <c r="M19" t="s">
        <v>8535</v>
      </c>
      <c r="N19" t="s">
        <v>8684</v>
      </c>
      <c r="O19">
        <v>62</v>
      </c>
      <c r="P19" t="s">
        <v>8685</v>
      </c>
      <c r="Q19" t="s">
        <v>8686</v>
      </c>
      <c r="R19" s="3" t="s">
        <v>8687</v>
      </c>
      <c r="S19" t="s">
        <v>8569</v>
      </c>
      <c r="T19" s="3" t="s">
        <v>8688</v>
      </c>
      <c r="U19" t="s">
        <v>1698</v>
      </c>
      <c r="V19" t="s">
        <v>1699</v>
      </c>
      <c r="W19" s="5"/>
    </row>
    <row r="20" spans="1:23" ht="45" x14ac:dyDescent="0.25">
      <c r="A20" t="s">
        <v>1720</v>
      </c>
      <c r="C20" t="s">
        <v>1722</v>
      </c>
      <c r="D20">
        <v>2026</v>
      </c>
      <c r="E20" s="3" t="s">
        <v>1721</v>
      </c>
      <c r="F20" t="s">
        <v>1723</v>
      </c>
      <c r="G20" t="s">
        <v>57</v>
      </c>
      <c r="H20" t="s">
        <v>8689</v>
      </c>
      <c r="I20" t="s">
        <v>8690</v>
      </c>
      <c r="J20" t="s">
        <v>8532</v>
      </c>
      <c r="K20" t="s">
        <v>8565</v>
      </c>
      <c r="L20" t="s">
        <v>8691</v>
      </c>
      <c r="M20" t="s">
        <v>8663</v>
      </c>
      <c r="N20" t="s">
        <v>8536</v>
      </c>
      <c r="O20">
        <v>60</v>
      </c>
      <c r="P20" t="s">
        <v>8566</v>
      </c>
      <c r="Q20" t="s">
        <v>8692</v>
      </c>
      <c r="R20" s="3" t="s">
        <v>8693</v>
      </c>
      <c r="S20" t="s">
        <v>8550</v>
      </c>
      <c r="T20" s="3" t="s">
        <v>8694</v>
      </c>
      <c r="U20" t="s">
        <v>1724</v>
      </c>
      <c r="V20" t="s">
        <v>1725</v>
      </c>
      <c r="W20" s="5"/>
    </row>
    <row r="21" spans="1:23" ht="45" x14ac:dyDescent="0.25">
      <c r="A21" t="s">
        <v>1816</v>
      </c>
      <c r="C21" t="s">
        <v>1818</v>
      </c>
      <c r="D21">
        <v>2026</v>
      </c>
      <c r="E21" s="3" t="s">
        <v>1817</v>
      </c>
      <c r="F21" t="s">
        <v>1819</v>
      </c>
      <c r="G21" t="s">
        <v>57</v>
      </c>
      <c r="H21" t="s">
        <v>8695</v>
      </c>
      <c r="I21" t="s">
        <v>8615</v>
      </c>
      <c r="J21" t="s">
        <v>8696</v>
      </c>
      <c r="K21" t="s">
        <v>8565</v>
      </c>
      <c r="L21" t="s">
        <v>8534</v>
      </c>
      <c r="M21" t="s">
        <v>8535</v>
      </c>
      <c r="N21" t="s">
        <v>8536</v>
      </c>
      <c r="O21">
        <v>540</v>
      </c>
      <c r="P21" t="s">
        <v>8697</v>
      </c>
      <c r="Q21" t="s">
        <v>8698</v>
      </c>
      <c r="R21" s="3" t="s">
        <v>8699</v>
      </c>
      <c r="S21" t="s">
        <v>8550</v>
      </c>
      <c r="T21" s="3" t="s">
        <v>8700</v>
      </c>
      <c r="U21" t="s">
        <v>1820</v>
      </c>
      <c r="V21" t="s">
        <v>1821</v>
      </c>
      <c r="W21" s="5"/>
    </row>
    <row r="22" spans="1:23" ht="45" x14ac:dyDescent="0.25">
      <c r="A22" t="s">
        <v>1849</v>
      </c>
      <c r="C22" t="s">
        <v>1851</v>
      </c>
      <c r="D22">
        <v>2026</v>
      </c>
      <c r="E22" s="3" t="s">
        <v>1850</v>
      </c>
      <c r="F22" t="s">
        <v>1852</v>
      </c>
      <c r="G22" t="s">
        <v>57</v>
      </c>
      <c r="H22" t="s">
        <v>8701</v>
      </c>
      <c r="I22" t="s">
        <v>8702</v>
      </c>
      <c r="J22" t="s">
        <v>8703</v>
      </c>
      <c r="K22" t="s">
        <v>8704</v>
      </c>
      <c r="L22" t="s">
        <v>8705</v>
      </c>
      <c r="M22" t="s">
        <v>8706</v>
      </c>
      <c r="N22" t="s">
        <v>8536</v>
      </c>
      <c r="O22" t="s">
        <v>8654</v>
      </c>
      <c r="P22" t="s">
        <v>8707</v>
      </c>
      <c r="Q22" t="s">
        <v>8708</v>
      </c>
      <c r="R22" s="3" t="s">
        <v>8709</v>
      </c>
      <c r="S22" t="s">
        <v>8550</v>
      </c>
      <c r="T22" s="3" t="s">
        <v>8710</v>
      </c>
      <c r="U22" t="s">
        <v>1853</v>
      </c>
      <c r="V22" t="s">
        <v>1854</v>
      </c>
      <c r="W22" s="5"/>
    </row>
    <row r="23" spans="1:23" ht="45" x14ac:dyDescent="0.25">
      <c r="A23" t="s">
        <v>1905</v>
      </c>
      <c r="C23" t="s">
        <v>117</v>
      </c>
      <c r="D23">
        <v>2026</v>
      </c>
      <c r="E23" s="3" t="s">
        <v>1906</v>
      </c>
      <c r="F23" t="s">
        <v>702</v>
      </c>
      <c r="G23" t="s">
        <v>57</v>
      </c>
      <c r="H23" t="s">
        <v>8711</v>
      </c>
      <c r="I23" t="s">
        <v>8712</v>
      </c>
      <c r="J23" t="s">
        <v>8713</v>
      </c>
      <c r="K23" t="s">
        <v>8714</v>
      </c>
      <c r="L23" t="s">
        <v>8534</v>
      </c>
      <c r="M23" t="s">
        <v>8535</v>
      </c>
      <c r="N23" t="s">
        <v>8715</v>
      </c>
      <c r="O23">
        <v>400</v>
      </c>
      <c r="P23" t="s">
        <v>8716</v>
      </c>
      <c r="Q23" t="s">
        <v>8717</v>
      </c>
      <c r="R23" s="3" t="s">
        <v>8718</v>
      </c>
      <c r="S23" t="s">
        <v>8550</v>
      </c>
      <c r="T23" s="3" t="s">
        <v>8719</v>
      </c>
      <c r="U23" t="s">
        <v>1907</v>
      </c>
      <c r="V23" t="s">
        <v>1908</v>
      </c>
      <c r="W23" s="5"/>
    </row>
    <row r="24" spans="1:23" ht="45" x14ac:dyDescent="0.25">
      <c r="A24" t="s">
        <v>1909</v>
      </c>
      <c r="C24" t="s">
        <v>1749</v>
      </c>
      <c r="D24">
        <v>2026</v>
      </c>
      <c r="E24" s="3" t="s">
        <v>1910</v>
      </c>
      <c r="F24" t="s">
        <v>1911</v>
      </c>
      <c r="G24" t="s">
        <v>57</v>
      </c>
      <c r="H24" t="s">
        <v>8720</v>
      </c>
      <c r="I24" t="s">
        <v>8721</v>
      </c>
      <c r="J24" t="s">
        <v>8532</v>
      </c>
      <c r="K24" t="s">
        <v>8722</v>
      </c>
      <c r="L24" t="s">
        <v>8534</v>
      </c>
      <c r="M24" t="s">
        <v>8535</v>
      </c>
      <c r="N24" t="s">
        <v>8723</v>
      </c>
      <c r="O24">
        <v>44</v>
      </c>
      <c r="P24" t="s">
        <v>8724</v>
      </c>
      <c r="Q24" t="s">
        <v>8725</v>
      </c>
      <c r="R24" s="3" t="s">
        <v>8726</v>
      </c>
      <c r="S24" t="s">
        <v>8550</v>
      </c>
      <c r="T24" s="3" t="s">
        <v>8727</v>
      </c>
      <c r="U24" t="s">
        <v>1912</v>
      </c>
      <c r="V24" t="s">
        <v>1913</v>
      </c>
      <c r="W24" s="5"/>
    </row>
    <row r="25" spans="1:23" ht="45" x14ac:dyDescent="0.25">
      <c r="A25" t="s">
        <v>1925</v>
      </c>
      <c r="C25" t="s">
        <v>1238</v>
      </c>
      <c r="D25">
        <v>2026</v>
      </c>
      <c r="E25" s="3" t="s">
        <v>1926</v>
      </c>
      <c r="F25" t="s">
        <v>1927</v>
      </c>
      <c r="G25" t="s">
        <v>57</v>
      </c>
      <c r="H25" t="s">
        <v>8728</v>
      </c>
      <c r="I25" t="s">
        <v>8729</v>
      </c>
      <c r="J25" t="s">
        <v>8532</v>
      </c>
      <c r="K25" t="s">
        <v>8565</v>
      </c>
      <c r="L25" t="s">
        <v>8534</v>
      </c>
      <c r="M25" t="s">
        <v>8730</v>
      </c>
      <c r="N25" t="s">
        <v>8731</v>
      </c>
      <c r="O25">
        <v>38</v>
      </c>
      <c r="P25" t="s">
        <v>8732</v>
      </c>
      <c r="Q25" t="s">
        <v>8733</v>
      </c>
      <c r="R25" s="3" t="s">
        <v>8734</v>
      </c>
      <c r="S25" t="s">
        <v>8540</v>
      </c>
      <c r="T25" s="3" t="s">
        <v>8735</v>
      </c>
      <c r="U25" t="s">
        <v>1928</v>
      </c>
      <c r="V25" t="s">
        <v>1929</v>
      </c>
      <c r="W25" s="5"/>
    </row>
    <row r="26" spans="1:23" ht="45" x14ac:dyDescent="0.25">
      <c r="A26" t="s">
        <v>2074</v>
      </c>
      <c r="C26" t="s">
        <v>2076</v>
      </c>
      <c r="D26">
        <v>2026</v>
      </c>
      <c r="E26" s="3" t="s">
        <v>2075</v>
      </c>
      <c r="F26" t="s">
        <v>200</v>
      </c>
      <c r="G26" t="s">
        <v>57</v>
      </c>
      <c r="H26" t="s">
        <v>8736</v>
      </c>
      <c r="I26" t="s">
        <v>8737</v>
      </c>
      <c r="J26" t="s">
        <v>8738</v>
      </c>
      <c r="K26" t="s">
        <v>8739</v>
      </c>
      <c r="L26" t="s">
        <v>8556</v>
      </c>
      <c r="M26" t="s">
        <v>8535</v>
      </c>
      <c r="N26" t="s">
        <v>8740</v>
      </c>
      <c r="O26">
        <v>627</v>
      </c>
      <c r="P26" t="s">
        <v>8741</v>
      </c>
      <c r="Q26" t="s">
        <v>8708</v>
      </c>
      <c r="R26" s="3" t="s">
        <v>8742</v>
      </c>
      <c r="S26" t="s">
        <v>8550</v>
      </c>
      <c r="T26" s="3" t="s">
        <v>8743</v>
      </c>
      <c r="U26" t="s">
        <v>2077</v>
      </c>
      <c r="V26" t="s">
        <v>2078</v>
      </c>
      <c r="W26" s="5"/>
    </row>
    <row r="27" spans="1:23" ht="60" x14ac:dyDescent="0.25">
      <c r="A27" t="s">
        <v>2269</v>
      </c>
      <c r="C27" t="s">
        <v>2271</v>
      </c>
      <c r="D27">
        <v>2026</v>
      </c>
      <c r="E27" s="3" t="s">
        <v>2270</v>
      </c>
      <c r="F27" t="s">
        <v>2272</v>
      </c>
      <c r="G27" t="s">
        <v>57</v>
      </c>
      <c r="H27" t="s">
        <v>8744</v>
      </c>
      <c r="I27" t="s">
        <v>8745</v>
      </c>
      <c r="J27" t="s">
        <v>8746</v>
      </c>
      <c r="K27" t="s">
        <v>8565</v>
      </c>
      <c r="L27" t="s">
        <v>8747</v>
      </c>
      <c r="M27" t="s">
        <v>8535</v>
      </c>
      <c r="N27" t="s">
        <v>8536</v>
      </c>
      <c r="O27">
        <v>76</v>
      </c>
      <c r="P27" t="s">
        <v>8707</v>
      </c>
      <c r="Q27" t="s">
        <v>8748</v>
      </c>
      <c r="R27" s="3" t="s">
        <v>8749</v>
      </c>
      <c r="S27" t="s">
        <v>8569</v>
      </c>
      <c r="T27" s="3" t="s">
        <v>8750</v>
      </c>
      <c r="U27" t="s">
        <v>2273</v>
      </c>
      <c r="V27" t="s">
        <v>2274</v>
      </c>
      <c r="W27" s="5"/>
    </row>
    <row r="28" spans="1:23" ht="30" x14ac:dyDescent="0.25">
      <c r="A28" t="s">
        <v>2280</v>
      </c>
      <c r="C28" t="s">
        <v>2282</v>
      </c>
      <c r="D28">
        <v>2026</v>
      </c>
      <c r="E28" s="3" t="s">
        <v>2281</v>
      </c>
      <c r="F28" t="s">
        <v>368</v>
      </c>
      <c r="G28" t="s">
        <v>57</v>
      </c>
      <c r="H28" t="s">
        <v>8751</v>
      </c>
      <c r="I28" t="s">
        <v>8752</v>
      </c>
      <c r="J28" t="s">
        <v>8607</v>
      </c>
      <c r="K28" t="s">
        <v>8753</v>
      </c>
      <c r="L28" t="s">
        <v>8556</v>
      </c>
      <c r="M28" t="s">
        <v>8754</v>
      </c>
      <c r="N28" t="s">
        <v>8755</v>
      </c>
      <c r="O28">
        <v>211</v>
      </c>
      <c r="P28" t="s">
        <v>8655</v>
      </c>
      <c r="Q28" t="s">
        <v>8756</v>
      </c>
      <c r="R28" s="3" t="s">
        <v>8757</v>
      </c>
      <c r="S28" t="s">
        <v>8540</v>
      </c>
      <c r="T28" s="3" t="s">
        <v>8758</v>
      </c>
      <c r="U28" t="s">
        <v>2283</v>
      </c>
      <c r="V28" t="s">
        <v>2284</v>
      </c>
      <c r="W28" s="5"/>
    </row>
    <row r="29" spans="1:23" ht="45" x14ac:dyDescent="0.25">
      <c r="A29" t="s">
        <v>2441</v>
      </c>
      <c r="C29" t="s">
        <v>2443</v>
      </c>
      <c r="D29">
        <v>2026</v>
      </c>
      <c r="E29" s="3" t="s">
        <v>2442</v>
      </c>
      <c r="F29" t="s">
        <v>273</v>
      </c>
      <c r="G29" t="s">
        <v>67</v>
      </c>
      <c r="H29" t="s">
        <v>8759</v>
      </c>
      <c r="I29" t="s">
        <v>8760</v>
      </c>
      <c r="J29" t="s">
        <v>8761</v>
      </c>
      <c r="K29" t="s">
        <v>8762</v>
      </c>
      <c r="L29" t="s">
        <v>8763</v>
      </c>
      <c r="M29" t="s">
        <v>8652</v>
      </c>
      <c r="N29" t="s">
        <v>8764</v>
      </c>
      <c r="O29">
        <v>38</v>
      </c>
      <c r="P29" t="s">
        <v>8655</v>
      </c>
      <c r="Q29" t="s">
        <v>8765</v>
      </c>
      <c r="R29" s="3" t="s">
        <v>8766</v>
      </c>
      <c r="S29" t="s">
        <v>8569</v>
      </c>
      <c r="T29" s="3" t="s">
        <v>8767</v>
      </c>
      <c r="U29" t="s">
        <v>2444</v>
      </c>
      <c r="V29" t="s">
        <v>2445</v>
      </c>
      <c r="W29" s="5"/>
    </row>
    <row r="30" spans="1:23" ht="30" x14ac:dyDescent="0.25">
      <c r="A30" t="s">
        <v>2553</v>
      </c>
      <c r="C30" t="s">
        <v>2555</v>
      </c>
      <c r="D30">
        <v>2026</v>
      </c>
      <c r="E30" s="3" t="s">
        <v>2554</v>
      </c>
      <c r="F30" t="s">
        <v>679</v>
      </c>
      <c r="G30" t="s">
        <v>67</v>
      </c>
      <c r="H30" t="s">
        <v>8768</v>
      </c>
      <c r="I30" t="s">
        <v>8769</v>
      </c>
      <c r="J30" t="s">
        <v>8554</v>
      </c>
      <c r="K30" t="s">
        <v>8770</v>
      </c>
      <c r="L30" t="s">
        <v>8691</v>
      </c>
      <c r="M30" t="s">
        <v>8771</v>
      </c>
      <c r="N30" t="s">
        <v>8772</v>
      </c>
      <c r="O30">
        <v>60</v>
      </c>
      <c r="P30" t="s">
        <v>8655</v>
      </c>
      <c r="Q30" t="s">
        <v>8773</v>
      </c>
      <c r="R30" s="3" t="s">
        <v>8774</v>
      </c>
      <c r="S30" t="s">
        <v>8550</v>
      </c>
      <c r="T30" s="3" t="s">
        <v>8775</v>
      </c>
      <c r="U30" t="s">
        <v>2556</v>
      </c>
      <c r="V30" t="s">
        <v>2557</v>
      </c>
      <c r="W30" s="5"/>
    </row>
    <row r="31" spans="1:23" ht="45" x14ac:dyDescent="0.25">
      <c r="A31" t="s">
        <v>2785</v>
      </c>
      <c r="C31" t="s">
        <v>117</v>
      </c>
      <c r="D31">
        <v>2026</v>
      </c>
      <c r="E31" s="3" t="s">
        <v>2786</v>
      </c>
      <c r="F31" t="s">
        <v>84</v>
      </c>
      <c r="G31" t="s">
        <v>67</v>
      </c>
      <c r="H31" t="s">
        <v>8776</v>
      </c>
      <c r="I31" t="s">
        <v>8777</v>
      </c>
      <c r="J31" t="s">
        <v>8532</v>
      </c>
      <c r="K31" t="s">
        <v>8778</v>
      </c>
      <c r="L31" t="s">
        <v>8534</v>
      </c>
      <c r="M31" t="s">
        <v>8779</v>
      </c>
      <c r="N31" t="s">
        <v>8780</v>
      </c>
      <c r="O31">
        <v>50</v>
      </c>
      <c r="P31" t="s">
        <v>8655</v>
      </c>
      <c r="Q31" t="s">
        <v>8781</v>
      </c>
      <c r="R31" s="3" t="s">
        <v>8782</v>
      </c>
      <c r="S31" t="s">
        <v>8550</v>
      </c>
      <c r="T31" s="3" t="s">
        <v>8783</v>
      </c>
      <c r="U31" t="s">
        <v>2787</v>
      </c>
      <c r="V31" t="s">
        <v>2788</v>
      </c>
      <c r="W31" s="5"/>
    </row>
    <row r="32" spans="1:23" ht="60" x14ac:dyDescent="0.25">
      <c r="A32" t="s">
        <v>2794</v>
      </c>
      <c r="C32" t="s">
        <v>2796</v>
      </c>
      <c r="D32">
        <v>2026</v>
      </c>
      <c r="E32" s="3" t="s">
        <v>2795</v>
      </c>
      <c r="F32" t="s">
        <v>2797</v>
      </c>
      <c r="G32" t="s">
        <v>57</v>
      </c>
      <c r="H32" t="s">
        <v>8784</v>
      </c>
      <c r="I32" t="s">
        <v>8785</v>
      </c>
      <c r="J32" t="s">
        <v>8786</v>
      </c>
      <c r="K32" t="s">
        <v>8565</v>
      </c>
      <c r="L32" t="s">
        <v>8747</v>
      </c>
      <c r="M32" t="s">
        <v>8535</v>
      </c>
      <c r="N32" t="s">
        <v>8536</v>
      </c>
      <c r="O32" t="s">
        <v>8654</v>
      </c>
      <c r="P32" t="s">
        <v>8575</v>
      </c>
      <c r="Q32" t="s">
        <v>8672</v>
      </c>
      <c r="R32" s="3" t="s">
        <v>8787</v>
      </c>
      <c r="S32" t="s">
        <v>8550</v>
      </c>
      <c r="T32" s="3" t="s">
        <v>8788</v>
      </c>
      <c r="U32" t="s">
        <v>2798</v>
      </c>
      <c r="V32" t="s">
        <v>2799</v>
      </c>
      <c r="W32" s="5"/>
    </row>
    <row r="33" spans="1:23" ht="60" x14ac:dyDescent="0.25">
      <c r="A33" t="s">
        <v>2975</v>
      </c>
      <c r="C33" t="s">
        <v>2977</v>
      </c>
      <c r="D33">
        <v>2025</v>
      </c>
      <c r="E33" s="3" t="s">
        <v>2976</v>
      </c>
      <c r="F33" t="s">
        <v>2978</v>
      </c>
      <c r="G33" t="s">
        <v>57</v>
      </c>
      <c r="H33" t="s">
        <v>8789</v>
      </c>
      <c r="I33" t="s">
        <v>8790</v>
      </c>
      <c r="J33" t="s">
        <v>8791</v>
      </c>
      <c r="K33" t="s">
        <v>8565</v>
      </c>
      <c r="L33" t="s">
        <v>8747</v>
      </c>
      <c r="M33" t="s">
        <v>8535</v>
      </c>
      <c r="N33" t="s">
        <v>8792</v>
      </c>
      <c r="O33">
        <v>141</v>
      </c>
      <c r="P33" t="s">
        <v>8566</v>
      </c>
      <c r="Q33" t="s">
        <v>8793</v>
      </c>
      <c r="R33" s="3" t="s">
        <v>8794</v>
      </c>
      <c r="S33" t="s">
        <v>8550</v>
      </c>
      <c r="T33" s="3" t="s">
        <v>8795</v>
      </c>
      <c r="U33" t="s">
        <v>2979</v>
      </c>
      <c r="V33" t="s">
        <v>2980</v>
      </c>
      <c r="W33" s="5"/>
    </row>
    <row r="34" spans="1:23" ht="45" x14ac:dyDescent="0.25">
      <c r="A34" t="s">
        <v>3113</v>
      </c>
      <c r="C34" t="s">
        <v>3115</v>
      </c>
      <c r="D34">
        <v>2025</v>
      </c>
      <c r="E34" s="3" t="s">
        <v>3114</v>
      </c>
      <c r="F34" t="s">
        <v>3116</v>
      </c>
      <c r="G34" t="s">
        <v>57</v>
      </c>
      <c r="H34" t="s">
        <v>8796</v>
      </c>
      <c r="I34" t="s">
        <v>8797</v>
      </c>
      <c r="J34" t="s">
        <v>8798</v>
      </c>
      <c r="K34" t="s">
        <v>8799</v>
      </c>
      <c r="L34" t="s">
        <v>8556</v>
      </c>
      <c r="M34" t="s">
        <v>8800</v>
      </c>
      <c r="N34" t="s">
        <v>8684</v>
      </c>
      <c r="O34">
        <v>44</v>
      </c>
      <c r="P34" t="s">
        <v>8732</v>
      </c>
      <c r="Q34" t="s">
        <v>8801</v>
      </c>
      <c r="R34" s="3" t="s">
        <v>8802</v>
      </c>
      <c r="S34" t="s">
        <v>8550</v>
      </c>
      <c r="T34" s="3" t="s">
        <v>8803</v>
      </c>
      <c r="U34" t="s">
        <v>3117</v>
      </c>
      <c r="V34" t="s">
        <v>3118</v>
      </c>
      <c r="W34" s="5"/>
    </row>
    <row r="35" spans="1:23" ht="30" x14ac:dyDescent="0.25">
      <c r="A35" t="s">
        <v>3215</v>
      </c>
      <c r="C35" t="s">
        <v>571</v>
      </c>
      <c r="D35">
        <v>2025</v>
      </c>
      <c r="E35" s="3" t="s">
        <v>3216</v>
      </c>
      <c r="F35" t="s">
        <v>3217</v>
      </c>
      <c r="G35" t="s">
        <v>57</v>
      </c>
      <c r="H35" t="s">
        <v>8804</v>
      </c>
      <c r="I35" t="s">
        <v>8805</v>
      </c>
      <c r="J35" t="s">
        <v>8806</v>
      </c>
      <c r="K35" t="s">
        <v>8807</v>
      </c>
      <c r="L35" t="s">
        <v>8534</v>
      </c>
      <c r="M35" t="s">
        <v>8535</v>
      </c>
      <c r="N35" t="s">
        <v>8808</v>
      </c>
      <c r="O35" t="s">
        <v>8654</v>
      </c>
      <c r="P35" t="s">
        <v>8809</v>
      </c>
      <c r="Q35" t="s">
        <v>8810</v>
      </c>
      <c r="R35" s="3" t="s">
        <v>8811</v>
      </c>
      <c r="S35" t="s">
        <v>8550</v>
      </c>
      <c r="T35" s="3" t="s">
        <v>8812</v>
      </c>
      <c r="U35" t="s">
        <v>3218</v>
      </c>
      <c r="V35" t="s">
        <v>3219</v>
      </c>
      <c r="W35" s="5"/>
    </row>
    <row r="36" spans="1:23" ht="45" x14ac:dyDescent="0.25">
      <c r="A36" t="s">
        <v>3253</v>
      </c>
      <c r="C36" t="s">
        <v>3255</v>
      </c>
      <c r="D36">
        <v>2025</v>
      </c>
      <c r="E36" s="3" t="s">
        <v>3254</v>
      </c>
      <c r="F36" t="s">
        <v>3256</v>
      </c>
      <c r="G36" t="s">
        <v>57</v>
      </c>
      <c r="H36" t="s">
        <v>8813</v>
      </c>
      <c r="I36" t="s">
        <v>8814</v>
      </c>
      <c r="J36" t="s">
        <v>8815</v>
      </c>
      <c r="K36" t="s">
        <v>8816</v>
      </c>
      <c r="L36" t="s">
        <v>8763</v>
      </c>
      <c r="M36" t="s">
        <v>8535</v>
      </c>
      <c r="N36" t="s">
        <v>8817</v>
      </c>
      <c r="O36" t="s">
        <v>8654</v>
      </c>
      <c r="P36" t="s">
        <v>8655</v>
      </c>
      <c r="Q36" t="s">
        <v>8818</v>
      </c>
      <c r="R36" s="3" t="s">
        <v>8819</v>
      </c>
      <c r="S36" t="s">
        <v>8550</v>
      </c>
      <c r="T36" s="3" t="s">
        <v>8820</v>
      </c>
      <c r="U36" t="s">
        <v>3257</v>
      </c>
      <c r="V36" t="s">
        <v>3258</v>
      </c>
      <c r="W36" s="5"/>
    </row>
    <row r="37" spans="1:23" ht="45" x14ac:dyDescent="0.25">
      <c r="A37" t="s">
        <v>3295</v>
      </c>
      <c r="C37" t="s">
        <v>3297</v>
      </c>
      <c r="D37">
        <v>2025</v>
      </c>
      <c r="E37" s="3" t="s">
        <v>3296</v>
      </c>
      <c r="F37" t="s">
        <v>84</v>
      </c>
      <c r="G37" t="s">
        <v>67</v>
      </c>
      <c r="H37" t="s">
        <v>8821</v>
      </c>
      <c r="I37" t="s">
        <v>8822</v>
      </c>
      <c r="J37" t="s">
        <v>8823</v>
      </c>
      <c r="K37" t="s">
        <v>8824</v>
      </c>
      <c r="L37" t="s">
        <v>8825</v>
      </c>
      <c r="M37" t="s">
        <v>8535</v>
      </c>
      <c r="N37" t="s">
        <v>8826</v>
      </c>
      <c r="O37">
        <v>63</v>
      </c>
      <c r="P37" t="s">
        <v>8827</v>
      </c>
      <c r="Q37" t="s">
        <v>8828</v>
      </c>
      <c r="R37" s="3" t="s">
        <v>8829</v>
      </c>
      <c r="S37" t="s">
        <v>8550</v>
      </c>
      <c r="T37" s="3" t="s">
        <v>8830</v>
      </c>
      <c r="U37" t="s">
        <v>3298</v>
      </c>
      <c r="V37" t="s">
        <v>3299</v>
      </c>
      <c r="W37" s="5"/>
    </row>
    <row r="38" spans="1:23" ht="60" x14ac:dyDescent="0.25">
      <c r="A38" t="s">
        <v>3435</v>
      </c>
      <c r="C38" t="s">
        <v>3437</v>
      </c>
      <c r="D38">
        <v>2025</v>
      </c>
      <c r="E38" s="3" t="s">
        <v>3436</v>
      </c>
      <c r="F38" t="s">
        <v>3438</v>
      </c>
      <c r="G38" t="s">
        <v>57</v>
      </c>
      <c r="H38" t="s">
        <v>8831</v>
      </c>
      <c r="I38" t="s">
        <v>8832</v>
      </c>
      <c r="J38" t="s">
        <v>8833</v>
      </c>
      <c r="K38" t="s">
        <v>8834</v>
      </c>
      <c r="L38" t="s">
        <v>8835</v>
      </c>
      <c r="M38" t="s">
        <v>8535</v>
      </c>
      <c r="N38" t="s">
        <v>8836</v>
      </c>
      <c r="O38" t="s">
        <v>8837</v>
      </c>
      <c r="P38" t="s">
        <v>8838</v>
      </c>
      <c r="Q38" t="s">
        <v>8839</v>
      </c>
      <c r="R38" s="3" t="s">
        <v>8840</v>
      </c>
      <c r="S38" t="s">
        <v>8841</v>
      </c>
      <c r="T38" s="3" t="s">
        <v>8842</v>
      </c>
      <c r="U38" t="s">
        <v>3439</v>
      </c>
      <c r="V38" t="s">
        <v>3440</v>
      </c>
      <c r="W38" s="5"/>
    </row>
    <row r="39" spans="1:23" ht="45" x14ac:dyDescent="0.25">
      <c r="A39" t="s">
        <v>3498</v>
      </c>
      <c r="C39" t="s">
        <v>3500</v>
      </c>
      <c r="D39">
        <v>2025</v>
      </c>
      <c r="E39" s="3" t="s">
        <v>3499</v>
      </c>
      <c r="F39" t="s">
        <v>766</v>
      </c>
      <c r="G39" t="s">
        <v>57</v>
      </c>
      <c r="H39" t="s">
        <v>8843</v>
      </c>
      <c r="I39" t="s">
        <v>8844</v>
      </c>
      <c r="J39" t="s">
        <v>8845</v>
      </c>
      <c r="K39" t="s">
        <v>8565</v>
      </c>
      <c r="L39" t="s">
        <v>8846</v>
      </c>
      <c r="M39" t="s">
        <v>8535</v>
      </c>
      <c r="N39" t="s">
        <v>8847</v>
      </c>
      <c r="O39">
        <v>299</v>
      </c>
      <c r="P39" t="s">
        <v>8848</v>
      </c>
      <c r="Q39" t="s">
        <v>8849</v>
      </c>
      <c r="R39" s="3" t="s">
        <v>8850</v>
      </c>
      <c r="S39" t="s">
        <v>8550</v>
      </c>
      <c r="T39" s="3" t="s">
        <v>8851</v>
      </c>
      <c r="U39" t="s">
        <v>3501</v>
      </c>
      <c r="V39" t="s">
        <v>3502</v>
      </c>
      <c r="W39" s="5"/>
    </row>
    <row r="40" spans="1:23" ht="30" x14ac:dyDescent="0.25">
      <c r="A40" t="s">
        <v>3589</v>
      </c>
      <c r="C40" t="s">
        <v>384</v>
      </c>
      <c r="D40">
        <v>2025</v>
      </c>
      <c r="E40" s="3" t="s">
        <v>3590</v>
      </c>
      <c r="F40" t="s">
        <v>3591</v>
      </c>
      <c r="G40" t="s">
        <v>57</v>
      </c>
      <c r="H40" t="s">
        <v>8852</v>
      </c>
      <c r="I40" t="s">
        <v>8553</v>
      </c>
      <c r="J40" t="s">
        <v>8853</v>
      </c>
      <c r="K40" t="s">
        <v>8565</v>
      </c>
      <c r="L40" t="s">
        <v>8763</v>
      </c>
      <c r="M40" t="s">
        <v>8854</v>
      </c>
      <c r="N40" t="s">
        <v>8536</v>
      </c>
      <c r="O40">
        <v>84</v>
      </c>
      <c r="P40" t="s">
        <v>8855</v>
      </c>
      <c r="Q40" t="s">
        <v>8856</v>
      </c>
      <c r="R40" s="3" t="s">
        <v>8857</v>
      </c>
      <c r="S40" t="s">
        <v>8550</v>
      </c>
      <c r="T40" s="3" t="s">
        <v>8858</v>
      </c>
      <c r="U40" t="s">
        <v>3592</v>
      </c>
      <c r="V40" t="s">
        <v>3593</v>
      </c>
      <c r="W40" s="5"/>
    </row>
    <row r="41" spans="1:23" ht="30" x14ac:dyDescent="0.25">
      <c r="A41" t="s">
        <v>3594</v>
      </c>
      <c r="C41" t="s">
        <v>962</v>
      </c>
      <c r="D41">
        <v>2025</v>
      </c>
      <c r="E41" s="3" t="s">
        <v>3595</v>
      </c>
      <c r="F41" t="s">
        <v>3596</v>
      </c>
      <c r="G41" t="s">
        <v>67</v>
      </c>
      <c r="H41" t="s">
        <v>8859</v>
      </c>
      <c r="I41" t="s">
        <v>8752</v>
      </c>
      <c r="J41" t="s">
        <v>8607</v>
      </c>
      <c r="K41" t="s">
        <v>8860</v>
      </c>
      <c r="L41" t="s">
        <v>8534</v>
      </c>
      <c r="M41" t="s">
        <v>8663</v>
      </c>
      <c r="N41" t="s">
        <v>8861</v>
      </c>
      <c r="O41" t="s">
        <v>8654</v>
      </c>
      <c r="P41" t="s">
        <v>8655</v>
      </c>
      <c r="Q41" t="s">
        <v>8862</v>
      </c>
      <c r="R41" s="3" t="s">
        <v>8863</v>
      </c>
      <c r="S41" t="s">
        <v>8550</v>
      </c>
      <c r="T41" s="3" t="s">
        <v>8864</v>
      </c>
      <c r="U41" t="s">
        <v>3597</v>
      </c>
      <c r="V41" t="s">
        <v>3598</v>
      </c>
      <c r="W41" s="5"/>
    </row>
    <row r="42" spans="1:23" ht="60" x14ac:dyDescent="0.25">
      <c r="A42" t="s">
        <v>3672</v>
      </c>
      <c r="C42" t="s">
        <v>95</v>
      </c>
      <c r="D42">
        <v>2025</v>
      </c>
      <c r="E42" s="3" t="s">
        <v>3673</v>
      </c>
      <c r="F42" t="s">
        <v>1803</v>
      </c>
      <c r="G42" t="s">
        <v>57</v>
      </c>
      <c r="H42" t="s">
        <v>8865</v>
      </c>
      <c r="I42" t="s">
        <v>8866</v>
      </c>
      <c r="J42" t="s">
        <v>8867</v>
      </c>
      <c r="K42" t="s">
        <v>8565</v>
      </c>
      <c r="L42" t="s">
        <v>8868</v>
      </c>
      <c r="M42" t="s">
        <v>8869</v>
      </c>
      <c r="N42" t="s">
        <v>8870</v>
      </c>
      <c r="O42">
        <v>85</v>
      </c>
      <c r="P42" t="s">
        <v>8871</v>
      </c>
      <c r="Q42" t="s">
        <v>8872</v>
      </c>
      <c r="R42" s="3" t="s">
        <v>8873</v>
      </c>
      <c r="S42" t="s">
        <v>8550</v>
      </c>
      <c r="T42" s="3" t="s">
        <v>8874</v>
      </c>
      <c r="U42" t="s">
        <v>3674</v>
      </c>
      <c r="V42" t="s">
        <v>3675</v>
      </c>
      <c r="W42" s="5"/>
    </row>
    <row r="43" spans="1:23" ht="60" x14ac:dyDescent="0.25">
      <c r="A43" t="s">
        <v>3754</v>
      </c>
      <c r="C43" t="s">
        <v>571</v>
      </c>
      <c r="D43">
        <v>2025</v>
      </c>
      <c r="E43" s="3" t="s">
        <v>3755</v>
      </c>
      <c r="F43" t="s">
        <v>1803</v>
      </c>
      <c r="G43" t="s">
        <v>57</v>
      </c>
      <c r="H43" t="s">
        <v>8875</v>
      </c>
      <c r="I43" t="s">
        <v>8876</v>
      </c>
      <c r="J43" t="s">
        <v>8590</v>
      </c>
      <c r="K43" t="s">
        <v>8565</v>
      </c>
      <c r="L43" t="s">
        <v>8534</v>
      </c>
      <c r="M43" t="s">
        <v>8535</v>
      </c>
      <c r="N43" t="s">
        <v>8536</v>
      </c>
      <c r="O43">
        <v>100</v>
      </c>
      <c r="P43" t="s">
        <v>8877</v>
      </c>
      <c r="Q43" t="s">
        <v>8672</v>
      </c>
      <c r="R43" s="3" t="s">
        <v>8878</v>
      </c>
      <c r="S43" t="s">
        <v>8540</v>
      </c>
      <c r="T43" s="3" t="s">
        <v>8879</v>
      </c>
      <c r="U43" t="s">
        <v>3756</v>
      </c>
      <c r="V43" t="s">
        <v>3757</v>
      </c>
      <c r="W43" s="5"/>
    </row>
    <row r="44" spans="1:23" ht="60" x14ac:dyDescent="0.25">
      <c r="A44" t="s">
        <v>3758</v>
      </c>
      <c r="C44" t="s">
        <v>325</v>
      </c>
      <c r="D44">
        <v>2025</v>
      </c>
      <c r="E44" s="3" t="s">
        <v>3759</v>
      </c>
      <c r="F44" t="s">
        <v>1304</v>
      </c>
      <c r="G44" t="s">
        <v>57</v>
      </c>
      <c r="H44" t="s">
        <v>8880</v>
      </c>
      <c r="I44" t="s">
        <v>8881</v>
      </c>
      <c r="J44" t="s">
        <v>8564</v>
      </c>
      <c r="K44" t="s">
        <v>8882</v>
      </c>
      <c r="L44" t="s">
        <v>8534</v>
      </c>
      <c r="M44" t="s">
        <v>8535</v>
      </c>
      <c r="N44" t="s">
        <v>8536</v>
      </c>
      <c r="O44">
        <v>865</v>
      </c>
      <c r="P44" t="s">
        <v>8883</v>
      </c>
      <c r="Q44" t="s">
        <v>8672</v>
      </c>
      <c r="R44" s="3" t="s">
        <v>8884</v>
      </c>
      <c r="S44" t="s">
        <v>8550</v>
      </c>
      <c r="T44" s="3" t="s">
        <v>8885</v>
      </c>
      <c r="U44" t="s">
        <v>3760</v>
      </c>
      <c r="V44" t="s">
        <v>3761</v>
      </c>
      <c r="W44" s="5"/>
    </row>
    <row r="45" spans="1:23" ht="45" x14ac:dyDescent="0.25">
      <c r="A45" t="s">
        <v>3762</v>
      </c>
      <c r="C45" t="s">
        <v>3764</v>
      </c>
      <c r="D45">
        <v>2025</v>
      </c>
      <c r="E45" s="3" t="s">
        <v>3763</v>
      </c>
      <c r="F45" t="s">
        <v>766</v>
      </c>
      <c r="G45" t="s">
        <v>57</v>
      </c>
      <c r="H45" t="s">
        <v>8886</v>
      </c>
      <c r="I45" t="s">
        <v>8887</v>
      </c>
      <c r="J45" t="s">
        <v>8888</v>
      </c>
      <c r="K45" t="s">
        <v>8889</v>
      </c>
      <c r="L45" t="s">
        <v>8556</v>
      </c>
      <c r="M45" t="s">
        <v>8535</v>
      </c>
      <c r="N45" t="s">
        <v>8536</v>
      </c>
      <c r="O45">
        <v>285</v>
      </c>
      <c r="P45" t="s">
        <v>8890</v>
      </c>
      <c r="Q45" t="s">
        <v>8672</v>
      </c>
      <c r="R45" s="3" t="s">
        <v>8891</v>
      </c>
      <c r="S45" t="s">
        <v>8550</v>
      </c>
      <c r="T45" s="3" t="s">
        <v>8892</v>
      </c>
      <c r="U45" t="s">
        <v>3765</v>
      </c>
      <c r="V45" t="s">
        <v>3766</v>
      </c>
      <c r="W45" s="5"/>
    </row>
    <row r="46" spans="1:23" ht="60" x14ac:dyDescent="0.25">
      <c r="A46" t="s">
        <v>3767</v>
      </c>
      <c r="B46" t="s">
        <v>3373</v>
      </c>
      <c r="C46" t="s">
        <v>205</v>
      </c>
      <c r="D46">
        <v>2025</v>
      </c>
      <c r="E46" s="3" t="s">
        <v>3768</v>
      </c>
      <c r="F46" t="s">
        <v>766</v>
      </c>
      <c r="G46" t="s">
        <v>57</v>
      </c>
      <c r="H46" t="s">
        <v>8893</v>
      </c>
      <c r="I46" t="s">
        <v>8894</v>
      </c>
      <c r="J46" t="s">
        <v>8895</v>
      </c>
      <c r="K46" t="s">
        <v>8739</v>
      </c>
      <c r="L46" t="s">
        <v>8896</v>
      </c>
      <c r="M46" t="s">
        <v>8897</v>
      </c>
      <c r="N46" t="s">
        <v>8536</v>
      </c>
      <c r="O46">
        <v>177</v>
      </c>
      <c r="P46" t="s">
        <v>8898</v>
      </c>
      <c r="Q46" t="s">
        <v>8899</v>
      </c>
      <c r="R46" s="3" t="s">
        <v>8900</v>
      </c>
      <c r="S46" t="s">
        <v>8550</v>
      </c>
      <c r="T46" s="3" t="s">
        <v>8901</v>
      </c>
      <c r="U46" t="s">
        <v>3769</v>
      </c>
      <c r="V46" t="s">
        <v>3770</v>
      </c>
      <c r="W46" s="5"/>
    </row>
    <row r="47" spans="1:23" ht="45" x14ac:dyDescent="0.25">
      <c r="A47" t="s">
        <v>4075</v>
      </c>
      <c r="C47" t="s">
        <v>4077</v>
      </c>
      <c r="D47">
        <v>2025</v>
      </c>
      <c r="E47" s="3" t="s">
        <v>4076</v>
      </c>
      <c r="F47" t="s">
        <v>418</v>
      </c>
      <c r="G47" t="s">
        <v>57</v>
      </c>
      <c r="H47" t="s">
        <v>8902</v>
      </c>
      <c r="I47" t="s">
        <v>8543</v>
      </c>
      <c r="J47" t="s">
        <v>8903</v>
      </c>
      <c r="K47" t="s">
        <v>8904</v>
      </c>
      <c r="L47" t="s">
        <v>8546</v>
      </c>
      <c r="M47" t="s">
        <v>8535</v>
      </c>
      <c r="N47" t="s">
        <v>8905</v>
      </c>
      <c r="O47">
        <v>60</v>
      </c>
      <c r="P47" t="s">
        <v>8906</v>
      </c>
      <c r="Q47" t="s">
        <v>8907</v>
      </c>
      <c r="R47" s="3" t="s">
        <v>8908</v>
      </c>
      <c r="S47" t="s">
        <v>8841</v>
      </c>
      <c r="T47" s="3" t="s">
        <v>8909</v>
      </c>
      <c r="U47" t="s">
        <v>4078</v>
      </c>
      <c r="V47" t="s">
        <v>4079</v>
      </c>
      <c r="W47" s="5"/>
    </row>
    <row r="48" spans="1:23" ht="60" x14ac:dyDescent="0.25">
      <c r="A48" t="s">
        <v>4295</v>
      </c>
      <c r="C48" t="s">
        <v>4297</v>
      </c>
      <c r="D48">
        <v>2025</v>
      </c>
      <c r="E48" s="3" t="s">
        <v>4296</v>
      </c>
      <c r="F48" t="s">
        <v>418</v>
      </c>
      <c r="G48" t="s">
        <v>57</v>
      </c>
      <c r="H48" t="s">
        <v>8910</v>
      </c>
      <c r="I48" t="s">
        <v>8553</v>
      </c>
      <c r="J48" t="s">
        <v>8599</v>
      </c>
      <c r="K48" t="s">
        <v>8911</v>
      </c>
      <c r="L48" t="s">
        <v>8763</v>
      </c>
      <c r="M48" t="s">
        <v>8754</v>
      </c>
      <c r="N48" t="s">
        <v>8912</v>
      </c>
      <c r="O48">
        <v>209</v>
      </c>
      <c r="P48" t="s">
        <v>8913</v>
      </c>
      <c r="Q48" t="s">
        <v>8914</v>
      </c>
      <c r="R48" s="3" t="s">
        <v>8915</v>
      </c>
      <c r="S48" t="s">
        <v>8540</v>
      </c>
      <c r="T48" s="3" t="s">
        <v>8916</v>
      </c>
      <c r="U48" t="s">
        <v>4298</v>
      </c>
      <c r="V48" t="s">
        <v>4299</v>
      </c>
      <c r="W48" s="5"/>
    </row>
    <row r="49" spans="1:23" ht="45" x14ac:dyDescent="0.25">
      <c r="A49" t="s">
        <v>4319</v>
      </c>
      <c r="C49" t="s">
        <v>117</v>
      </c>
      <c r="D49">
        <v>2025</v>
      </c>
      <c r="E49" s="3" t="s">
        <v>4320</v>
      </c>
      <c r="F49" t="s">
        <v>4321</v>
      </c>
      <c r="G49" t="s">
        <v>57</v>
      </c>
      <c r="H49" t="s">
        <v>8917</v>
      </c>
      <c r="I49" t="s">
        <v>8918</v>
      </c>
      <c r="J49" t="s">
        <v>8919</v>
      </c>
      <c r="K49" t="s">
        <v>8920</v>
      </c>
      <c r="L49" t="s">
        <v>8534</v>
      </c>
      <c r="M49" t="s">
        <v>8535</v>
      </c>
      <c r="N49" t="s">
        <v>8921</v>
      </c>
      <c r="O49">
        <v>60</v>
      </c>
      <c r="P49" t="s">
        <v>8922</v>
      </c>
      <c r="Q49" t="s">
        <v>8923</v>
      </c>
      <c r="R49" s="3" t="s">
        <v>8924</v>
      </c>
      <c r="S49" t="s">
        <v>8550</v>
      </c>
      <c r="T49" s="3" t="s">
        <v>8925</v>
      </c>
      <c r="U49" t="s">
        <v>4322</v>
      </c>
      <c r="V49" t="s">
        <v>4323</v>
      </c>
      <c r="W49" s="5"/>
    </row>
    <row r="50" spans="1:23" ht="60" x14ac:dyDescent="0.25">
      <c r="A50" t="s">
        <v>4452</v>
      </c>
      <c r="C50" t="s">
        <v>4454</v>
      </c>
      <c r="D50">
        <v>2025</v>
      </c>
      <c r="E50" s="3" t="s">
        <v>4453</v>
      </c>
      <c r="F50" t="s">
        <v>596</v>
      </c>
      <c r="G50" t="s">
        <v>57</v>
      </c>
      <c r="H50" t="s">
        <v>8926</v>
      </c>
      <c r="I50" t="s">
        <v>8927</v>
      </c>
      <c r="J50" t="s">
        <v>8607</v>
      </c>
      <c r="K50" t="s">
        <v>8739</v>
      </c>
      <c r="L50" t="s">
        <v>8534</v>
      </c>
      <c r="M50" t="s">
        <v>8535</v>
      </c>
      <c r="N50" t="s">
        <v>8536</v>
      </c>
      <c r="O50" t="s">
        <v>8654</v>
      </c>
      <c r="P50" t="s">
        <v>8928</v>
      </c>
      <c r="Q50" t="s">
        <v>8929</v>
      </c>
      <c r="R50" s="3" t="s">
        <v>8930</v>
      </c>
      <c r="S50" t="s">
        <v>8550</v>
      </c>
      <c r="T50" s="3" t="s">
        <v>8931</v>
      </c>
      <c r="U50" t="s">
        <v>4455</v>
      </c>
      <c r="V50" t="s">
        <v>4456</v>
      </c>
      <c r="W50" s="5"/>
    </row>
    <row r="51" spans="1:23" ht="60" x14ac:dyDescent="0.25">
      <c r="A51" t="s">
        <v>4777</v>
      </c>
      <c r="C51" t="s">
        <v>4779</v>
      </c>
      <c r="D51">
        <v>2025</v>
      </c>
      <c r="E51" s="3" t="s">
        <v>4778</v>
      </c>
      <c r="F51" t="s">
        <v>4780</v>
      </c>
      <c r="G51" t="s">
        <v>57</v>
      </c>
      <c r="H51" t="s">
        <v>8932</v>
      </c>
      <c r="I51" t="s">
        <v>8933</v>
      </c>
      <c r="J51" t="s">
        <v>8934</v>
      </c>
      <c r="K51" t="s">
        <v>8935</v>
      </c>
      <c r="L51" t="s">
        <v>8534</v>
      </c>
      <c r="M51" t="s">
        <v>8936</v>
      </c>
      <c r="N51" t="s">
        <v>8536</v>
      </c>
      <c r="O51">
        <v>32</v>
      </c>
      <c r="P51" t="s">
        <v>8937</v>
      </c>
      <c r="Q51" t="s">
        <v>8938</v>
      </c>
      <c r="R51" s="3" t="s">
        <v>8939</v>
      </c>
      <c r="S51" t="s">
        <v>8550</v>
      </c>
      <c r="T51" s="3" t="s">
        <v>8940</v>
      </c>
      <c r="U51" t="s">
        <v>4781</v>
      </c>
      <c r="V51" t="s">
        <v>4782</v>
      </c>
      <c r="W51" s="5"/>
    </row>
    <row r="52" spans="1:23" ht="45" x14ac:dyDescent="0.25">
      <c r="A52" t="s">
        <v>4854</v>
      </c>
      <c r="C52" t="s">
        <v>4856</v>
      </c>
      <c r="D52">
        <v>2025</v>
      </c>
      <c r="E52" s="3" t="s">
        <v>4855</v>
      </c>
      <c r="F52" t="s">
        <v>766</v>
      </c>
      <c r="G52" t="s">
        <v>57</v>
      </c>
      <c r="H52" t="s">
        <v>8941</v>
      </c>
      <c r="I52" t="s">
        <v>8942</v>
      </c>
      <c r="J52" t="s">
        <v>8607</v>
      </c>
      <c r="K52" t="s">
        <v>8565</v>
      </c>
      <c r="L52" t="s">
        <v>8943</v>
      </c>
      <c r="M52" t="s">
        <v>8535</v>
      </c>
      <c r="N52" t="s">
        <v>8536</v>
      </c>
      <c r="O52">
        <v>160</v>
      </c>
      <c r="P52" t="s">
        <v>8913</v>
      </c>
      <c r="Q52" t="s">
        <v>8944</v>
      </c>
      <c r="R52" s="3" t="s">
        <v>8945</v>
      </c>
      <c r="S52" t="s">
        <v>8569</v>
      </c>
      <c r="T52" s="3" t="s">
        <v>8946</v>
      </c>
      <c r="U52" t="s">
        <v>4857</v>
      </c>
      <c r="V52" t="s">
        <v>4858</v>
      </c>
      <c r="W52" s="5"/>
    </row>
    <row r="53" spans="1:23" ht="45" x14ac:dyDescent="0.25">
      <c r="A53" t="s">
        <v>4883</v>
      </c>
      <c r="C53" t="s">
        <v>4885</v>
      </c>
      <c r="D53">
        <v>2025</v>
      </c>
      <c r="E53" s="3" t="s">
        <v>4884</v>
      </c>
      <c r="F53" t="s">
        <v>279</v>
      </c>
      <c r="G53" t="s">
        <v>57</v>
      </c>
      <c r="H53" t="s">
        <v>8947</v>
      </c>
      <c r="I53" t="s">
        <v>8948</v>
      </c>
      <c r="J53" t="s">
        <v>8554</v>
      </c>
      <c r="K53" t="s">
        <v>8949</v>
      </c>
      <c r="L53" t="s">
        <v>8534</v>
      </c>
      <c r="M53" t="s">
        <v>8535</v>
      </c>
      <c r="N53" t="s">
        <v>8950</v>
      </c>
      <c r="O53">
        <v>100</v>
      </c>
      <c r="P53" t="s">
        <v>8654</v>
      </c>
      <c r="Q53" t="s">
        <v>8951</v>
      </c>
      <c r="R53" s="3" t="s">
        <v>8952</v>
      </c>
      <c r="S53" t="s">
        <v>8540</v>
      </c>
      <c r="T53" s="3" t="s">
        <v>8953</v>
      </c>
      <c r="U53" t="s">
        <v>4886</v>
      </c>
      <c r="V53" t="s">
        <v>4887</v>
      </c>
      <c r="W53" s="5"/>
    </row>
    <row r="54" spans="1:23" ht="45" x14ac:dyDescent="0.25">
      <c r="A54" t="s">
        <v>4981</v>
      </c>
      <c r="C54" t="s">
        <v>1749</v>
      </c>
      <c r="D54">
        <v>2025</v>
      </c>
      <c r="E54" s="3" t="s">
        <v>4982</v>
      </c>
      <c r="F54" t="s">
        <v>84</v>
      </c>
      <c r="G54" t="s">
        <v>67</v>
      </c>
      <c r="H54" t="s">
        <v>8954</v>
      </c>
      <c r="I54" t="s">
        <v>8955</v>
      </c>
      <c r="J54" t="s">
        <v>8554</v>
      </c>
      <c r="K54" t="s">
        <v>8956</v>
      </c>
      <c r="L54" t="s">
        <v>8534</v>
      </c>
      <c r="M54" t="s">
        <v>8754</v>
      </c>
      <c r="N54" t="s">
        <v>8780</v>
      </c>
      <c r="O54" t="s">
        <v>8654</v>
      </c>
      <c r="P54" t="s">
        <v>8957</v>
      </c>
      <c r="Q54" t="s">
        <v>8958</v>
      </c>
      <c r="R54" s="3" t="s">
        <v>8959</v>
      </c>
      <c r="S54" t="s">
        <v>8540</v>
      </c>
      <c r="T54" s="3" t="s">
        <v>8960</v>
      </c>
      <c r="U54" t="s">
        <v>4983</v>
      </c>
      <c r="V54" t="s">
        <v>4984</v>
      </c>
      <c r="W54" s="5"/>
    </row>
    <row r="55" spans="1:23" ht="45" x14ac:dyDescent="0.25">
      <c r="A55" t="s">
        <v>5027</v>
      </c>
      <c r="C55" t="s">
        <v>738</v>
      </c>
      <c r="D55">
        <v>2025</v>
      </c>
      <c r="E55" s="3" t="s">
        <v>5028</v>
      </c>
      <c r="F55" t="s">
        <v>766</v>
      </c>
      <c r="G55" t="s">
        <v>57</v>
      </c>
      <c r="H55" t="s">
        <v>8961</v>
      </c>
      <c r="I55" t="s">
        <v>8962</v>
      </c>
      <c r="J55" t="s">
        <v>8963</v>
      </c>
      <c r="K55" t="s">
        <v>8964</v>
      </c>
      <c r="L55" t="s">
        <v>8556</v>
      </c>
      <c r="M55" t="s">
        <v>8535</v>
      </c>
      <c r="N55" t="s">
        <v>8536</v>
      </c>
      <c r="O55">
        <v>60</v>
      </c>
      <c r="P55" t="s">
        <v>8965</v>
      </c>
      <c r="Q55" t="s">
        <v>8966</v>
      </c>
      <c r="R55" s="3" t="s">
        <v>8967</v>
      </c>
      <c r="S55" t="s">
        <v>8540</v>
      </c>
      <c r="T55" s="3" t="s">
        <v>8968</v>
      </c>
      <c r="U55" t="s">
        <v>5029</v>
      </c>
      <c r="V55" t="s">
        <v>5030</v>
      </c>
      <c r="W55" s="5"/>
    </row>
    <row r="56" spans="1:23" ht="45" x14ac:dyDescent="0.25">
      <c r="A56" t="s">
        <v>5036</v>
      </c>
      <c r="C56" t="s">
        <v>5038</v>
      </c>
      <c r="D56">
        <v>2025</v>
      </c>
      <c r="E56" s="3" t="s">
        <v>5037</v>
      </c>
      <c r="F56" t="s">
        <v>5039</v>
      </c>
      <c r="G56" t="s">
        <v>57</v>
      </c>
      <c r="H56" t="s">
        <v>8969</v>
      </c>
      <c r="I56" t="s">
        <v>8970</v>
      </c>
      <c r="J56" t="s">
        <v>8971</v>
      </c>
      <c r="K56" t="s">
        <v>8972</v>
      </c>
      <c r="L56" t="s">
        <v>8534</v>
      </c>
      <c r="M56" t="s">
        <v>8535</v>
      </c>
      <c r="N56" t="s">
        <v>8536</v>
      </c>
      <c r="O56">
        <v>258</v>
      </c>
      <c r="P56" t="s">
        <v>8973</v>
      </c>
      <c r="Q56" t="s">
        <v>8974</v>
      </c>
      <c r="R56" s="3" t="s">
        <v>8975</v>
      </c>
      <c r="S56" t="s">
        <v>8569</v>
      </c>
      <c r="T56" s="3" t="s">
        <v>8976</v>
      </c>
      <c r="U56" t="s">
        <v>5040</v>
      </c>
      <c r="V56" t="s">
        <v>5041</v>
      </c>
      <c r="W56" s="5"/>
    </row>
    <row r="57" spans="1:23" ht="45" x14ac:dyDescent="0.25">
      <c r="A57" t="s">
        <v>5052</v>
      </c>
      <c r="C57" t="s">
        <v>2671</v>
      </c>
      <c r="D57">
        <v>2025</v>
      </c>
      <c r="E57" s="3" t="s">
        <v>5053</v>
      </c>
      <c r="F57" t="s">
        <v>750</v>
      </c>
      <c r="G57" t="s">
        <v>57</v>
      </c>
      <c r="H57" t="s">
        <v>8977</v>
      </c>
      <c r="I57" t="s">
        <v>8978</v>
      </c>
      <c r="J57" t="s">
        <v>8979</v>
      </c>
      <c r="K57" t="s">
        <v>8739</v>
      </c>
      <c r="L57" t="s">
        <v>8980</v>
      </c>
      <c r="M57" t="s">
        <v>8535</v>
      </c>
      <c r="N57" t="s">
        <v>8981</v>
      </c>
      <c r="O57">
        <v>272</v>
      </c>
      <c r="P57" t="s">
        <v>8982</v>
      </c>
      <c r="Q57" t="s">
        <v>8983</v>
      </c>
      <c r="R57" s="3" t="s">
        <v>8984</v>
      </c>
      <c r="S57" t="s">
        <v>8540</v>
      </c>
      <c r="T57" s="3" t="s">
        <v>8985</v>
      </c>
      <c r="U57" t="s">
        <v>5054</v>
      </c>
      <c r="V57" t="s">
        <v>5055</v>
      </c>
      <c r="W57" s="5"/>
    </row>
    <row r="58" spans="1:23" ht="45" x14ac:dyDescent="0.25">
      <c r="A58" t="s">
        <v>5180</v>
      </c>
      <c r="C58" t="s">
        <v>5182</v>
      </c>
      <c r="D58">
        <v>2025</v>
      </c>
      <c r="E58" s="3" t="s">
        <v>5181</v>
      </c>
      <c r="F58" t="s">
        <v>5183</v>
      </c>
      <c r="G58" t="s">
        <v>57</v>
      </c>
      <c r="H58" t="s">
        <v>8986</v>
      </c>
      <c r="I58" t="s">
        <v>8987</v>
      </c>
      <c r="J58" t="s">
        <v>8988</v>
      </c>
      <c r="K58" t="s">
        <v>8989</v>
      </c>
      <c r="L58" t="s">
        <v>8556</v>
      </c>
      <c r="M58" t="s">
        <v>8535</v>
      </c>
      <c r="N58" t="s">
        <v>8536</v>
      </c>
      <c r="O58">
        <v>80</v>
      </c>
      <c r="P58" t="s">
        <v>8566</v>
      </c>
      <c r="Q58" t="s">
        <v>8990</v>
      </c>
      <c r="R58" s="3" t="s">
        <v>8991</v>
      </c>
      <c r="S58" t="s">
        <v>8550</v>
      </c>
      <c r="T58" s="3" t="s">
        <v>8992</v>
      </c>
      <c r="U58" t="s">
        <v>5184</v>
      </c>
      <c r="V58" t="s">
        <v>5185</v>
      </c>
      <c r="W58" s="5"/>
    </row>
    <row r="59" spans="1:23" ht="60" x14ac:dyDescent="0.25">
      <c r="A59" t="s">
        <v>5311</v>
      </c>
      <c r="C59" t="s">
        <v>5313</v>
      </c>
      <c r="D59">
        <v>2024</v>
      </c>
      <c r="E59" s="3" t="s">
        <v>5312</v>
      </c>
      <c r="F59" t="s">
        <v>5314</v>
      </c>
      <c r="G59" t="s">
        <v>57</v>
      </c>
      <c r="H59" t="s">
        <v>8993</v>
      </c>
      <c r="I59" t="s">
        <v>8994</v>
      </c>
      <c r="J59" t="s">
        <v>8995</v>
      </c>
      <c r="K59" t="s">
        <v>8996</v>
      </c>
      <c r="L59" t="s">
        <v>8556</v>
      </c>
      <c r="M59" t="s">
        <v>8535</v>
      </c>
      <c r="N59" t="s">
        <v>8536</v>
      </c>
      <c r="O59">
        <v>149</v>
      </c>
      <c r="P59" t="s">
        <v>8575</v>
      </c>
      <c r="Q59" t="s">
        <v>8997</v>
      </c>
      <c r="R59" s="3" t="s">
        <v>8998</v>
      </c>
      <c r="S59" t="s">
        <v>8550</v>
      </c>
      <c r="T59" s="3" t="s">
        <v>8999</v>
      </c>
      <c r="U59" t="s">
        <v>5315</v>
      </c>
      <c r="V59" t="s">
        <v>5316</v>
      </c>
      <c r="W59" s="5"/>
    </row>
    <row r="60" spans="1:23" ht="45" x14ac:dyDescent="0.25">
      <c r="A60" t="s">
        <v>5322</v>
      </c>
      <c r="C60" t="s">
        <v>4477</v>
      </c>
      <c r="D60">
        <v>2024</v>
      </c>
      <c r="E60" s="3" t="s">
        <v>5323</v>
      </c>
      <c r="F60" t="s">
        <v>1803</v>
      </c>
      <c r="G60" t="s">
        <v>57</v>
      </c>
      <c r="H60" t="s">
        <v>9000</v>
      </c>
      <c r="I60" t="s">
        <v>9001</v>
      </c>
      <c r="J60" t="s">
        <v>9002</v>
      </c>
      <c r="K60" t="s">
        <v>9003</v>
      </c>
      <c r="L60" t="s">
        <v>8556</v>
      </c>
      <c r="M60" t="s">
        <v>8535</v>
      </c>
      <c r="N60" t="s">
        <v>8536</v>
      </c>
      <c r="O60">
        <v>140</v>
      </c>
      <c r="P60" t="s">
        <v>8654</v>
      </c>
      <c r="Q60" t="s">
        <v>8672</v>
      </c>
      <c r="R60" s="3" t="s">
        <v>9004</v>
      </c>
      <c r="S60" t="s">
        <v>8550</v>
      </c>
      <c r="T60" s="3" t="s">
        <v>9005</v>
      </c>
      <c r="U60" t="s">
        <v>5324</v>
      </c>
      <c r="V60" t="s">
        <v>5325</v>
      </c>
      <c r="W60" s="5"/>
    </row>
    <row r="61" spans="1:23" ht="60" x14ac:dyDescent="0.25">
      <c r="A61" t="s">
        <v>5369</v>
      </c>
      <c r="C61" t="s">
        <v>5371</v>
      </c>
      <c r="D61">
        <v>2024</v>
      </c>
      <c r="E61" s="3" t="s">
        <v>5370</v>
      </c>
      <c r="F61" t="s">
        <v>750</v>
      </c>
      <c r="G61" t="s">
        <v>57</v>
      </c>
      <c r="H61" t="s">
        <v>9006</v>
      </c>
      <c r="I61" t="s">
        <v>9007</v>
      </c>
      <c r="J61" t="s">
        <v>8607</v>
      </c>
      <c r="K61" t="s">
        <v>9008</v>
      </c>
      <c r="L61" t="s">
        <v>9009</v>
      </c>
      <c r="M61" t="s">
        <v>8754</v>
      </c>
      <c r="N61" t="s">
        <v>9010</v>
      </c>
      <c r="O61" t="s">
        <v>8654</v>
      </c>
      <c r="P61" t="s">
        <v>8655</v>
      </c>
      <c r="Q61" t="s">
        <v>9011</v>
      </c>
      <c r="R61" s="3" t="s">
        <v>9012</v>
      </c>
      <c r="S61" t="s">
        <v>8550</v>
      </c>
      <c r="T61" s="3" t="s">
        <v>9013</v>
      </c>
      <c r="U61" t="s">
        <v>5372</v>
      </c>
      <c r="V61" t="s">
        <v>5373</v>
      </c>
      <c r="W61" s="5"/>
    </row>
    <row r="62" spans="1:23" ht="30" x14ac:dyDescent="0.25">
      <c r="A62" t="s">
        <v>5433</v>
      </c>
      <c r="C62" t="s">
        <v>5435</v>
      </c>
      <c r="D62">
        <v>2024</v>
      </c>
      <c r="E62" s="3" t="s">
        <v>5434</v>
      </c>
      <c r="F62" t="s">
        <v>766</v>
      </c>
      <c r="G62" t="s">
        <v>57</v>
      </c>
      <c r="H62" t="s">
        <v>9014</v>
      </c>
      <c r="I62" t="s">
        <v>9015</v>
      </c>
      <c r="J62" t="s">
        <v>9016</v>
      </c>
      <c r="K62" t="s">
        <v>9017</v>
      </c>
      <c r="L62" t="s">
        <v>8556</v>
      </c>
      <c r="M62" t="s">
        <v>8936</v>
      </c>
      <c r="N62" t="s">
        <v>8536</v>
      </c>
      <c r="O62">
        <v>1345</v>
      </c>
      <c r="P62" t="s">
        <v>9018</v>
      </c>
      <c r="Q62" t="s">
        <v>9019</v>
      </c>
      <c r="R62" s="3" t="s">
        <v>9020</v>
      </c>
      <c r="S62" t="s">
        <v>8569</v>
      </c>
      <c r="T62" s="3" t="s">
        <v>9021</v>
      </c>
      <c r="U62" t="s">
        <v>5436</v>
      </c>
      <c r="V62" t="s">
        <v>5437</v>
      </c>
      <c r="W62" s="5"/>
    </row>
    <row r="63" spans="1:23" ht="60" x14ac:dyDescent="0.25">
      <c r="A63" t="s">
        <v>5702</v>
      </c>
      <c r="C63" t="s">
        <v>5704</v>
      </c>
      <c r="D63">
        <v>2024</v>
      </c>
      <c r="E63" s="3" t="s">
        <v>5703</v>
      </c>
      <c r="F63" t="s">
        <v>5705</v>
      </c>
      <c r="G63" t="s">
        <v>57</v>
      </c>
      <c r="H63" t="s">
        <v>9022</v>
      </c>
      <c r="I63" t="s">
        <v>9023</v>
      </c>
      <c r="J63" t="s">
        <v>9024</v>
      </c>
      <c r="K63" t="s">
        <v>9025</v>
      </c>
      <c r="L63" t="s">
        <v>9026</v>
      </c>
      <c r="M63" t="s">
        <v>8535</v>
      </c>
      <c r="N63" t="s">
        <v>9027</v>
      </c>
      <c r="O63" t="s">
        <v>8654</v>
      </c>
      <c r="P63" t="s">
        <v>9028</v>
      </c>
      <c r="Q63" t="s">
        <v>9029</v>
      </c>
      <c r="R63" s="3" t="s">
        <v>9030</v>
      </c>
      <c r="S63" t="s">
        <v>8550</v>
      </c>
      <c r="T63" s="3" t="s">
        <v>9031</v>
      </c>
      <c r="U63" t="s">
        <v>5706</v>
      </c>
      <c r="V63" t="s">
        <v>5707</v>
      </c>
      <c r="W63" s="5"/>
    </row>
    <row r="64" spans="1:23" ht="60" x14ac:dyDescent="0.25">
      <c r="A64" t="s">
        <v>5786</v>
      </c>
      <c r="C64" t="s">
        <v>4477</v>
      </c>
      <c r="D64">
        <v>2024</v>
      </c>
      <c r="E64" s="3" t="s">
        <v>5787</v>
      </c>
      <c r="F64" t="s">
        <v>766</v>
      </c>
      <c r="G64" t="s">
        <v>57</v>
      </c>
      <c r="H64" t="s">
        <v>9032</v>
      </c>
      <c r="I64" t="s">
        <v>9033</v>
      </c>
      <c r="J64" t="s">
        <v>9034</v>
      </c>
      <c r="K64" t="s">
        <v>9035</v>
      </c>
      <c r="L64" t="s">
        <v>8556</v>
      </c>
      <c r="M64" t="s">
        <v>8535</v>
      </c>
      <c r="N64" t="s">
        <v>8536</v>
      </c>
      <c r="O64" t="s">
        <v>8654</v>
      </c>
      <c r="P64" t="s">
        <v>8654</v>
      </c>
      <c r="Q64" t="s">
        <v>8672</v>
      </c>
      <c r="R64" s="3" t="s">
        <v>9036</v>
      </c>
      <c r="S64" t="s">
        <v>8550</v>
      </c>
      <c r="T64" s="3" t="s">
        <v>9037</v>
      </c>
      <c r="U64" t="s">
        <v>5788</v>
      </c>
      <c r="V64" t="s">
        <v>5789</v>
      </c>
      <c r="W64" s="5"/>
    </row>
    <row r="65" spans="1:23" ht="60" x14ac:dyDescent="0.25">
      <c r="A65" t="s">
        <v>5859</v>
      </c>
      <c r="C65" t="s">
        <v>2001</v>
      </c>
      <c r="D65">
        <v>2024</v>
      </c>
      <c r="E65" s="3" t="s">
        <v>5860</v>
      </c>
      <c r="F65" t="s">
        <v>766</v>
      </c>
      <c r="G65" t="s">
        <v>57</v>
      </c>
      <c r="H65" t="s">
        <v>9038</v>
      </c>
      <c r="I65" t="s">
        <v>9023</v>
      </c>
      <c r="J65" t="s">
        <v>8979</v>
      </c>
      <c r="K65" t="s">
        <v>9039</v>
      </c>
      <c r="L65" t="s">
        <v>8763</v>
      </c>
      <c r="M65" t="s">
        <v>8535</v>
      </c>
      <c r="N65" t="s">
        <v>8780</v>
      </c>
      <c r="O65">
        <v>229</v>
      </c>
      <c r="P65" t="s">
        <v>8655</v>
      </c>
      <c r="Q65" t="s">
        <v>9040</v>
      </c>
      <c r="R65" s="3" t="s">
        <v>9041</v>
      </c>
      <c r="S65" t="s">
        <v>8540</v>
      </c>
      <c r="T65" s="3" t="s">
        <v>9042</v>
      </c>
      <c r="U65" t="s">
        <v>5861</v>
      </c>
      <c r="V65" t="s">
        <v>5862</v>
      </c>
      <c r="W65" s="5"/>
    </row>
    <row r="66" spans="1:23" ht="45" x14ac:dyDescent="0.25">
      <c r="A66" t="s">
        <v>5863</v>
      </c>
      <c r="C66" t="s">
        <v>5865</v>
      </c>
      <c r="D66">
        <v>2024</v>
      </c>
      <c r="E66" s="3" t="s">
        <v>5864</v>
      </c>
      <c r="F66" t="s">
        <v>5866</v>
      </c>
      <c r="G66" t="s">
        <v>57</v>
      </c>
      <c r="H66" t="s">
        <v>9043</v>
      </c>
      <c r="I66" t="s">
        <v>9044</v>
      </c>
      <c r="J66" t="s">
        <v>9045</v>
      </c>
      <c r="K66" t="s">
        <v>9046</v>
      </c>
      <c r="L66" t="s">
        <v>8556</v>
      </c>
      <c r="M66" t="s">
        <v>8535</v>
      </c>
      <c r="N66" t="s">
        <v>8536</v>
      </c>
      <c r="O66">
        <v>1584</v>
      </c>
      <c r="P66" t="s">
        <v>8575</v>
      </c>
      <c r="Q66" t="s">
        <v>9047</v>
      </c>
      <c r="R66" s="3" t="s">
        <v>9048</v>
      </c>
      <c r="S66" t="s">
        <v>8550</v>
      </c>
      <c r="T66" s="3" t="s">
        <v>9049</v>
      </c>
      <c r="U66" t="s">
        <v>5867</v>
      </c>
      <c r="V66" t="s">
        <v>5868</v>
      </c>
      <c r="W66" s="5"/>
    </row>
    <row r="67" spans="1:23" ht="30" x14ac:dyDescent="0.25">
      <c r="A67" t="s">
        <v>5869</v>
      </c>
      <c r="C67" t="s">
        <v>5871</v>
      </c>
      <c r="D67">
        <v>2024</v>
      </c>
      <c r="E67" s="3" t="s">
        <v>5870</v>
      </c>
      <c r="F67" t="s">
        <v>750</v>
      </c>
      <c r="G67" t="s">
        <v>57</v>
      </c>
      <c r="H67" t="s">
        <v>8744</v>
      </c>
      <c r="I67" t="s">
        <v>9050</v>
      </c>
      <c r="J67" t="s">
        <v>9051</v>
      </c>
      <c r="K67" t="s">
        <v>8565</v>
      </c>
      <c r="L67" t="s">
        <v>8747</v>
      </c>
      <c r="M67" t="s">
        <v>8535</v>
      </c>
      <c r="N67" t="s">
        <v>8536</v>
      </c>
      <c r="O67">
        <v>68</v>
      </c>
      <c r="P67" t="s">
        <v>8566</v>
      </c>
      <c r="Q67" t="s">
        <v>8801</v>
      </c>
      <c r="R67" s="3" t="s">
        <v>9052</v>
      </c>
      <c r="S67" t="s">
        <v>8550</v>
      </c>
      <c r="T67" s="3" t="s">
        <v>9053</v>
      </c>
      <c r="U67" t="s">
        <v>5872</v>
      </c>
      <c r="V67" t="s">
        <v>5873</v>
      </c>
      <c r="W67" s="5"/>
    </row>
    <row r="68" spans="1:23" ht="45" x14ac:dyDescent="0.25">
      <c r="A68" t="s">
        <v>5874</v>
      </c>
      <c r="C68" t="s">
        <v>5876</v>
      </c>
      <c r="D68">
        <v>2024</v>
      </c>
      <c r="E68" s="3" t="s">
        <v>5875</v>
      </c>
      <c r="F68" t="s">
        <v>750</v>
      </c>
      <c r="G68" t="s">
        <v>57</v>
      </c>
      <c r="H68" t="s">
        <v>9054</v>
      </c>
      <c r="I68" t="s">
        <v>9055</v>
      </c>
      <c r="J68" t="s">
        <v>9056</v>
      </c>
      <c r="K68" t="s">
        <v>9008</v>
      </c>
      <c r="L68" t="s">
        <v>8896</v>
      </c>
      <c r="M68" t="s">
        <v>8535</v>
      </c>
      <c r="N68" t="s">
        <v>8536</v>
      </c>
      <c r="O68">
        <v>81</v>
      </c>
      <c r="P68" t="s">
        <v>8913</v>
      </c>
      <c r="Q68" t="s">
        <v>9057</v>
      </c>
      <c r="R68" s="3" t="s">
        <v>9058</v>
      </c>
      <c r="S68" t="s">
        <v>8540</v>
      </c>
      <c r="T68" s="3" t="s">
        <v>9059</v>
      </c>
      <c r="U68" t="s">
        <v>5877</v>
      </c>
      <c r="V68" t="s">
        <v>5878</v>
      </c>
      <c r="W68" s="5"/>
    </row>
    <row r="69" spans="1:23" ht="45" x14ac:dyDescent="0.25">
      <c r="A69" t="s">
        <v>5879</v>
      </c>
      <c r="C69" t="s">
        <v>5881</v>
      </c>
      <c r="D69">
        <v>2024</v>
      </c>
      <c r="E69" s="3" t="s">
        <v>5880</v>
      </c>
      <c r="F69" t="s">
        <v>418</v>
      </c>
      <c r="G69" t="s">
        <v>57</v>
      </c>
      <c r="H69" t="s">
        <v>9060</v>
      </c>
      <c r="I69" t="s">
        <v>8955</v>
      </c>
      <c r="J69" t="s">
        <v>9061</v>
      </c>
      <c r="K69" t="s">
        <v>9062</v>
      </c>
      <c r="L69" t="s">
        <v>8556</v>
      </c>
      <c r="M69" t="s">
        <v>8535</v>
      </c>
      <c r="N69" t="s">
        <v>8536</v>
      </c>
      <c r="O69">
        <v>118</v>
      </c>
      <c r="P69" t="s">
        <v>9063</v>
      </c>
      <c r="Q69" t="s">
        <v>8645</v>
      </c>
      <c r="R69" s="3" t="s">
        <v>9064</v>
      </c>
      <c r="S69" t="s">
        <v>8540</v>
      </c>
      <c r="T69" s="3" t="s">
        <v>9065</v>
      </c>
      <c r="U69" t="s">
        <v>5882</v>
      </c>
      <c r="V69" t="s">
        <v>5883</v>
      </c>
      <c r="W69" s="5"/>
    </row>
    <row r="70" spans="1:23" ht="60" x14ac:dyDescent="0.25">
      <c r="A70" t="s">
        <v>5884</v>
      </c>
      <c r="C70" t="s">
        <v>5886</v>
      </c>
      <c r="D70">
        <v>2024</v>
      </c>
      <c r="E70" s="3" t="s">
        <v>5885</v>
      </c>
      <c r="F70" t="s">
        <v>1682</v>
      </c>
      <c r="G70" t="s">
        <v>57</v>
      </c>
      <c r="H70" t="s">
        <v>9066</v>
      </c>
      <c r="I70" t="s">
        <v>9067</v>
      </c>
      <c r="J70" t="s">
        <v>9068</v>
      </c>
      <c r="K70" t="s">
        <v>9069</v>
      </c>
      <c r="L70" t="s">
        <v>8556</v>
      </c>
      <c r="M70" t="s">
        <v>8535</v>
      </c>
      <c r="N70" t="s">
        <v>9070</v>
      </c>
      <c r="O70">
        <v>205</v>
      </c>
      <c r="P70" t="s">
        <v>9071</v>
      </c>
      <c r="Q70" t="s">
        <v>9072</v>
      </c>
      <c r="R70" s="3" t="s">
        <v>9073</v>
      </c>
      <c r="S70" t="s">
        <v>8540</v>
      </c>
      <c r="T70" s="3" t="s">
        <v>9074</v>
      </c>
      <c r="U70" t="s">
        <v>5887</v>
      </c>
      <c r="V70" t="s">
        <v>5888</v>
      </c>
      <c r="W70" s="5"/>
    </row>
    <row r="71" spans="1:23" ht="45" x14ac:dyDescent="0.25">
      <c r="A71" t="s">
        <v>6056</v>
      </c>
      <c r="C71" t="s">
        <v>6058</v>
      </c>
      <c r="D71">
        <v>2024</v>
      </c>
      <c r="E71" s="3" t="s">
        <v>6057</v>
      </c>
      <c r="F71" t="s">
        <v>6059</v>
      </c>
      <c r="G71" t="s">
        <v>67</v>
      </c>
      <c r="H71" t="s">
        <v>9075</v>
      </c>
      <c r="I71" t="s">
        <v>9076</v>
      </c>
      <c r="J71" t="s">
        <v>9077</v>
      </c>
      <c r="K71" t="s">
        <v>9078</v>
      </c>
      <c r="L71" t="s">
        <v>8534</v>
      </c>
      <c r="M71" t="s">
        <v>9079</v>
      </c>
      <c r="N71" t="s">
        <v>9080</v>
      </c>
      <c r="O71">
        <v>344</v>
      </c>
      <c r="P71" t="s">
        <v>8655</v>
      </c>
      <c r="Q71" t="s">
        <v>9081</v>
      </c>
      <c r="R71" s="3" t="s">
        <v>9082</v>
      </c>
      <c r="S71" t="s">
        <v>8550</v>
      </c>
      <c r="T71" s="3" t="s">
        <v>9083</v>
      </c>
      <c r="U71" t="s">
        <v>6060</v>
      </c>
      <c r="V71" t="s">
        <v>6061</v>
      </c>
      <c r="W71" s="5"/>
    </row>
    <row r="72" spans="1:23" ht="60" x14ac:dyDescent="0.25">
      <c r="A72" t="s">
        <v>6081</v>
      </c>
      <c r="C72" t="s">
        <v>2194</v>
      </c>
      <c r="D72">
        <v>2024</v>
      </c>
      <c r="E72" s="3" t="s">
        <v>6082</v>
      </c>
      <c r="F72" t="s">
        <v>6083</v>
      </c>
      <c r="G72" t="s">
        <v>57</v>
      </c>
      <c r="H72" t="s">
        <v>9084</v>
      </c>
      <c r="I72" t="s">
        <v>9085</v>
      </c>
      <c r="J72" t="s">
        <v>9086</v>
      </c>
      <c r="K72" t="s">
        <v>8565</v>
      </c>
      <c r="L72" t="s">
        <v>8556</v>
      </c>
      <c r="M72" t="s">
        <v>9087</v>
      </c>
      <c r="N72" t="s">
        <v>8536</v>
      </c>
      <c r="O72">
        <v>139</v>
      </c>
      <c r="P72" t="s">
        <v>9088</v>
      </c>
      <c r="Q72" t="s">
        <v>9089</v>
      </c>
      <c r="R72" s="3" t="s">
        <v>9090</v>
      </c>
      <c r="S72" t="s">
        <v>8569</v>
      </c>
      <c r="T72" s="3" t="s">
        <v>9091</v>
      </c>
      <c r="U72" t="s">
        <v>6084</v>
      </c>
      <c r="V72" t="s">
        <v>6085</v>
      </c>
      <c r="W72" s="5"/>
    </row>
    <row r="73" spans="1:23" ht="45" x14ac:dyDescent="0.25">
      <c r="A73" t="s">
        <v>6589</v>
      </c>
      <c r="C73" t="s">
        <v>6591</v>
      </c>
      <c r="D73">
        <v>2024</v>
      </c>
      <c r="E73" s="3" t="s">
        <v>6590</v>
      </c>
      <c r="F73" t="s">
        <v>750</v>
      </c>
      <c r="G73" t="s">
        <v>57</v>
      </c>
      <c r="H73" t="s">
        <v>9092</v>
      </c>
      <c r="I73" t="s">
        <v>9093</v>
      </c>
      <c r="J73" t="s">
        <v>9094</v>
      </c>
      <c r="K73" t="s">
        <v>8834</v>
      </c>
      <c r="L73" t="s">
        <v>9095</v>
      </c>
      <c r="M73" t="s">
        <v>8754</v>
      </c>
      <c r="N73" t="s">
        <v>8870</v>
      </c>
      <c r="O73">
        <v>42</v>
      </c>
      <c r="P73" t="s">
        <v>9096</v>
      </c>
      <c r="Q73" t="s">
        <v>9097</v>
      </c>
      <c r="R73" s="3" t="s">
        <v>9098</v>
      </c>
      <c r="S73" t="s">
        <v>8841</v>
      </c>
      <c r="T73" s="3" t="s">
        <v>9099</v>
      </c>
      <c r="U73" t="s">
        <v>6592</v>
      </c>
      <c r="V73" t="s">
        <v>6593</v>
      </c>
      <c r="W73" s="5"/>
    </row>
    <row r="74" spans="1:23" ht="45" x14ac:dyDescent="0.25">
      <c r="A74" t="s">
        <v>6648</v>
      </c>
      <c r="C74" t="s">
        <v>6650</v>
      </c>
      <c r="D74">
        <v>2023</v>
      </c>
      <c r="E74" s="3" t="s">
        <v>6649</v>
      </c>
      <c r="F74" t="s">
        <v>279</v>
      </c>
      <c r="G74" t="s">
        <v>57</v>
      </c>
      <c r="H74" t="s">
        <v>9100</v>
      </c>
      <c r="I74" t="s">
        <v>9101</v>
      </c>
      <c r="J74" t="s">
        <v>9102</v>
      </c>
      <c r="K74" t="s">
        <v>9103</v>
      </c>
      <c r="L74" t="s">
        <v>9104</v>
      </c>
      <c r="M74" t="s">
        <v>8535</v>
      </c>
      <c r="N74" t="s">
        <v>9105</v>
      </c>
      <c r="O74" t="s">
        <v>8654</v>
      </c>
      <c r="P74" t="s">
        <v>8654</v>
      </c>
      <c r="Q74" t="s">
        <v>9106</v>
      </c>
      <c r="R74" s="3" t="s">
        <v>9107</v>
      </c>
      <c r="S74" t="s">
        <v>8550</v>
      </c>
      <c r="T74" s="3" t="s">
        <v>9108</v>
      </c>
      <c r="U74" t="s">
        <v>6651</v>
      </c>
      <c r="V74" t="s">
        <v>6652</v>
      </c>
      <c r="W74" s="5"/>
    </row>
    <row r="75" spans="1:23" ht="45" x14ac:dyDescent="0.25">
      <c r="A75" t="s">
        <v>6687</v>
      </c>
      <c r="C75" t="s">
        <v>6586</v>
      </c>
      <c r="D75">
        <v>2023</v>
      </c>
      <c r="E75" s="3" t="s">
        <v>6688</v>
      </c>
      <c r="F75" t="s">
        <v>3573</v>
      </c>
      <c r="G75" t="s">
        <v>67</v>
      </c>
      <c r="H75" t="s">
        <v>9109</v>
      </c>
      <c r="I75" t="s">
        <v>9110</v>
      </c>
      <c r="J75" t="s">
        <v>8607</v>
      </c>
      <c r="K75" t="s">
        <v>9111</v>
      </c>
      <c r="L75" t="s">
        <v>8763</v>
      </c>
      <c r="M75" t="s">
        <v>8652</v>
      </c>
      <c r="N75" t="s">
        <v>9112</v>
      </c>
      <c r="O75">
        <v>70</v>
      </c>
      <c r="P75" t="s">
        <v>8575</v>
      </c>
      <c r="Q75" t="s">
        <v>9113</v>
      </c>
      <c r="R75" s="3" t="s">
        <v>9114</v>
      </c>
      <c r="S75" t="s">
        <v>8550</v>
      </c>
      <c r="T75" s="3" t="s">
        <v>9115</v>
      </c>
      <c r="U75" t="s">
        <v>6689</v>
      </c>
      <c r="V75" t="s">
        <v>6690</v>
      </c>
      <c r="W75" s="5"/>
    </row>
    <row r="76" spans="1:23" ht="45" x14ac:dyDescent="0.25">
      <c r="A76" t="s">
        <v>6721</v>
      </c>
      <c r="C76" t="s">
        <v>6723</v>
      </c>
      <c r="D76">
        <v>2023</v>
      </c>
      <c r="E76" s="3" t="s">
        <v>6722</v>
      </c>
      <c r="F76" t="s">
        <v>151</v>
      </c>
      <c r="G76" t="s">
        <v>67</v>
      </c>
      <c r="H76" t="s">
        <v>9116</v>
      </c>
      <c r="I76" t="s">
        <v>9117</v>
      </c>
      <c r="J76" t="s">
        <v>8532</v>
      </c>
      <c r="K76" t="s">
        <v>8565</v>
      </c>
      <c r="L76" t="s">
        <v>9118</v>
      </c>
      <c r="M76" t="s">
        <v>8535</v>
      </c>
      <c r="N76" t="s">
        <v>8950</v>
      </c>
      <c r="O76">
        <v>68</v>
      </c>
      <c r="P76" t="s">
        <v>8575</v>
      </c>
      <c r="Q76" t="s">
        <v>8951</v>
      </c>
      <c r="R76" s="3" t="s">
        <v>9119</v>
      </c>
      <c r="S76" t="s">
        <v>8550</v>
      </c>
      <c r="T76" s="3" t="s">
        <v>9120</v>
      </c>
      <c r="U76" t="s">
        <v>6724</v>
      </c>
      <c r="V76" t="s">
        <v>6725</v>
      </c>
      <c r="W76" s="5"/>
    </row>
    <row r="77" spans="1:23" ht="45" x14ac:dyDescent="0.25">
      <c r="A77" t="s">
        <v>6764</v>
      </c>
      <c r="C77" t="s">
        <v>6766</v>
      </c>
      <c r="D77">
        <v>2023</v>
      </c>
      <c r="E77" s="3" t="s">
        <v>6765</v>
      </c>
      <c r="F77" t="s">
        <v>825</v>
      </c>
      <c r="G77" t="s">
        <v>57</v>
      </c>
      <c r="H77" t="s">
        <v>9121</v>
      </c>
      <c r="I77" t="s">
        <v>9122</v>
      </c>
      <c r="J77" t="s">
        <v>9123</v>
      </c>
      <c r="K77" t="s">
        <v>9124</v>
      </c>
      <c r="L77" t="s">
        <v>8556</v>
      </c>
      <c r="M77" t="s">
        <v>8535</v>
      </c>
      <c r="N77" t="s">
        <v>8536</v>
      </c>
      <c r="O77">
        <v>99</v>
      </c>
      <c r="P77" t="s">
        <v>9125</v>
      </c>
      <c r="Q77" t="s">
        <v>9126</v>
      </c>
      <c r="R77" s="3" t="s">
        <v>9127</v>
      </c>
      <c r="S77" t="s">
        <v>8540</v>
      </c>
      <c r="T77" s="3" t="s">
        <v>9128</v>
      </c>
      <c r="U77" t="s">
        <v>6767</v>
      </c>
      <c r="V77" t="s">
        <v>6768</v>
      </c>
      <c r="W77" s="5"/>
    </row>
    <row r="78" spans="1:23" ht="60" x14ac:dyDescent="0.25">
      <c r="A78" t="s">
        <v>6785</v>
      </c>
      <c r="C78" t="s">
        <v>6787</v>
      </c>
      <c r="D78">
        <v>2023</v>
      </c>
      <c r="E78" s="3" t="s">
        <v>6786</v>
      </c>
      <c r="F78" t="s">
        <v>750</v>
      </c>
      <c r="G78" t="s">
        <v>57</v>
      </c>
      <c r="H78" t="s">
        <v>9129</v>
      </c>
      <c r="I78" t="s">
        <v>8955</v>
      </c>
      <c r="J78" t="s">
        <v>9130</v>
      </c>
      <c r="K78" t="s">
        <v>9131</v>
      </c>
      <c r="L78" t="s">
        <v>8763</v>
      </c>
      <c r="M78" t="s">
        <v>8754</v>
      </c>
      <c r="N78" t="s">
        <v>9132</v>
      </c>
      <c r="O78">
        <v>38</v>
      </c>
      <c r="P78" t="s">
        <v>9133</v>
      </c>
      <c r="Q78" t="s">
        <v>9134</v>
      </c>
      <c r="R78" s="3" t="s">
        <v>9135</v>
      </c>
      <c r="S78" t="s">
        <v>8841</v>
      </c>
      <c r="T78" s="3" t="s">
        <v>9136</v>
      </c>
      <c r="U78" t="s">
        <v>6788</v>
      </c>
      <c r="V78" t="s">
        <v>6789</v>
      </c>
      <c r="W78" s="5"/>
    </row>
    <row r="79" spans="1:23" ht="45" x14ac:dyDescent="0.25">
      <c r="A79" t="s">
        <v>6908</v>
      </c>
      <c r="C79" t="s">
        <v>6910</v>
      </c>
      <c r="D79">
        <v>2023</v>
      </c>
      <c r="E79" s="3" t="s">
        <v>6909</v>
      </c>
      <c r="F79" t="s">
        <v>6911</v>
      </c>
      <c r="G79" t="s">
        <v>57</v>
      </c>
      <c r="H79" t="s">
        <v>9137</v>
      </c>
      <c r="I79" t="s">
        <v>8785</v>
      </c>
      <c r="J79" t="s">
        <v>9138</v>
      </c>
      <c r="K79" t="s">
        <v>8565</v>
      </c>
      <c r="L79" t="s">
        <v>8747</v>
      </c>
      <c r="M79" t="s">
        <v>8535</v>
      </c>
      <c r="N79" t="s">
        <v>8536</v>
      </c>
      <c r="O79" t="s">
        <v>8654</v>
      </c>
      <c r="P79" t="s">
        <v>8697</v>
      </c>
      <c r="Q79" t="s">
        <v>8708</v>
      </c>
      <c r="R79" s="3" t="s">
        <v>9139</v>
      </c>
      <c r="S79" t="s">
        <v>8540</v>
      </c>
      <c r="T79" s="3" t="s">
        <v>9140</v>
      </c>
      <c r="U79" t="s">
        <v>6912</v>
      </c>
      <c r="V79" t="s">
        <v>6913</v>
      </c>
      <c r="W79" s="5"/>
    </row>
    <row r="80" spans="1:23" ht="75" x14ac:dyDescent="0.25">
      <c r="A80" t="s">
        <v>6933</v>
      </c>
      <c r="C80" t="s">
        <v>6935</v>
      </c>
      <c r="D80">
        <v>2023</v>
      </c>
      <c r="E80" s="3" t="s">
        <v>6934</v>
      </c>
      <c r="F80" t="s">
        <v>3288</v>
      </c>
      <c r="G80" t="s">
        <v>67</v>
      </c>
      <c r="H80" t="s">
        <v>9141</v>
      </c>
      <c r="I80" t="s">
        <v>9023</v>
      </c>
      <c r="J80" t="s">
        <v>8979</v>
      </c>
      <c r="K80" t="s">
        <v>9039</v>
      </c>
      <c r="L80" t="s">
        <v>8763</v>
      </c>
      <c r="M80" t="s">
        <v>8535</v>
      </c>
      <c r="N80" t="s">
        <v>8780</v>
      </c>
      <c r="O80">
        <v>233</v>
      </c>
      <c r="P80" t="s">
        <v>9142</v>
      </c>
      <c r="Q80" t="s">
        <v>9040</v>
      </c>
      <c r="R80" s="3" t="s">
        <v>9143</v>
      </c>
      <c r="S80" t="s">
        <v>8569</v>
      </c>
      <c r="T80" s="3" t="s">
        <v>9144</v>
      </c>
      <c r="U80" t="s">
        <v>6936</v>
      </c>
      <c r="V80" t="s">
        <v>6937</v>
      </c>
      <c r="W80" s="5"/>
    </row>
    <row r="81" spans="1:23" ht="45" x14ac:dyDescent="0.25">
      <c r="A81" t="s">
        <v>6953</v>
      </c>
      <c r="C81" t="s">
        <v>6955</v>
      </c>
      <c r="D81">
        <v>2023</v>
      </c>
      <c r="E81" s="3" t="s">
        <v>6954</v>
      </c>
      <c r="F81" t="s">
        <v>578</v>
      </c>
      <c r="G81" t="s">
        <v>57</v>
      </c>
      <c r="H81" t="s">
        <v>9145</v>
      </c>
      <c r="I81" t="s">
        <v>9001</v>
      </c>
      <c r="J81" t="s">
        <v>8532</v>
      </c>
      <c r="K81" t="s">
        <v>9146</v>
      </c>
      <c r="L81" t="s">
        <v>8556</v>
      </c>
      <c r="M81" t="s">
        <v>9147</v>
      </c>
      <c r="N81" t="s">
        <v>8536</v>
      </c>
      <c r="O81">
        <v>372</v>
      </c>
      <c r="P81" t="s">
        <v>9148</v>
      </c>
      <c r="Q81" t="s">
        <v>8672</v>
      </c>
      <c r="R81" s="3" t="s">
        <v>9149</v>
      </c>
      <c r="S81" t="s">
        <v>8540</v>
      </c>
      <c r="T81" s="3" t="s">
        <v>9150</v>
      </c>
      <c r="U81" t="s">
        <v>6956</v>
      </c>
      <c r="V81" t="s">
        <v>6957</v>
      </c>
      <c r="W81" s="5"/>
    </row>
    <row r="82" spans="1:23" ht="30" x14ac:dyDescent="0.25">
      <c r="A82" t="s">
        <v>6963</v>
      </c>
      <c r="C82" t="s">
        <v>6965</v>
      </c>
      <c r="D82">
        <v>2023</v>
      </c>
      <c r="E82" s="3" t="s">
        <v>6964</v>
      </c>
      <c r="F82" t="s">
        <v>76</v>
      </c>
      <c r="G82" t="s">
        <v>67</v>
      </c>
      <c r="H82" t="s">
        <v>9151</v>
      </c>
      <c r="I82" t="s">
        <v>9152</v>
      </c>
      <c r="J82" t="s">
        <v>8599</v>
      </c>
      <c r="K82" t="s">
        <v>9153</v>
      </c>
      <c r="L82" t="s">
        <v>9154</v>
      </c>
      <c r="M82" t="s">
        <v>8535</v>
      </c>
      <c r="N82" t="s">
        <v>8780</v>
      </c>
      <c r="O82" t="s">
        <v>8654</v>
      </c>
      <c r="P82" t="s">
        <v>8655</v>
      </c>
      <c r="Q82" t="s">
        <v>9155</v>
      </c>
      <c r="R82" s="3" t="s">
        <v>9156</v>
      </c>
      <c r="S82" t="s">
        <v>8550</v>
      </c>
      <c r="T82" s="3" t="s">
        <v>9157</v>
      </c>
      <c r="U82" t="s">
        <v>6966</v>
      </c>
      <c r="V82" t="s">
        <v>6967</v>
      </c>
      <c r="W82" s="5"/>
    </row>
    <row r="83" spans="1:23" ht="30" x14ac:dyDescent="0.25">
      <c r="A83" t="s">
        <v>6987</v>
      </c>
      <c r="C83" t="s">
        <v>6989</v>
      </c>
      <c r="D83">
        <v>2023</v>
      </c>
      <c r="E83" s="3" t="s">
        <v>6988</v>
      </c>
      <c r="F83" t="s">
        <v>6815</v>
      </c>
      <c r="G83" t="s">
        <v>67</v>
      </c>
      <c r="H83" t="s">
        <v>9158</v>
      </c>
      <c r="I83" t="s">
        <v>9001</v>
      </c>
      <c r="J83" t="s">
        <v>8532</v>
      </c>
      <c r="K83" t="s">
        <v>9159</v>
      </c>
      <c r="L83" t="s">
        <v>8763</v>
      </c>
      <c r="M83" t="s">
        <v>9160</v>
      </c>
      <c r="N83" t="s">
        <v>8536</v>
      </c>
      <c r="O83">
        <v>108</v>
      </c>
      <c r="P83" t="s">
        <v>9161</v>
      </c>
      <c r="Q83" t="s">
        <v>9162</v>
      </c>
      <c r="R83" s="3" t="s">
        <v>9163</v>
      </c>
      <c r="S83" t="s">
        <v>8540</v>
      </c>
      <c r="T83" s="3" t="s">
        <v>9164</v>
      </c>
      <c r="U83" t="s">
        <v>6990</v>
      </c>
      <c r="V83" t="s">
        <v>6991</v>
      </c>
      <c r="W83" s="5"/>
    </row>
    <row r="84" spans="1:23" ht="45" x14ac:dyDescent="0.25">
      <c r="A84" t="s">
        <v>7138</v>
      </c>
      <c r="C84" t="s">
        <v>7140</v>
      </c>
      <c r="D84">
        <v>2023</v>
      </c>
      <c r="E84" s="3" t="s">
        <v>7139</v>
      </c>
      <c r="F84" t="s">
        <v>1803</v>
      </c>
      <c r="G84" t="s">
        <v>57</v>
      </c>
      <c r="H84" t="s">
        <v>9165</v>
      </c>
      <c r="I84" t="s">
        <v>9166</v>
      </c>
      <c r="J84" t="s">
        <v>9167</v>
      </c>
      <c r="K84" t="s">
        <v>9168</v>
      </c>
      <c r="L84" t="s">
        <v>8556</v>
      </c>
      <c r="M84" t="s">
        <v>8535</v>
      </c>
      <c r="N84" t="s">
        <v>8536</v>
      </c>
      <c r="O84">
        <v>1715</v>
      </c>
      <c r="P84" t="s">
        <v>9148</v>
      </c>
      <c r="Q84" t="s">
        <v>9169</v>
      </c>
      <c r="R84" s="3" t="s">
        <v>9170</v>
      </c>
      <c r="S84" t="s">
        <v>8550</v>
      </c>
      <c r="T84" s="3" t="s">
        <v>9171</v>
      </c>
      <c r="U84" t="s">
        <v>7141</v>
      </c>
      <c r="V84" t="s">
        <v>7142</v>
      </c>
      <c r="W84" s="5"/>
    </row>
    <row r="85" spans="1:23" ht="45" x14ac:dyDescent="0.25">
      <c r="A85" t="s">
        <v>7152</v>
      </c>
      <c r="C85" t="s">
        <v>6586</v>
      </c>
      <c r="D85">
        <v>2023</v>
      </c>
      <c r="E85" s="3" t="s">
        <v>7153</v>
      </c>
      <c r="F85" t="s">
        <v>7048</v>
      </c>
      <c r="G85" t="s">
        <v>67</v>
      </c>
      <c r="H85" t="s">
        <v>9172</v>
      </c>
      <c r="I85" t="s">
        <v>8553</v>
      </c>
      <c r="J85" t="s">
        <v>8607</v>
      </c>
      <c r="K85" t="s">
        <v>8565</v>
      </c>
      <c r="L85" t="s">
        <v>8763</v>
      </c>
      <c r="M85" t="s">
        <v>8754</v>
      </c>
      <c r="N85" t="s">
        <v>8950</v>
      </c>
      <c r="O85">
        <v>80</v>
      </c>
      <c r="P85" t="s">
        <v>8913</v>
      </c>
      <c r="Q85" t="s">
        <v>9173</v>
      </c>
      <c r="R85" s="3" t="s">
        <v>9174</v>
      </c>
      <c r="S85" t="s">
        <v>8550</v>
      </c>
      <c r="T85" s="3" t="s">
        <v>9175</v>
      </c>
      <c r="U85" t="s">
        <v>7154</v>
      </c>
      <c r="V85" t="s">
        <v>7155</v>
      </c>
      <c r="W85" s="5"/>
    </row>
    <row r="86" spans="1:23" ht="45" x14ac:dyDescent="0.25">
      <c r="A86" t="s">
        <v>7271</v>
      </c>
      <c r="C86" t="s">
        <v>1181</v>
      </c>
      <c r="D86">
        <v>2022</v>
      </c>
      <c r="E86" s="3" t="s">
        <v>7272</v>
      </c>
      <c r="F86" t="s">
        <v>3900</v>
      </c>
      <c r="G86" t="s">
        <v>67</v>
      </c>
      <c r="H86" t="s">
        <v>9176</v>
      </c>
      <c r="I86" t="s">
        <v>9177</v>
      </c>
      <c r="J86" t="s">
        <v>8607</v>
      </c>
      <c r="K86" t="s">
        <v>9111</v>
      </c>
      <c r="L86" t="s">
        <v>8556</v>
      </c>
      <c r="M86" t="s">
        <v>8535</v>
      </c>
      <c r="N86" t="s">
        <v>9178</v>
      </c>
      <c r="O86">
        <v>154</v>
      </c>
      <c r="P86" t="s">
        <v>8654</v>
      </c>
      <c r="Q86" t="s">
        <v>9179</v>
      </c>
      <c r="R86" s="3" t="s">
        <v>9180</v>
      </c>
      <c r="S86" t="s">
        <v>8540</v>
      </c>
      <c r="T86" s="3" t="s">
        <v>9181</v>
      </c>
      <c r="U86" t="s">
        <v>7273</v>
      </c>
      <c r="V86" t="s">
        <v>7274</v>
      </c>
      <c r="W86" s="5"/>
    </row>
    <row r="87" spans="1:23" ht="45" x14ac:dyDescent="0.25">
      <c r="A87" t="s">
        <v>7275</v>
      </c>
      <c r="C87" t="s">
        <v>7277</v>
      </c>
      <c r="D87">
        <v>2022</v>
      </c>
      <c r="E87" s="3" t="s">
        <v>7276</v>
      </c>
      <c r="F87" t="s">
        <v>418</v>
      </c>
      <c r="G87" t="s">
        <v>57</v>
      </c>
      <c r="H87" t="s">
        <v>9182</v>
      </c>
      <c r="I87" t="s">
        <v>9183</v>
      </c>
      <c r="J87" t="s">
        <v>9184</v>
      </c>
      <c r="K87" t="s">
        <v>8565</v>
      </c>
      <c r="L87" t="s">
        <v>9185</v>
      </c>
      <c r="M87" t="s">
        <v>9186</v>
      </c>
      <c r="N87" t="s">
        <v>9187</v>
      </c>
      <c r="O87" t="s">
        <v>8654</v>
      </c>
      <c r="P87" t="s">
        <v>8575</v>
      </c>
      <c r="Q87" t="s">
        <v>9188</v>
      </c>
      <c r="R87" s="3" t="s">
        <v>9189</v>
      </c>
      <c r="S87" t="s">
        <v>8540</v>
      </c>
      <c r="T87" s="3" t="s">
        <v>9190</v>
      </c>
      <c r="U87" t="s">
        <v>7278</v>
      </c>
      <c r="V87" t="s">
        <v>7279</v>
      </c>
      <c r="W87" s="5"/>
    </row>
    <row r="88" spans="1:23" ht="45" x14ac:dyDescent="0.25">
      <c r="A88" t="s">
        <v>7297</v>
      </c>
      <c r="C88" t="s">
        <v>2001</v>
      </c>
      <c r="D88">
        <v>2022</v>
      </c>
      <c r="E88" s="3" t="s">
        <v>7298</v>
      </c>
      <c r="F88" t="s">
        <v>7299</v>
      </c>
      <c r="G88" t="s">
        <v>57</v>
      </c>
      <c r="H88" t="s">
        <v>9191</v>
      </c>
      <c r="I88" t="s">
        <v>9023</v>
      </c>
      <c r="J88" t="s">
        <v>8979</v>
      </c>
      <c r="K88" t="s">
        <v>8739</v>
      </c>
      <c r="L88" t="s">
        <v>8763</v>
      </c>
      <c r="M88" t="s">
        <v>8535</v>
      </c>
      <c r="N88" t="s">
        <v>8764</v>
      </c>
      <c r="O88">
        <v>153</v>
      </c>
      <c r="P88" t="s">
        <v>8610</v>
      </c>
      <c r="Q88" t="s">
        <v>9192</v>
      </c>
      <c r="R88" s="3" t="s">
        <v>9193</v>
      </c>
      <c r="S88" t="s">
        <v>8569</v>
      </c>
      <c r="T88" s="3" t="s">
        <v>9194</v>
      </c>
      <c r="U88" t="s">
        <v>7300</v>
      </c>
      <c r="V88" t="s">
        <v>7301</v>
      </c>
      <c r="W88" s="5"/>
    </row>
    <row r="89" spans="1:23" ht="60" x14ac:dyDescent="0.25">
      <c r="A89" t="s">
        <v>7318</v>
      </c>
      <c r="C89" t="s">
        <v>7320</v>
      </c>
      <c r="D89">
        <v>2022</v>
      </c>
      <c r="E89" s="3" t="s">
        <v>7319</v>
      </c>
      <c r="F89" t="s">
        <v>750</v>
      </c>
      <c r="G89" t="s">
        <v>57</v>
      </c>
      <c r="H89" t="s">
        <v>9195</v>
      </c>
      <c r="I89" t="s">
        <v>8790</v>
      </c>
      <c r="J89" t="s">
        <v>9196</v>
      </c>
      <c r="K89" t="s">
        <v>8565</v>
      </c>
      <c r="L89" t="s">
        <v>8747</v>
      </c>
      <c r="M89" t="s">
        <v>8535</v>
      </c>
      <c r="N89" t="s">
        <v>8870</v>
      </c>
      <c r="O89" t="s">
        <v>8654</v>
      </c>
      <c r="P89" t="s">
        <v>8707</v>
      </c>
      <c r="Q89" t="s">
        <v>8672</v>
      </c>
      <c r="R89" s="3" t="s">
        <v>9197</v>
      </c>
      <c r="S89" t="s">
        <v>8841</v>
      </c>
      <c r="T89" s="3" t="s">
        <v>9198</v>
      </c>
      <c r="U89" t="s">
        <v>7321</v>
      </c>
      <c r="V89" t="s">
        <v>7322</v>
      </c>
      <c r="W89" s="5"/>
    </row>
    <row r="90" spans="1:23" ht="45" x14ac:dyDescent="0.25">
      <c r="A90" t="s">
        <v>7328</v>
      </c>
      <c r="C90" t="s">
        <v>7330</v>
      </c>
      <c r="D90">
        <v>2022</v>
      </c>
      <c r="E90" s="3" t="s">
        <v>7329</v>
      </c>
      <c r="F90" t="s">
        <v>7331</v>
      </c>
      <c r="G90" t="s">
        <v>57</v>
      </c>
      <c r="H90" t="s">
        <v>9199</v>
      </c>
      <c r="I90" t="s">
        <v>9200</v>
      </c>
      <c r="J90" t="s">
        <v>9201</v>
      </c>
      <c r="K90" t="s">
        <v>9202</v>
      </c>
      <c r="L90" t="s">
        <v>8763</v>
      </c>
      <c r="M90" t="s">
        <v>8754</v>
      </c>
      <c r="N90" t="s">
        <v>8536</v>
      </c>
      <c r="O90">
        <v>178</v>
      </c>
      <c r="P90" t="s">
        <v>9203</v>
      </c>
      <c r="Q90" t="s">
        <v>8645</v>
      </c>
      <c r="R90" s="3" t="s">
        <v>9204</v>
      </c>
      <c r="S90" t="s">
        <v>8569</v>
      </c>
      <c r="T90" s="3" t="s">
        <v>9205</v>
      </c>
      <c r="U90" t="s">
        <v>7332</v>
      </c>
      <c r="V90" t="s">
        <v>7333</v>
      </c>
      <c r="W90" s="5"/>
    </row>
    <row r="91" spans="1:23" ht="60" x14ac:dyDescent="0.25">
      <c r="A91" t="s">
        <v>7396</v>
      </c>
      <c r="C91" t="s">
        <v>7398</v>
      </c>
      <c r="D91">
        <v>2022</v>
      </c>
      <c r="E91" s="3" t="s">
        <v>7397</v>
      </c>
      <c r="F91" t="s">
        <v>7399</v>
      </c>
      <c r="G91" t="s">
        <v>57</v>
      </c>
      <c r="H91" t="s">
        <v>9206</v>
      </c>
      <c r="I91" t="s">
        <v>9207</v>
      </c>
      <c r="J91" t="s">
        <v>9208</v>
      </c>
      <c r="K91" t="s">
        <v>9209</v>
      </c>
      <c r="L91" t="s">
        <v>8763</v>
      </c>
      <c r="M91" t="s">
        <v>8754</v>
      </c>
      <c r="N91" t="s">
        <v>9210</v>
      </c>
      <c r="O91">
        <v>1024</v>
      </c>
      <c r="P91" t="s">
        <v>9211</v>
      </c>
      <c r="Q91" t="s">
        <v>9212</v>
      </c>
      <c r="R91" s="3" t="s">
        <v>9213</v>
      </c>
      <c r="S91" t="s">
        <v>8550</v>
      </c>
      <c r="T91" s="3" t="s">
        <v>9214</v>
      </c>
      <c r="U91" t="s">
        <v>7400</v>
      </c>
      <c r="V91" t="s">
        <v>7401</v>
      </c>
      <c r="W91" s="5"/>
    </row>
    <row r="92" spans="1:23" ht="45" x14ac:dyDescent="0.25">
      <c r="A92" t="s">
        <v>7407</v>
      </c>
      <c r="C92" t="s">
        <v>1181</v>
      </c>
      <c r="D92">
        <v>2022</v>
      </c>
      <c r="E92" s="3" t="s">
        <v>7408</v>
      </c>
      <c r="F92" t="s">
        <v>3900</v>
      </c>
      <c r="G92" t="s">
        <v>67</v>
      </c>
      <c r="H92" t="s">
        <v>9215</v>
      </c>
      <c r="I92" t="s">
        <v>9216</v>
      </c>
      <c r="J92" t="s">
        <v>8607</v>
      </c>
      <c r="K92" t="s">
        <v>8565</v>
      </c>
      <c r="L92" t="s">
        <v>9217</v>
      </c>
      <c r="M92" t="s">
        <v>8535</v>
      </c>
      <c r="N92" t="s">
        <v>8684</v>
      </c>
      <c r="O92">
        <v>107</v>
      </c>
      <c r="P92" t="s">
        <v>9218</v>
      </c>
      <c r="Q92" t="s">
        <v>9219</v>
      </c>
      <c r="R92" s="3" t="s">
        <v>9220</v>
      </c>
      <c r="S92" t="s">
        <v>8569</v>
      </c>
      <c r="T92" s="3" t="s">
        <v>9221</v>
      </c>
      <c r="U92" t="s">
        <v>7409</v>
      </c>
      <c r="V92" t="s">
        <v>7410</v>
      </c>
      <c r="W92" s="5"/>
    </row>
    <row r="93" spans="1:23" ht="60" x14ac:dyDescent="0.25">
      <c r="A93" t="s">
        <v>7453</v>
      </c>
      <c r="C93" t="s">
        <v>2001</v>
      </c>
      <c r="D93">
        <v>2022</v>
      </c>
      <c r="E93" s="3" t="s">
        <v>7454</v>
      </c>
      <c r="F93" t="s">
        <v>766</v>
      </c>
      <c r="G93" t="s">
        <v>57</v>
      </c>
      <c r="H93" t="s">
        <v>9222</v>
      </c>
      <c r="I93" t="s">
        <v>8553</v>
      </c>
      <c r="J93" t="s">
        <v>8564</v>
      </c>
      <c r="K93" t="s">
        <v>8565</v>
      </c>
      <c r="L93" t="s">
        <v>9217</v>
      </c>
      <c r="M93" t="s">
        <v>8535</v>
      </c>
      <c r="N93" t="s">
        <v>9105</v>
      </c>
      <c r="O93">
        <v>148</v>
      </c>
      <c r="P93" t="s">
        <v>9223</v>
      </c>
      <c r="Q93" t="s">
        <v>9224</v>
      </c>
      <c r="R93" s="3" t="s">
        <v>9225</v>
      </c>
      <c r="S93" t="s">
        <v>8550</v>
      </c>
      <c r="T93" s="3" t="s">
        <v>9226</v>
      </c>
      <c r="U93" t="s">
        <v>7455</v>
      </c>
      <c r="V93" t="s">
        <v>7456</v>
      </c>
      <c r="W93" s="5"/>
    </row>
    <row r="94" spans="1:23" ht="45" x14ac:dyDescent="0.25">
      <c r="A94" t="s">
        <v>7535</v>
      </c>
      <c r="C94" t="s">
        <v>1181</v>
      </c>
      <c r="D94">
        <v>2022</v>
      </c>
      <c r="E94" s="3" t="s">
        <v>7536</v>
      </c>
      <c r="F94" t="s">
        <v>578</v>
      </c>
      <c r="G94" t="s">
        <v>57</v>
      </c>
      <c r="H94" t="s">
        <v>9227</v>
      </c>
      <c r="I94" t="s">
        <v>8553</v>
      </c>
      <c r="J94" t="s">
        <v>8590</v>
      </c>
      <c r="K94" t="s">
        <v>8565</v>
      </c>
      <c r="L94" t="s">
        <v>9217</v>
      </c>
      <c r="M94" t="s">
        <v>8535</v>
      </c>
      <c r="N94" t="s">
        <v>8536</v>
      </c>
      <c r="O94">
        <v>83</v>
      </c>
      <c r="P94" t="s">
        <v>8855</v>
      </c>
      <c r="Q94" t="s">
        <v>9228</v>
      </c>
      <c r="R94" s="3" t="s">
        <v>9229</v>
      </c>
      <c r="S94" t="s">
        <v>8550</v>
      </c>
      <c r="T94" s="3" t="s">
        <v>9230</v>
      </c>
      <c r="U94" t="s">
        <v>7537</v>
      </c>
      <c r="V94" t="s">
        <v>7538</v>
      </c>
      <c r="W94" s="5"/>
    </row>
    <row r="95" spans="1:23" ht="60" x14ac:dyDescent="0.25">
      <c r="A95" t="s">
        <v>7585</v>
      </c>
      <c r="C95" t="s">
        <v>6787</v>
      </c>
      <c r="D95">
        <v>2021</v>
      </c>
      <c r="E95" s="3" t="s">
        <v>7586</v>
      </c>
      <c r="F95" t="s">
        <v>418</v>
      </c>
      <c r="G95" t="s">
        <v>57</v>
      </c>
      <c r="H95" t="s">
        <v>9231</v>
      </c>
      <c r="I95" t="s">
        <v>9232</v>
      </c>
      <c r="J95" t="s">
        <v>9233</v>
      </c>
      <c r="K95" t="s">
        <v>9234</v>
      </c>
      <c r="L95" t="s">
        <v>8763</v>
      </c>
      <c r="M95" t="s">
        <v>8754</v>
      </c>
      <c r="N95" t="s">
        <v>8684</v>
      </c>
      <c r="O95">
        <v>30</v>
      </c>
      <c r="P95" t="s">
        <v>9235</v>
      </c>
      <c r="Q95" t="s">
        <v>8672</v>
      </c>
      <c r="R95" s="3" t="s">
        <v>9236</v>
      </c>
      <c r="S95" t="s">
        <v>8841</v>
      </c>
      <c r="T95" s="3" t="s">
        <v>9237</v>
      </c>
      <c r="U95" t="s">
        <v>7587</v>
      </c>
      <c r="V95" t="s">
        <v>7588</v>
      </c>
      <c r="W95" s="5"/>
    </row>
    <row r="96" spans="1:23" ht="45" x14ac:dyDescent="0.25">
      <c r="A96" t="s">
        <v>7605</v>
      </c>
      <c r="C96" t="s">
        <v>7607</v>
      </c>
      <c r="D96">
        <v>2021</v>
      </c>
      <c r="E96" s="3" t="s">
        <v>7606</v>
      </c>
      <c r="F96" t="s">
        <v>3664</v>
      </c>
      <c r="G96" t="s">
        <v>57</v>
      </c>
      <c r="H96" t="s">
        <v>9238</v>
      </c>
      <c r="I96" t="s">
        <v>9239</v>
      </c>
      <c r="J96" t="s">
        <v>9016</v>
      </c>
      <c r="K96" t="s">
        <v>9240</v>
      </c>
      <c r="L96" t="s">
        <v>8747</v>
      </c>
      <c r="M96" t="s">
        <v>8535</v>
      </c>
      <c r="N96" t="s">
        <v>8536</v>
      </c>
      <c r="O96">
        <v>180</v>
      </c>
      <c r="P96" t="s">
        <v>8575</v>
      </c>
      <c r="Q96" t="s">
        <v>8672</v>
      </c>
      <c r="R96" s="3" t="s">
        <v>9241</v>
      </c>
      <c r="S96" t="s">
        <v>8550</v>
      </c>
      <c r="T96" s="3" t="s">
        <v>9242</v>
      </c>
      <c r="U96" t="s">
        <v>7608</v>
      </c>
      <c r="V96" t="s">
        <v>7609</v>
      </c>
      <c r="W96" s="5"/>
    </row>
    <row r="97" spans="1:23" ht="30" x14ac:dyDescent="0.25">
      <c r="A97" t="s">
        <v>7610</v>
      </c>
      <c r="C97" t="s">
        <v>7612</v>
      </c>
      <c r="D97">
        <v>2021</v>
      </c>
      <c r="E97" s="3" t="s">
        <v>7611</v>
      </c>
      <c r="F97" t="s">
        <v>7613</v>
      </c>
      <c r="G97" t="s">
        <v>57</v>
      </c>
      <c r="H97" t="s">
        <v>9243</v>
      </c>
      <c r="I97" t="s">
        <v>9244</v>
      </c>
      <c r="J97" t="s">
        <v>8607</v>
      </c>
      <c r="K97" t="s">
        <v>9245</v>
      </c>
      <c r="L97" t="s">
        <v>8763</v>
      </c>
      <c r="M97" t="s">
        <v>8652</v>
      </c>
      <c r="N97" t="s">
        <v>8950</v>
      </c>
      <c r="O97" t="s">
        <v>8654</v>
      </c>
      <c r="P97" t="s">
        <v>8655</v>
      </c>
      <c r="Q97" t="s">
        <v>9246</v>
      </c>
      <c r="R97" s="3" t="s">
        <v>9247</v>
      </c>
      <c r="S97" t="s">
        <v>8550</v>
      </c>
      <c r="T97" s="3" t="s">
        <v>9248</v>
      </c>
      <c r="U97" t="s">
        <v>7614</v>
      </c>
      <c r="V97" t="s">
        <v>7615</v>
      </c>
      <c r="W97" s="5"/>
    </row>
    <row r="98" spans="1:23" ht="45" x14ac:dyDescent="0.25">
      <c r="A98" t="s">
        <v>7616</v>
      </c>
      <c r="C98" t="s">
        <v>7618</v>
      </c>
      <c r="D98">
        <v>2021</v>
      </c>
      <c r="E98" s="3" t="s">
        <v>7617</v>
      </c>
      <c r="F98" t="s">
        <v>750</v>
      </c>
      <c r="G98" t="s">
        <v>57</v>
      </c>
      <c r="H98" t="s">
        <v>9249</v>
      </c>
      <c r="I98" t="s">
        <v>9250</v>
      </c>
      <c r="J98" t="s">
        <v>8607</v>
      </c>
      <c r="K98" t="s">
        <v>9251</v>
      </c>
      <c r="L98" t="s">
        <v>9252</v>
      </c>
      <c r="M98" t="s">
        <v>8535</v>
      </c>
      <c r="N98" t="s">
        <v>9253</v>
      </c>
      <c r="O98">
        <v>47</v>
      </c>
      <c r="P98" t="s">
        <v>8654</v>
      </c>
      <c r="Q98" t="s">
        <v>9254</v>
      </c>
      <c r="R98" s="3" t="s">
        <v>9255</v>
      </c>
      <c r="S98" t="s">
        <v>8540</v>
      </c>
      <c r="T98" s="3" t="s">
        <v>9256</v>
      </c>
      <c r="U98" t="s">
        <v>7619</v>
      </c>
      <c r="V98" t="s">
        <v>7620</v>
      </c>
      <c r="W98" s="5"/>
    </row>
    <row r="99" spans="1:23" ht="45" x14ac:dyDescent="0.25">
      <c r="A99" t="s">
        <v>7646</v>
      </c>
      <c r="C99" t="s">
        <v>7648</v>
      </c>
      <c r="D99">
        <v>2021</v>
      </c>
      <c r="E99" s="3" t="s">
        <v>7647</v>
      </c>
      <c r="F99" t="s">
        <v>750</v>
      </c>
      <c r="G99" t="s">
        <v>57</v>
      </c>
      <c r="H99" t="s">
        <v>9257</v>
      </c>
      <c r="I99" t="s">
        <v>8615</v>
      </c>
      <c r="J99" t="s">
        <v>9258</v>
      </c>
      <c r="K99" t="s">
        <v>9259</v>
      </c>
      <c r="L99" t="s">
        <v>9217</v>
      </c>
      <c r="M99" t="s">
        <v>8535</v>
      </c>
      <c r="N99" t="s">
        <v>8870</v>
      </c>
      <c r="O99">
        <v>181</v>
      </c>
      <c r="P99" t="s">
        <v>8575</v>
      </c>
      <c r="Q99" t="s">
        <v>9260</v>
      </c>
      <c r="R99" s="3" t="s">
        <v>9261</v>
      </c>
      <c r="S99" t="s">
        <v>8569</v>
      </c>
      <c r="T99" s="3" t="s">
        <v>9262</v>
      </c>
      <c r="U99" t="s">
        <v>7649</v>
      </c>
      <c r="V99" t="s">
        <v>7650</v>
      </c>
      <c r="W99" s="5"/>
    </row>
    <row r="100" spans="1:23" ht="45" x14ac:dyDescent="0.25">
      <c r="A100" t="s">
        <v>7706</v>
      </c>
      <c r="C100" t="s">
        <v>5897</v>
      </c>
      <c r="D100">
        <v>2021</v>
      </c>
      <c r="E100" s="3" t="s">
        <v>7707</v>
      </c>
      <c r="F100" t="s">
        <v>7708</v>
      </c>
      <c r="G100" t="s">
        <v>57</v>
      </c>
      <c r="H100" t="s">
        <v>9263</v>
      </c>
      <c r="I100" t="s">
        <v>9264</v>
      </c>
      <c r="J100" t="s">
        <v>9265</v>
      </c>
      <c r="K100" t="s">
        <v>9266</v>
      </c>
      <c r="L100" t="s">
        <v>8763</v>
      </c>
      <c r="M100" t="s">
        <v>9267</v>
      </c>
      <c r="N100" t="s">
        <v>9268</v>
      </c>
      <c r="O100">
        <v>70</v>
      </c>
      <c r="P100" t="s">
        <v>8566</v>
      </c>
      <c r="Q100" t="s">
        <v>9269</v>
      </c>
      <c r="R100" s="3" t="s">
        <v>9264</v>
      </c>
      <c r="S100" t="s">
        <v>8550</v>
      </c>
      <c r="T100" s="3" t="s">
        <v>9270</v>
      </c>
      <c r="U100" t="s">
        <v>7709</v>
      </c>
      <c r="V100" t="s">
        <v>7710</v>
      </c>
      <c r="W100" s="5"/>
    </row>
    <row r="101" spans="1:23" ht="60" x14ac:dyDescent="0.25">
      <c r="A101" t="s">
        <v>7844</v>
      </c>
      <c r="C101" t="s">
        <v>6293</v>
      </c>
      <c r="D101">
        <v>2021</v>
      </c>
      <c r="E101" s="3" t="s">
        <v>7845</v>
      </c>
      <c r="F101" t="s">
        <v>7846</v>
      </c>
      <c r="G101" t="s">
        <v>57</v>
      </c>
      <c r="H101" t="s">
        <v>9271</v>
      </c>
      <c r="I101" t="s">
        <v>9272</v>
      </c>
      <c r="J101" t="s">
        <v>9273</v>
      </c>
      <c r="K101" t="s">
        <v>9274</v>
      </c>
      <c r="L101" t="s">
        <v>8556</v>
      </c>
      <c r="M101" t="s">
        <v>8535</v>
      </c>
      <c r="N101" t="s">
        <v>8684</v>
      </c>
      <c r="O101">
        <v>46</v>
      </c>
      <c r="P101" t="s">
        <v>8566</v>
      </c>
      <c r="Q101" t="s">
        <v>9275</v>
      </c>
      <c r="R101" s="3" t="s">
        <v>9276</v>
      </c>
      <c r="S101" t="s">
        <v>8550</v>
      </c>
      <c r="T101" s="3" t="s">
        <v>9277</v>
      </c>
      <c r="U101" t="s">
        <v>7847</v>
      </c>
      <c r="V101" t="s">
        <v>7848</v>
      </c>
      <c r="W101" s="5"/>
    </row>
    <row r="102" spans="1:23" ht="30" x14ac:dyDescent="0.25">
      <c r="A102" t="s">
        <v>8019</v>
      </c>
      <c r="C102" t="s">
        <v>4026</v>
      </c>
      <c r="D102">
        <v>2020</v>
      </c>
      <c r="E102" s="3" t="s">
        <v>8020</v>
      </c>
      <c r="F102" t="s">
        <v>7846</v>
      </c>
      <c r="G102" t="s">
        <v>57</v>
      </c>
      <c r="H102" t="s">
        <v>9278</v>
      </c>
      <c r="I102" t="s">
        <v>9279</v>
      </c>
      <c r="J102" t="s">
        <v>9280</v>
      </c>
      <c r="K102" t="s">
        <v>8565</v>
      </c>
      <c r="L102" t="s">
        <v>8556</v>
      </c>
      <c r="M102" t="s">
        <v>8535</v>
      </c>
      <c r="N102" t="s">
        <v>8536</v>
      </c>
      <c r="O102">
        <v>41</v>
      </c>
      <c r="P102" t="s">
        <v>8566</v>
      </c>
      <c r="Q102" t="s">
        <v>9281</v>
      </c>
      <c r="R102" s="3" t="s">
        <v>9282</v>
      </c>
      <c r="S102" t="s">
        <v>8550</v>
      </c>
      <c r="T102" s="3" t="s">
        <v>9283</v>
      </c>
      <c r="U102" t="s">
        <v>8021</v>
      </c>
      <c r="V102" t="s">
        <v>8022</v>
      </c>
      <c r="W102" s="5"/>
    </row>
    <row r="103" spans="1:23" ht="30" x14ac:dyDescent="0.25">
      <c r="A103" t="s">
        <v>8028</v>
      </c>
      <c r="C103" t="s">
        <v>8030</v>
      </c>
      <c r="D103">
        <v>2020</v>
      </c>
      <c r="E103" s="3" t="s">
        <v>8029</v>
      </c>
      <c r="F103" t="s">
        <v>3288</v>
      </c>
      <c r="G103" t="s">
        <v>67</v>
      </c>
      <c r="H103" t="s">
        <v>9284</v>
      </c>
      <c r="I103" t="s">
        <v>9285</v>
      </c>
      <c r="J103" t="s">
        <v>8607</v>
      </c>
      <c r="K103" t="s">
        <v>9286</v>
      </c>
      <c r="L103" t="s">
        <v>9287</v>
      </c>
      <c r="M103" t="s">
        <v>9288</v>
      </c>
      <c r="N103" t="s">
        <v>9289</v>
      </c>
      <c r="O103">
        <v>10</v>
      </c>
      <c r="P103" t="s">
        <v>9290</v>
      </c>
      <c r="Q103" t="s">
        <v>9291</v>
      </c>
      <c r="R103" s="3" t="s">
        <v>9292</v>
      </c>
      <c r="S103" t="s">
        <v>8550</v>
      </c>
      <c r="T103" s="3" t="s">
        <v>9293</v>
      </c>
      <c r="U103" t="s">
        <v>8031</v>
      </c>
      <c r="V103" t="s">
        <v>8032</v>
      </c>
      <c r="W103" s="5"/>
    </row>
    <row r="104" spans="1:23" ht="30" x14ac:dyDescent="0.25">
      <c r="A104" t="s">
        <v>8071</v>
      </c>
      <c r="C104" t="s">
        <v>8073</v>
      </c>
      <c r="D104">
        <v>2020</v>
      </c>
      <c r="E104" s="3" t="s">
        <v>8072</v>
      </c>
      <c r="F104" t="s">
        <v>84</v>
      </c>
      <c r="G104" t="s">
        <v>67</v>
      </c>
      <c r="H104" t="s">
        <v>9294</v>
      </c>
      <c r="I104" t="s">
        <v>9295</v>
      </c>
      <c r="J104" t="s">
        <v>9296</v>
      </c>
      <c r="K104" t="s">
        <v>9297</v>
      </c>
      <c r="L104" t="s">
        <v>8763</v>
      </c>
      <c r="M104" t="s">
        <v>9147</v>
      </c>
      <c r="N104" t="s">
        <v>9298</v>
      </c>
      <c r="O104">
        <v>24</v>
      </c>
      <c r="P104" t="s">
        <v>9299</v>
      </c>
      <c r="Q104" t="s">
        <v>9179</v>
      </c>
      <c r="R104" s="3" t="s">
        <v>9110</v>
      </c>
      <c r="S104" t="s">
        <v>8550</v>
      </c>
      <c r="T104" s="3" t="s">
        <v>9300</v>
      </c>
      <c r="U104" t="s">
        <v>8074</v>
      </c>
      <c r="V104" t="s">
        <v>8075</v>
      </c>
      <c r="W104" s="5"/>
    </row>
    <row r="105" spans="1:23" ht="30" x14ac:dyDescent="0.25">
      <c r="A105" t="s">
        <v>8076</v>
      </c>
      <c r="C105" t="s">
        <v>8078</v>
      </c>
      <c r="D105">
        <v>2020</v>
      </c>
      <c r="E105" s="3" t="s">
        <v>8077</v>
      </c>
      <c r="F105" t="s">
        <v>6495</v>
      </c>
      <c r="G105" t="s">
        <v>67</v>
      </c>
      <c r="H105" t="s">
        <v>9301</v>
      </c>
      <c r="I105" t="s">
        <v>9302</v>
      </c>
      <c r="J105" t="s">
        <v>8995</v>
      </c>
      <c r="K105" t="s">
        <v>9303</v>
      </c>
      <c r="L105" t="s">
        <v>8763</v>
      </c>
      <c r="M105" t="s">
        <v>8535</v>
      </c>
      <c r="N105" t="s">
        <v>8715</v>
      </c>
      <c r="O105" t="s">
        <v>8654</v>
      </c>
      <c r="P105" t="s">
        <v>8913</v>
      </c>
      <c r="Q105" t="s">
        <v>9304</v>
      </c>
      <c r="R105" s="3" t="s">
        <v>9305</v>
      </c>
      <c r="S105" t="s">
        <v>8550</v>
      </c>
      <c r="T105" s="3" t="s">
        <v>9175</v>
      </c>
      <c r="U105" t="s">
        <v>8079</v>
      </c>
      <c r="V105" t="s">
        <v>8080</v>
      </c>
      <c r="W105" s="5"/>
    </row>
    <row r="106" spans="1:23" ht="45" x14ac:dyDescent="0.25">
      <c r="A106" t="s">
        <v>8127</v>
      </c>
      <c r="C106" t="s">
        <v>2194</v>
      </c>
      <c r="D106">
        <v>2020</v>
      </c>
      <c r="E106" s="3" t="s">
        <v>8128</v>
      </c>
      <c r="F106" t="s">
        <v>8129</v>
      </c>
      <c r="G106" t="s">
        <v>57</v>
      </c>
      <c r="H106" t="s">
        <v>9306</v>
      </c>
      <c r="I106" t="s">
        <v>9085</v>
      </c>
      <c r="J106" t="s">
        <v>9307</v>
      </c>
      <c r="K106" t="s">
        <v>8565</v>
      </c>
      <c r="L106" t="s">
        <v>8556</v>
      </c>
      <c r="M106" t="s">
        <v>9087</v>
      </c>
      <c r="N106" t="s">
        <v>8536</v>
      </c>
      <c r="O106">
        <v>197</v>
      </c>
      <c r="P106" t="s">
        <v>8883</v>
      </c>
      <c r="Q106" t="s">
        <v>9169</v>
      </c>
      <c r="R106" s="3" t="s">
        <v>9308</v>
      </c>
      <c r="S106" t="s">
        <v>8540</v>
      </c>
      <c r="T106" s="3" t="s">
        <v>9309</v>
      </c>
      <c r="U106" t="s">
        <v>8130</v>
      </c>
      <c r="V106" t="s">
        <v>8131</v>
      </c>
      <c r="W106" s="5"/>
    </row>
    <row r="107" spans="1:23" ht="45" x14ac:dyDescent="0.25">
      <c r="A107" t="s">
        <v>8132</v>
      </c>
      <c r="C107" t="s">
        <v>8134</v>
      </c>
      <c r="D107">
        <v>2020</v>
      </c>
      <c r="E107" s="3" t="s">
        <v>8133</v>
      </c>
      <c r="F107" t="s">
        <v>766</v>
      </c>
      <c r="G107" t="s">
        <v>57</v>
      </c>
      <c r="H107" t="s">
        <v>9310</v>
      </c>
      <c r="I107" t="s">
        <v>9311</v>
      </c>
      <c r="J107" t="s">
        <v>8761</v>
      </c>
      <c r="K107" t="s">
        <v>9312</v>
      </c>
      <c r="L107" t="s">
        <v>8556</v>
      </c>
      <c r="M107" t="s">
        <v>8535</v>
      </c>
      <c r="N107" t="s">
        <v>9313</v>
      </c>
      <c r="O107">
        <v>112</v>
      </c>
      <c r="P107" t="s">
        <v>9314</v>
      </c>
      <c r="Q107" t="s">
        <v>9315</v>
      </c>
      <c r="R107" s="3" t="s">
        <v>9316</v>
      </c>
      <c r="S107" t="s">
        <v>8550</v>
      </c>
      <c r="T107" s="3" t="s">
        <v>9317</v>
      </c>
      <c r="U107" t="s">
        <v>8135</v>
      </c>
      <c r="V107" t="s">
        <v>8136</v>
      </c>
      <c r="W107" s="5"/>
    </row>
    <row r="108" spans="1:23" x14ac:dyDescent="0.25">
      <c r="A108" t="s">
        <v>8167</v>
      </c>
      <c r="C108" t="s">
        <v>95</v>
      </c>
      <c r="D108">
        <v>2019</v>
      </c>
      <c r="E108" s="3" t="s">
        <v>8168</v>
      </c>
      <c r="F108" t="s">
        <v>84</v>
      </c>
      <c r="G108" t="s">
        <v>67</v>
      </c>
      <c r="H108" t="s">
        <v>9318</v>
      </c>
      <c r="I108" t="s">
        <v>9319</v>
      </c>
      <c r="J108" t="s">
        <v>8607</v>
      </c>
      <c r="K108" t="s">
        <v>9319</v>
      </c>
      <c r="L108" t="s">
        <v>8763</v>
      </c>
      <c r="M108" t="s">
        <v>8535</v>
      </c>
      <c r="N108" t="s">
        <v>8780</v>
      </c>
      <c r="O108" t="s">
        <v>8654</v>
      </c>
      <c r="P108" t="s">
        <v>8913</v>
      </c>
      <c r="Q108" t="s">
        <v>9320</v>
      </c>
      <c r="R108" s="3" t="s">
        <v>9319</v>
      </c>
      <c r="S108" t="s">
        <v>8550</v>
      </c>
      <c r="T108" s="3" t="s">
        <v>9321</v>
      </c>
      <c r="U108" t="s">
        <v>8169</v>
      </c>
      <c r="V108" t="s">
        <v>8170</v>
      </c>
      <c r="W108" s="5"/>
    </row>
    <row r="109" spans="1:23" ht="60" x14ac:dyDescent="0.25">
      <c r="A109" t="s">
        <v>8233</v>
      </c>
      <c r="C109" t="s">
        <v>8235</v>
      </c>
      <c r="D109">
        <v>2019</v>
      </c>
      <c r="E109" s="3" t="s">
        <v>8234</v>
      </c>
      <c r="F109" t="s">
        <v>1803</v>
      </c>
      <c r="G109" t="s">
        <v>57</v>
      </c>
      <c r="H109" t="s">
        <v>9322</v>
      </c>
      <c r="I109" t="s">
        <v>9323</v>
      </c>
      <c r="J109" t="s">
        <v>9324</v>
      </c>
      <c r="K109" t="s">
        <v>9111</v>
      </c>
      <c r="L109" t="s">
        <v>8556</v>
      </c>
      <c r="M109" t="s">
        <v>9147</v>
      </c>
      <c r="N109" t="s">
        <v>9325</v>
      </c>
      <c r="O109" t="s">
        <v>8654</v>
      </c>
      <c r="P109" t="s">
        <v>9326</v>
      </c>
      <c r="Q109" t="s">
        <v>9327</v>
      </c>
      <c r="R109" s="3" t="s">
        <v>9328</v>
      </c>
      <c r="S109" t="s">
        <v>8540</v>
      </c>
      <c r="T109" s="3" t="s">
        <v>9329</v>
      </c>
      <c r="U109" t="s">
        <v>8236</v>
      </c>
      <c r="V109" t="s">
        <v>8237</v>
      </c>
      <c r="W109" s="5"/>
    </row>
    <row r="110" spans="1:23" ht="30" x14ac:dyDescent="0.25">
      <c r="A110" t="s">
        <v>8244</v>
      </c>
      <c r="C110" t="s">
        <v>8246</v>
      </c>
      <c r="D110">
        <v>2019</v>
      </c>
      <c r="E110" s="3" t="s">
        <v>8245</v>
      </c>
      <c r="F110" t="s">
        <v>8194</v>
      </c>
      <c r="G110" t="s">
        <v>67</v>
      </c>
      <c r="H110" t="s">
        <v>9330</v>
      </c>
      <c r="I110" t="s">
        <v>9331</v>
      </c>
      <c r="J110" t="s">
        <v>8607</v>
      </c>
      <c r="K110" t="s">
        <v>9332</v>
      </c>
      <c r="L110" t="s">
        <v>8763</v>
      </c>
      <c r="M110" t="s">
        <v>8754</v>
      </c>
      <c r="N110" t="s">
        <v>8780</v>
      </c>
      <c r="O110" t="s">
        <v>8654</v>
      </c>
      <c r="P110" t="s">
        <v>8655</v>
      </c>
      <c r="Q110" t="s">
        <v>9333</v>
      </c>
      <c r="R110" s="3" t="s">
        <v>9334</v>
      </c>
      <c r="S110" t="s">
        <v>8550</v>
      </c>
      <c r="T110" s="3" t="s">
        <v>9335</v>
      </c>
      <c r="U110" t="s">
        <v>8247</v>
      </c>
      <c r="V110" t="s">
        <v>8248</v>
      </c>
      <c r="W110" s="5"/>
    </row>
    <row r="111" spans="1:23" ht="60" x14ac:dyDescent="0.25">
      <c r="A111" t="s">
        <v>8261</v>
      </c>
      <c r="C111" t="s">
        <v>8263</v>
      </c>
      <c r="D111">
        <v>2018</v>
      </c>
      <c r="E111" s="3" t="s">
        <v>8262</v>
      </c>
      <c r="F111" t="s">
        <v>418</v>
      </c>
      <c r="G111" t="s">
        <v>57</v>
      </c>
      <c r="H111" t="s">
        <v>9336</v>
      </c>
      <c r="I111" t="s">
        <v>9337</v>
      </c>
      <c r="J111" t="s">
        <v>9338</v>
      </c>
      <c r="K111" t="s">
        <v>9339</v>
      </c>
      <c r="L111" t="s">
        <v>8763</v>
      </c>
      <c r="M111" t="s">
        <v>8754</v>
      </c>
      <c r="N111" t="s">
        <v>8592</v>
      </c>
      <c r="O111">
        <v>454</v>
      </c>
      <c r="P111" t="s">
        <v>8654</v>
      </c>
      <c r="Q111" t="s">
        <v>8951</v>
      </c>
      <c r="R111" s="3" t="s">
        <v>9340</v>
      </c>
      <c r="S111" t="s">
        <v>8550</v>
      </c>
      <c r="T111" s="3" t="s">
        <v>9341</v>
      </c>
      <c r="U111" t="s">
        <v>8264</v>
      </c>
      <c r="V111" t="s">
        <v>8265</v>
      </c>
      <c r="W111" s="5"/>
    </row>
    <row r="112" spans="1:23" ht="45" x14ac:dyDescent="0.25">
      <c r="A112" t="s">
        <v>8341</v>
      </c>
      <c r="C112" t="s">
        <v>8343</v>
      </c>
      <c r="D112">
        <v>2018</v>
      </c>
      <c r="E112" s="3" t="s">
        <v>8342</v>
      </c>
      <c r="F112" t="s">
        <v>418</v>
      </c>
      <c r="G112" t="s">
        <v>57</v>
      </c>
      <c r="H112" t="s">
        <v>9257</v>
      </c>
      <c r="I112" t="s">
        <v>8881</v>
      </c>
      <c r="J112" t="s">
        <v>9342</v>
      </c>
      <c r="K112" t="s">
        <v>9343</v>
      </c>
      <c r="L112" t="s">
        <v>9217</v>
      </c>
      <c r="M112" t="s">
        <v>8535</v>
      </c>
      <c r="N112" t="s">
        <v>8536</v>
      </c>
      <c r="O112">
        <v>75</v>
      </c>
      <c r="P112" t="s">
        <v>9344</v>
      </c>
      <c r="Q112" t="s">
        <v>9345</v>
      </c>
      <c r="R112" s="3" t="s">
        <v>9346</v>
      </c>
      <c r="S112" t="s">
        <v>8550</v>
      </c>
      <c r="T112" s="3" t="s">
        <v>9347</v>
      </c>
      <c r="U112" t="s">
        <v>8344</v>
      </c>
      <c r="V112" t="s">
        <v>8345</v>
      </c>
      <c r="W112" s="5"/>
    </row>
    <row r="113" spans="1:23" ht="30" x14ac:dyDescent="0.25">
      <c r="A113" t="s">
        <v>8362</v>
      </c>
      <c r="C113" t="s">
        <v>8364</v>
      </c>
      <c r="D113">
        <v>2017</v>
      </c>
      <c r="E113" s="3" t="s">
        <v>8363</v>
      </c>
      <c r="F113" t="s">
        <v>578</v>
      </c>
      <c r="G113" t="s">
        <v>57</v>
      </c>
      <c r="H113" t="s">
        <v>9348</v>
      </c>
      <c r="I113" t="s">
        <v>9349</v>
      </c>
      <c r="J113" t="s">
        <v>9350</v>
      </c>
      <c r="K113" t="s">
        <v>9351</v>
      </c>
      <c r="L113" t="s">
        <v>8556</v>
      </c>
      <c r="M113" t="s">
        <v>8535</v>
      </c>
      <c r="N113" t="s">
        <v>8870</v>
      </c>
      <c r="O113">
        <v>28</v>
      </c>
      <c r="P113" t="s">
        <v>8913</v>
      </c>
      <c r="Q113" t="s">
        <v>8672</v>
      </c>
      <c r="R113" s="3" t="s">
        <v>9352</v>
      </c>
      <c r="S113" t="s">
        <v>8550</v>
      </c>
      <c r="T113" s="3" t="s">
        <v>9353</v>
      </c>
      <c r="U113" t="s">
        <v>8365</v>
      </c>
      <c r="V113" t="s">
        <v>8366</v>
      </c>
      <c r="W113" s="5"/>
    </row>
    <row r="114" spans="1:23" ht="60" x14ac:dyDescent="0.25">
      <c r="A114" t="s">
        <v>8380</v>
      </c>
      <c r="C114" t="s">
        <v>8382</v>
      </c>
      <c r="D114">
        <v>2017</v>
      </c>
      <c r="E114" s="3" t="s">
        <v>8381</v>
      </c>
      <c r="F114" t="s">
        <v>418</v>
      </c>
      <c r="G114" t="s">
        <v>57</v>
      </c>
      <c r="H114" t="s">
        <v>9354</v>
      </c>
      <c r="I114" t="s">
        <v>8881</v>
      </c>
      <c r="J114" t="s">
        <v>9342</v>
      </c>
      <c r="K114" t="s">
        <v>8565</v>
      </c>
      <c r="L114" t="s">
        <v>8747</v>
      </c>
      <c r="M114" t="s">
        <v>8535</v>
      </c>
      <c r="N114" t="s">
        <v>8536</v>
      </c>
      <c r="O114">
        <v>70</v>
      </c>
      <c r="P114" t="s">
        <v>8913</v>
      </c>
      <c r="Q114" t="s">
        <v>9345</v>
      </c>
      <c r="R114" s="3" t="s">
        <v>9346</v>
      </c>
      <c r="S114" t="s">
        <v>8550</v>
      </c>
      <c r="T114" s="3" t="s">
        <v>9355</v>
      </c>
      <c r="U114" t="s">
        <v>8383</v>
      </c>
      <c r="V114" t="s">
        <v>8384</v>
      </c>
      <c r="W114" s="5"/>
    </row>
    <row r="115" spans="1:23" ht="30" x14ac:dyDescent="0.25">
      <c r="A115" t="s">
        <v>8421</v>
      </c>
      <c r="C115" t="s">
        <v>7755</v>
      </c>
      <c r="D115">
        <v>2016</v>
      </c>
      <c r="E115" s="3" t="s">
        <v>8422</v>
      </c>
      <c r="F115" t="s">
        <v>2029</v>
      </c>
      <c r="G115" t="s">
        <v>67</v>
      </c>
      <c r="H115" t="s">
        <v>9356</v>
      </c>
      <c r="I115" t="s">
        <v>9357</v>
      </c>
      <c r="J115" t="s">
        <v>8607</v>
      </c>
      <c r="K115" t="s">
        <v>9358</v>
      </c>
      <c r="L115" t="s">
        <v>8763</v>
      </c>
      <c r="M115" t="s">
        <v>8754</v>
      </c>
      <c r="N115" t="s">
        <v>9359</v>
      </c>
      <c r="O115">
        <v>37</v>
      </c>
      <c r="P115" t="s">
        <v>8610</v>
      </c>
      <c r="Q115" t="s">
        <v>9360</v>
      </c>
      <c r="R115" s="3" t="s">
        <v>9361</v>
      </c>
      <c r="S115" t="s">
        <v>8540</v>
      </c>
      <c r="T115" s="3" t="s">
        <v>9362</v>
      </c>
      <c r="U115" t="s">
        <v>8423</v>
      </c>
      <c r="V115" t="s">
        <v>8424</v>
      </c>
      <c r="W115" s="5"/>
    </row>
    <row r="116" spans="1:23" ht="45" x14ac:dyDescent="0.25">
      <c r="A116" t="s">
        <v>8431</v>
      </c>
      <c r="C116" t="s">
        <v>8433</v>
      </c>
      <c r="D116">
        <v>2016</v>
      </c>
      <c r="E116" s="3" t="s">
        <v>8432</v>
      </c>
      <c r="F116" t="s">
        <v>8434</v>
      </c>
      <c r="G116" t="s">
        <v>57</v>
      </c>
      <c r="H116" t="s">
        <v>9363</v>
      </c>
      <c r="I116" t="s">
        <v>8553</v>
      </c>
      <c r="J116" t="s">
        <v>9364</v>
      </c>
      <c r="K116" t="s">
        <v>9365</v>
      </c>
      <c r="L116" t="s">
        <v>8763</v>
      </c>
      <c r="M116" t="s">
        <v>8754</v>
      </c>
      <c r="N116" t="s">
        <v>8870</v>
      </c>
      <c r="O116">
        <v>27</v>
      </c>
      <c r="P116" t="s">
        <v>8566</v>
      </c>
      <c r="Q116" t="s">
        <v>8645</v>
      </c>
      <c r="R116" s="3" t="s">
        <v>9366</v>
      </c>
      <c r="S116" t="s">
        <v>8841</v>
      </c>
      <c r="T116" s="3" t="s">
        <v>9367</v>
      </c>
      <c r="U116" t="s">
        <v>8435</v>
      </c>
      <c r="V116" t="s">
        <v>8436</v>
      </c>
      <c r="W116" s="5"/>
    </row>
  </sheetData>
  <autoFilter ref="A1:W1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60" customWidth="1"/>
    <col min="3" max="3" width="7" customWidth="1"/>
    <col min="4" max="4" width="11" customWidth="1"/>
    <col min="5" max="5" width="16" customWidth="1"/>
    <col min="6" max="6" width="24" customWidth="1"/>
    <col min="7" max="7" width="18" customWidth="1"/>
    <col min="8" max="8" width="26" customWidth="1"/>
    <col min="9" max="9" width="24" customWidth="1"/>
    <col min="10" max="11" width="20" customWidth="1"/>
    <col min="12" max="13" width="10" customWidth="1"/>
  </cols>
  <sheetData>
    <row r="1" spans="1:13" ht="30" x14ac:dyDescent="0.25">
      <c r="A1" s="4" t="s">
        <v>38</v>
      </c>
      <c r="B1" s="4" t="s">
        <v>39</v>
      </c>
      <c r="C1" s="4" t="s">
        <v>41</v>
      </c>
      <c r="D1" s="4" t="s">
        <v>42</v>
      </c>
      <c r="E1" s="4" t="s">
        <v>43</v>
      </c>
      <c r="F1" s="4" t="s">
        <v>9368</v>
      </c>
      <c r="G1" s="4" t="s">
        <v>9369</v>
      </c>
      <c r="H1" s="4" t="s">
        <v>9370</v>
      </c>
      <c r="I1" s="4" t="s">
        <v>9371</v>
      </c>
      <c r="J1" s="4" t="s">
        <v>9372</v>
      </c>
      <c r="K1" s="4" t="s">
        <v>9373</v>
      </c>
      <c r="L1" s="4" t="s">
        <v>47</v>
      </c>
      <c r="M1" s="4" t="s">
        <v>9374</v>
      </c>
    </row>
    <row r="2" spans="1:13" x14ac:dyDescent="0.25">
      <c r="A2" t="s">
        <v>53</v>
      </c>
      <c r="B2" t="s">
        <v>54</v>
      </c>
      <c r="C2">
        <v>2027</v>
      </c>
      <c r="D2" t="s">
        <v>56</v>
      </c>
      <c r="E2" t="s">
        <v>57</v>
      </c>
      <c r="F2" t="s">
        <v>8955</v>
      </c>
      <c r="G2" t="s">
        <v>9375</v>
      </c>
      <c r="H2" t="s">
        <v>916</v>
      </c>
      <c r="I2" t="s">
        <v>9376</v>
      </c>
      <c r="J2" t="s">
        <v>8535</v>
      </c>
      <c r="K2" t="s">
        <v>9377</v>
      </c>
      <c r="L2" t="s">
        <v>61</v>
      </c>
      <c r="M2" t="s">
        <v>63</v>
      </c>
    </row>
    <row r="3" spans="1:13" x14ac:dyDescent="0.25">
      <c r="A3" t="s">
        <v>93</v>
      </c>
      <c r="B3" t="s">
        <v>94</v>
      </c>
      <c r="C3">
        <v>2026</v>
      </c>
      <c r="D3" t="s">
        <v>56</v>
      </c>
      <c r="E3" t="s">
        <v>67</v>
      </c>
      <c r="F3" t="s">
        <v>8955</v>
      </c>
      <c r="G3" t="s">
        <v>9378</v>
      </c>
      <c r="H3" t="s">
        <v>8565</v>
      </c>
      <c r="I3" t="s">
        <v>9376</v>
      </c>
      <c r="J3" t="s">
        <v>9379</v>
      </c>
      <c r="K3" t="s">
        <v>9380</v>
      </c>
      <c r="L3" t="s">
        <v>98</v>
      </c>
      <c r="M3" t="s">
        <v>72</v>
      </c>
    </row>
    <row r="4" spans="1:13" x14ac:dyDescent="0.25">
      <c r="A4" t="s">
        <v>137</v>
      </c>
      <c r="B4" t="s">
        <v>138</v>
      </c>
      <c r="C4">
        <v>2026</v>
      </c>
      <c r="D4" t="s">
        <v>56</v>
      </c>
      <c r="E4" t="s">
        <v>57</v>
      </c>
      <c r="F4" t="s">
        <v>9381</v>
      </c>
      <c r="G4" t="s">
        <v>9382</v>
      </c>
      <c r="H4" t="s">
        <v>8565</v>
      </c>
      <c r="I4" t="s">
        <v>9376</v>
      </c>
      <c r="J4" t="s">
        <v>8535</v>
      </c>
      <c r="K4" t="s">
        <v>9383</v>
      </c>
      <c r="L4" t="s">
        <v>98</v>
      </c>
      <c r="M4" t="s">
        <v>72</v>
      </c>
    </row>
    <row r="5" spans="1:13" x14ac:dyDescent="0.25">
      <c r="A5" t="s">
        <v>159</v>
      </c>
      <c r="B5" t="s">
        <v>160</v>
      </c>
      <c r="C5">
        <v>2026</v>
      </c>
      <c r="D5" t="s">
        <v>56</v>
      </c>
      <c r="E5" t="s">
        <v>57</v>
      </c>
      <c r="F5" t="s">
        <v>9384</v>
      </c>
      <c r="G5" t="s">
        <v>9382</v>
      </c>
      <c r="H5" t="s">
        <v>8565</v>
      </c>
      <c r="I5" t="s">
        <v>9385</v>
      </c>
      <c r="J5" t="s">
        <v>9379</v>
      </c>
      <c r="K5" t="s">
        <v>9386</v>
      </c>
      <c r="L5" t="s">
        <v>165</v>
      </c>
      <c r="M5" t="s">
        <v>72</v>
      </c>
    </row>
    <row r="6" spans="1:13" x14ac:dyDescent="0.25">
      <c r="A6" t="s">
        <v>167</v>
      </c>
      <c r="B6" t="s">
        <v>168</v>
      </c>
      <c r="C6">
        <v>2026</v>
      </c>
      <c r="D6" t="s">
        <v>56</v>
      </c>
      <c r="E6" t="s">
        <v>67</v>
      </c>
      <c r="F6" t="s">
        <v>9387</v>
      </c>
      <c r="G6" t="s">
        <v>9388</v>
      </c>
      <c r="H6" t="s">
        <v>8739</v>
      </c>
      <c r="I6" t="s">
        <v>9389</v>
      </c>
      <c r="J6" t="s">
        <v>9390</v>
      </c>
      <c r="K6" t="s">
        <v>9391</v>
      </c>
      <c r="L6" t="s">
        <v>98</v>
      </c>
      <c r="M6" t="s">
        <v>72</v>
      </c>
    </row>
    <row r="7" spans="1:13" x14ac:dyDescent="0.25">
      <c r="A7" t="s">
        <v>197</v>
      </c>
      <c r="B7" t="s">
        <v>198</v>
      </c>
      <c r="C7">
        <v>2026</v>
      </c>
      <c r="D7" t="s">
        <v>56</v>
      </c>
      <c r="E7" t="s">
        <v>57</v>
      </c>
      <c r="F7" t="s">
        <v>9387</v>
      </c>
      <c r="G7" t="s">
        <v>9388</v>
      </c>
      <c r="H7" t="s">
        <v>8565</v>
      </c>
      <c r="I7" t="s">
        <v>9392</v>
      </c>
      <c r="J7" t="s">
        <v>8535</v>
      </c>
      <c r="K7" t="s">
        <v>9377</v>
      </c>
      <c r="L7" t="s">
        <v>61</v>
      </c>
      <c r="M7" t="s">
        <v>63</v>
      </c>
    </row>
    <row r="8" spans="1:13" x14ac:dyDescent="0.25">
      <c r="A8" t="s">
        <v>288</v>
      </c>
      <c r="B8" t="s">
        <v>289</v>
      </c>
      <c r="C8">
        <v>2026</v>
      </c>
      <c r="D8" t="s">
        <v>56</v>
      </c>
      <c r="E8" t="s">
        <v>57</v>
      </c>
      <c r="F8" t="s">
        <v>9393</v>
      </c>
      <c r="G8" t="s">
        <v>9375</v>
      </c>
      <c r="H8" t="s">
        <v>8565</v>
      </c>
      <c r="I8" t="s">
        <v>9389</v>
      </c>
      <c r="J8" t="s">
        <v>8652</v>
      </c>
      <c r="K8" t="s">
        <v>9386</v>
      </c>
      <c r="L8" t="s">
        <v>165</v>
      </c>
      <c r="M8" t="s">
        <v>72</v>
      </c>
    </row>
    <row r="9" spans="1:13" x14ac:dyDescent="0.25">
      <c r="A9" t="s">
        <v>294</v>
      </c>
      <c r="B9" t="s">
        <v>295</v>
      </c>
      <c r="C9">
        <v>2026</v>
      </c>
      <c r="D9" t="s">
        <v>56</v>
      </c>
      <c r="E9" t="s">
        <v>67</v>
      </c>
      <c r="F9" t="s">
        <v>9393</v>
      </c>
      <c r="G9" t="s">
        <v>9375</v>
      </c>
      <c r="H9" t="s">
        <v>9394</v>
      </c>
      <c r="I9" t="s">
        <v>9395</v>
      </c>
      <c r="J9" t="s">
        <v>8652</v>
      </c>
      <c r="K9" t="s">
        <v>9391</v>
      </c>
      <c r="L9" t="s">
        <v>98</v>
      </c>
      <c r="M9" t="s">
        <v>72</v>
      </c>
    </row>
    <row r="10" spans="1:13" x14ac:dyDescent="0.25">
      <c r="A10" t="s">
        <v>299</v>
      </c>
      <c r="B10" t="s">
        <v>300</v>
      </c>
      <c r="C10">
        <v>2026</v>
      </c>
      <c r="D10" t="s">
        <v>56</v>
      </c>
      <c r="E10" t="s">
        <v>57</v>
      </c>
      <c r="F10" t="s">
        <v>9381</v>
      </c>
      <c r="G10" t="s">
        <v>9375</v>
      </c>
      <c r="H10" t="s">
        <v>9396</v>
      </c>
      <c r="I10" t="s">
        <v>9395</v>
      </c>
      <c r="J10" t="s">
        <v>9397</v>
      </c>
      <c r="K10" t="s">
        <v>9383</v>
      </c>
      <c r="L10" t="s">
        <v>98</v>
      </c>
      <c r="M10" t="s">
        <v>72</v>
      </c>
    </row>
    <row r="11" spans="1:13" x14ac:dyDescent="0.25">
      <c r="A11" t="s">
        <v>317</v>
      </c>
      <c r="B11" t="s">
        <v>318</v>
      </c>
      <c r="C11">
        <v>2026</v>
      </c>
      <c r="D11" t="s">
        <v>56</v>
      </c>
      <c r="E11" t="s">
        <v>57</v>
      </c>
      <c r="F11" t="s">
        <v>9393</v>
      </c>
      <c r="G11" t="s">
        <v>9382</v>
      </c>
      <c r="H11" t="s">
        <v>8565</v>
      </c>
      <c r="I11" t="s">
        <v>9389</v>
      </c>
      <c r="J11" t="s">
        <v>8535</v>
      </c>
      <c r="K11" t="s">
        <v>9386</v>
      </c>
      <c r="L11" t="s">
        <v>165</v>
      </c>
      <c r="M11" t="s">
        <v>72</v>
      </c>
    </row>
    <row r="12" spans="1:13" x14ac:dyDescent="0.25">
      <c r="A12" t="s">
        <v>359</v>
      </c>
      <c r="B12" t="s">
        <v>360</v>
      </c>
      <c r="C12">
        <v>2026</v>
      </c>
      <c r="D12" t="s">
        <v>56</v>
      </c>
      <c r="E12" t="s">
        <v>67</v>
      </c>
      <c r="F12" t="s">
        <v>9387</v>
      </c>
      <c r="G12" t="s">
        <v>9375</v>
      </c>
      <c r="H12" t="s">
        <v>8565</v>
      </c>
      <c r="I12" t="s">
        <v>9392</v>
      </c>
      <c r="J12" t="s">
        <v>9397</v>
      </c>
      <c r="K12" t="s">
        <v>9386</v>
      </c>
      <c r="L12" t="s">
        <v>165</v>
      </c>
      <c r="M12" t="s">
        <v>72</v>
      </c>
    </row>
    <row r="13" spans="1:13" x14ac:dyDescent="0.25">
      <c r="A13" t="s">
        <v>365</v>
      </c>
      <c r="B13" t="s">
        <v>366</v>
      </c>
      <c r="C13">
        <v>2026</v>
      </c>
      <c r="D13" t="s">
        <v>56</v>
      </c>
      <c r="E13" t="s">
        <v>57</v>
      </c>
      <c r="F13" t="s">
        <v>9393</v>
      </c>
      <c r="G13" t="s">
        <v>9388</v>
      </c>
      <c r="H13" t="s">
        <v>8565</v>
      </c>
      <c r="I13" t="s">
        <v>9392</v>
      </c>
      <c r="J13" t="s">
        <v>8652</v>
      </c>
      <c r="K13" t="s">
        <v>9377</v>
      </c>
      <c r="L13" t="s">
        <v>61</v>
      </c>
      <c r="M13" t="s">
        <v>63</v>
      </c>
    </row>
    <row r="14" spans="1:13" x14ac:dyDescent="0.25">
      <c r="A14" t="s">
        <v>382</v>
      </c>
      <c r="B14" t="s">
        <v>383</v>
      </c>
      <c r="C14">
        <v>2026</v>
      </c>
      <c r="D14" t="s">
        <v>56</v>
      </c>
      <c r="E14" t="s">
        <v>67</v>
      </c>
      <c r="F14" t="s">
        <v>9384</v>
      </c>
      <c r="G14" t="s">
        <v>8761</v>
      </c>
      <c r="H14" t="s">
        <v>8565</v>
      </c>
      <c r="I14" t="s">
        <v>9392</v>
      </c>
      <c r="J14" t="s">
        <v>8535</v>
      </c>
      <c r="K14" t="s">
        <v>9380</v>
      </c>
      <c r="L14" t="s">
        <v>98</v>
      </c>
      <c r="M14" t="s">
        <v>72</v>
      </c>
    </row>
    <row r="15" spans="1:13" x14ac:dyDescent="0.25">
      <c r="A15" t="s">
        <v>431</v>
      </c>
      <c r="B15" t="s">
        <v>432</v>
      </c>
      <c r="C15">
        <v>2026</v>
      </c>
      <c r="D15" t="s">
        <v>56</v>
      </c>
      <c r="E15" t="s">
        <v>57</v>
      </c>
      <c r="F15" t="s">
        <v>9393</v>
      </c>
      <c r="G15" t="s">
        <v>9388</v>
      </c>
      <c r="H15" t="s">
        <v>8565</v>
      </c>
      <c r="I15" t="s">
        <v>9376</v>
      </c>
      <c r="J15" t="s">
        <v>8535</v>
      </c>
      <c r="K15" t="s">
        <v>9377</v>
      </c>
      <c r="L15" t="s">
        <v>61</v>
      </c>
      <c r="M15" t="s">
        <v>63</v>
      </c>
    </row>
    <row r="16" spans="1:13" x14ac:dyDescent="0.25">
      <c r="A16" t="s">
        <v>536</v>
      </c>
      <c r="B16" t="s">
        <v>537</v>
      </c>
      <c r="C16">
        <v>2026</v>
      </c>
      <c r="D16" t="s">
        <v>56</v>
      </c>
      <c r="E16" t="s">
        <v>57</v>
      </c>
      <c r="F16" t="s">
        <v>9387</v>
      </c>
      <c r="G16" t="s">
        <v>9375</v>
      </c>
      <c r="H16" t="s">
        <v>9396</v>
      </c>
      <c r="I16" t="s">
        <v>9389</v>
      </c>
      <c r="J16" t="s">
        <v>8535</v>
      </c>
      <c r="K16" t="s">
        <v>9380</v>
      </c>
      <c r="L16" t="s">
        <v>98</v>
      </c>
      <c r="M16" t="s">
        <v>72</v>
      </c>
    </row>
    <row r="17" spans="1:13" x14ac:dyDescent="0.25">
      <c r="A17" t="s">
        <v>559</v>
      </c>
      <c r="B17" t="s">
        <v>560</v>
      </c>
      <c r="C17">
        <v>2026</v>
      </c>
      <c r="D17" t="s">
        <v>56</v>
      </c>
      <c r="E17" t="s">
        <v>67</v>
      </c>
      <c r="F17" t="s">
        <v>9393</v>
      </c>
      <c r="G17" t="s">
        <v>9375</v>
      </c>
      <c r="H17" t="s">
        <v>916</v>
      </c>
      <c r="I17" t="s">
        <v>9389</v>
      </c>
      <c r="J17" t="s">
        <v>8652</v>
      </c>
      <c r="K17" t="s">
        <v>9386</v>
      </c>
      <c r="L17" t="s">
        <v>165</v>
      </c>
      <c r="M17" t="s">
        <v>72</v>
      </c>
    </row>
    <row r="18" spans="1:13" x14ac:dyDescent="0.25">
      <c r="A18" t="s">
        <v>575</v>
      </c>
      <c r="B18" t="s">
        <v>576</v>
      </c>
      <c r="C18">
        <v>2026</v>
      </c>
      <c r="D18" t="s">
        <v>56</v>
      </c>
      <c r="E18" t="s">
        <v>57</v>
      </c>
      <c r="F18" t="s">
        <v>9398</v>
      </c>
      <c r="G18" t="s">
        <v>9388</v>
      </c>
      <c r="H18" t="s">
        <v>8565</v>
      </c>
      <c r="I18" t="s">
        <v>9392</v>
      </c>
      <c r="J18" t="s">
        <v>8535</v>
      </c>
      <c r="K18" t="s">
        <v>9377</v>
      </c>
      <c r="L18" t="s">
        <v>61</v>
      </c>
      <c r="M18" t="s">
        <v>63</v>
      </c>
    </row>
    <row r="19" spans="1:13" x14ac:dyDescent="0.25">
      <c r="A19" t="s">
        <v>599</v>
      </c>
      <c r="B19" t="s">
        <v>600</v>
      </c>
      <c r="C19">
        <v>2026</v>
      </c>
      <c r="D19" t="s">
        <v>56</v>
      </c>
      <c r="E19" t="s">
        <v>67</v>
      </c>
      <c r="F19" t="s">
        <v>9387</v>
      </c>
      <c r="G19" t="s">
        <v>9388</v>
      </c>
      <c r="H19" t="s">
        <v>8739</v>
      </c>
      <c r="I19" t="s">
        <v>9389</v>
      </c>
      <c r="J19" t="s">
        <v>8535</v>
      </c>
      <c r="K19" t="s">
        <v>9380</v>
      </c>
      <c r="L19" t="s">
        <v>98</v>
      </c>
      <c r="M19" t="s">
        <v>72</v>
      </c>
    </row>
    <row r="20" spans="1:13" x14ac:dyDescent="0.25">
      <c r="A20" t="s">
        <v>616</v>
      </c>
      <c r="B20" t="s">
        <v>617</v>
      </c>
      <c r="C20">
        <v>2026</v>
      </c>
      <c r="D20" t="s">
        <v>56</v>
      </c>
      <c r="E20" t="s">
        <v>57</v>
      </c>
      <c r="F20" t="s">
        <v>9398</v>
      </c>
      <c r="G20" t="s">
        <v>9388</v>
      </c>
      <c r="H20" t="s">
        <v>3217</v>
      </c>
      <c r="I20" t="s">
        <v>9392</v>
      </c>
      <c r="J20" t="s">
        <v>8535</v>
      </c>
      <c r="K20" t="s">
        <v>9377</v>
      </c>
      <c r="L20" t="s">
        <v>61</v>
      </c>
      <c r="M20" t="s">
        <v>63</v>
      </c>
    </row>
    <row r="21" spans="1:13" x14ac:dyDescent="0.25">
      <c r="A21" t="s">
        <v>621</v>
      </c>
      <c r="B21" t="s">
        <v>622</v>
      </c>
      <c r="C21">
        <v>2026</v>
      </c>
      <c r="D21" t="s">
        <v>56</v>
      </c>
      <c r="E21" t="s">
        <v>57</v>
      </c>
      <c r="F21" t="s">
        <v>9393</v>
      </c>
      <c r="G21" t="s">
        <v>9375</v>
      </c>
      <c r="H21" t="s">
        <v>8565</v>
      </c>
      <c r="I21" t="s">
        <v>9395</v>
      </c>
      <c r="J21" t="s">
        <v>8535</v>
      </c>
      <c r="K21" t="s">
        <v>9391</v>
      </c>
      <c r="L21" t="s">
        <v>627</v>
      </c>
      <c r="M21" t="s">
        <v>72</v>
      </c>
    </row>
    <row r="22" spans="1:13" x14ac:dyDescent="0.25">
      <c r="A22" t="s">
        <v>736</v>
      </c>
      <c r="B22" t="s">
        <v>737</v>
      </c>
      <c r="C22">
        <v>2026</v>
      </c>
      <c r="D22" t="s">
        <v>56</v>
      </c>
      <c r="E22" t="s">
        <v>57</v>
      </c>
      <c r="F22" t="s">
        <v>9393</v>
      </c>
      <c r="G22" t="s">
        <v>9388</v>
      </c>
      <c r="H22" t="s">
        <v>8565</v>
      </c>
      <c r="I22" t="s">
        <v>9385</v>
      </c>
      <c r="J22" t="s">
        <v>8535</v>
      </c>
      <c r="K22" t="s">
        <v>9386</v>
      </c>
      <c r="L22" t="s">
        <v>165</v>
      </c>
      <c r="M22" t="s">
        <v>72</v>
      </c>
    </row>
    <row r="23" spans="1:13" x14ac:dyDescent="0.25">
      <c r="A23" t="s">
        <v>747</v>
      </c>
      <c r="B23" t="s">
        <v>748</v>
      </c>
      <c r="C23">
        <v>2026</v>
      </c>
      <c r="D23" t="s">
        <v>56</v>
      </c>
      <c r="E23" t="s">
        <v>57</v>
      </c>
      <c r="F23" t="s">
        <v>9393</v>
      </c>
      <c r="G23" t="s">
        <v>9375</v>
      </c>
      <c r="H23" t="s">
        <v>8565</v>
      </c>
      <c r="I23" t="s">
        <v>9389</v>
      </c>
      <c r="J23" t="s">
        <v>8535</v>
      </c>
      <c r="K23" t="s">
        <v>9386</v>
      </c>
      <c r="L23" t="s">
        <v>165</v>
      </c>
      <c r="M23" t="s">
        <v>72</v>
      </c>
    </row>
    <row r="24" spans="1:13" x14ac:dyDescent="0.25">
      <c r="A24" t="s">
        <v>775</v>
      </c>
      <c r="B24" t="s">
        <v>776</v>
      </c>
      <c r="C24">
        <v>2026</v>
      </c>
      <c r="D24" t="s">
        <v>56</v>
      </c>
      <c r="E24" t="s">
        <v>57</v>
      </c>
      <c r="F24" t="s">
        <v>9399</v>
      </c>
      <c r="G24" t="s">
        <v>9375</v>
      </c>
      <c r="H24" t="s">
        <v>9396</v>
      </c>
      <c r="I24" t="s">
        <v>9376</v>
      </c>
      <c r="J24" t="s">
        <v>8535</v>
      </c>
      <c r="K24" t="s">
        <v>9400</v>
      </c>
      <c r="L24" t="s">
        <v>61</v>
      </c>
      <c r="M24" t="s">
        <v>63</v>
      </c>
    </row>
    <row r="25" spans="1:13" x14ac:dyDescent="0.25">
      <c r="A25" t="s">
        <v>818</v>
      </c>
      <c r="B25" t="s">
        <v>819</v>
      </c>
      <c r="C25">
        <v>2026</v>
      </c>
      <c r="D25" t="s">
        <v>56</v>
      </c>
      <c r="E25" t="s">
        <v>57</v>
      </c>
      <c r="F25" t="s">
        <v>9381</v>
      </c>
      <c r="G25" t="s">
        <v>9375</v>
      </c>
      <c r="H25" t="s">
        <v>9319</v>
      </c>
      <c r="I25" t="s">
        <v>9376</v>
      </c>
      <c r="J25" t="s">
        <v>8535</v>
      </c>
      <c r="K25" t="s">
        <v>9377</v>
      </c>
      <c r="L25" t="s">
        <v>61</v>
      </c>
      <c r="M25" t="s">
        <v>63</v>
      </c>
    </row>
    <row r="26" spans="1:13" x14ac:dyDescent="0.25">
      <c r="A26" t="s">
        <v>850</v>
      </c>
      <c r="B26" t="s">
        <v>851</v>
      </c>
      <c r="C26">
        <v>2026</v>
      </c>
      <c r="D26" t="s">
        <v>56</v>
      </c>
      <c r="E26" t="s">
        <v>57</v>
      </c>
      <c r="F26" t="s">
        <v>9387</v>
      </c>
      <c r="G26" t="s">
        <v>9388</v>
      </c>
      <c r="H26" t="s">
        <v>8565</v>
      </c>
      <c r="I26" t="s">
        <v>9395</v>
      </c>
      <c r="J26" t="s">
        <v>8535</v>
      </c>
      <c r="K26" t="s">
        <v>9391</v>
      </c>
      <c r="L26" t="s">
        <v>98</v>
      </c>
      <c r="M26" t="s">
        <v>72</v>
      </c>
    </row>
    <row r="27" spans="1:13" x14ac:dyDescent="0.25">
      <c r="A27" t="s">
        <v>913</v>
      </c>
      <c r="B27" t="s">
        <v>914</v>
      </c>
      <c r="C27">
        <v>2026</v>
      </c>
      <c r="D27" t="s">
        <v>56</v>
      </c>
      <c r="E27" t="s">
        <v>57</v>
      </c>
      <c r="F27" t="s">
        <v>9387</v>
      </c>
      <c r="G27" t="s">
        <v>9388</v>
      </c>
      <c r="H27" t="s">
        <v>916</v>
      </c>
      <c r="I27" t="s">
        <v>9376</v>
      </c>
      <c r="J27" t="s">
        <v>8535</v>
      </c>
      <c r="K27" t="s">
        <v>9377</v>
      </c>
      <c r="L27" t="s">
        <v>61</v>
      </c>
      <c r="M27" t="s">
        <v>63</v>
      </c>
    </row>
    <row r="28" spans="1:13" x14ac:dyDescent="0.25">
      <c r="A28" t="s">
        <v>929</v>
      </c>
      <c r="B28" t="s">
        <v>930</v>
      </c>
      <c r="C28">
        <v>2026</v>
      </c>
      <c r="D28" t="s">
        <v>56</v>
      </c>
      <c r="E28" t="s">
        <v>57</v>
      </c>
      <c r="F28" t="s">
        <v>9393</v>
      </c>
      <c r="G28" t="s">
        <v>9388</v>
      </c>
      <c r="H28" t="s">
        <v>9394</v>
      </c>
      <c r="I28" t="s">
        <v>9376</v>
      </c>
      <c r="J28" t="s">
        <v>8535</v>
      </c>
      <c r="K28" t="s">
        <v>9377</v>
      </c>
      <c r="L28" t="s">
        <v>61</v>
      </c>
      <c r="M28" t="s">
        <v>63</v>
      </c>
    </row>
    <row r="29" spans="1:13" x14ac:dyDescent="0.25">
      <c r="A29" t="s">
        <v>946</v>
      </c>
      <c r="B29" t="s">
        <v>947</v>
      </c>
      <c r="C29">
        <v>2026</v>
      </c>
      <c r="D29" t="s">
        <v>56</v>
      </c>
      <c r="E29" t="s">
        <v>57</v>
      </c>
      <c r="F29" t="s">
        <v>9387</v>
      </c>
      <c r="G29" t="s">
        <v>9388</v>
      </c>
      <c r="H29" t="s">
        <v>8565</v>
      </c>
      <c r="I29" t="s">
        <v>9389</v>
      </c>
      <c r="J29" t="s">
        <v>8535</v>
      </c>
      <c r="K29" t="s">
        <v>9391</v>
      </c>
      <c r="L29" t="s">
        <v>98</v>
      </c>
      <c r="M29" t="s">
        <v>72</v>
      </c>
    </row>
    <row r="30" spans="1:13" x14ac:dyDescent="0.25">
      <c r="A30" t="s">
        <v>999</v>
      </c>
      <c r="B30" t="s">
        <v>1000</v>
      </c>
      <c r="C30">
        <v>2026</v>
      </c>
      <c r="D30" t="s">
        <v>56</v>
      </c>
      <c r="E30" t="s">
        <v>67</v>
      </c>
      <c r="F30" t="s">
        <v>9387</v>
      </c>
      <c r="G30" t="s">
        <v>9388</v>
      </c>
      <c r="H30" t="s">
        <v>9401</v>
      </c>
      <c r="I30" t="s">
        <v>9376</v>
      </c>
      <c r="J30" t="s">
        <v>8535</v>
      </c>
      <c r="K30" t="s">
        <v>9380</v>
      </c>
      <c r="L30" t="s">
        <v>98</v>
      </c>
      <c r="M30" t="s">
        <v>72</v>
      </c>
    </row>
    <row r="31" spans="1:13" x14ac:dyDescent="0.25">
      <c r="A31" t="s">
        <v>1084</v>
      </c>
      <c r="B31" t="s">
        <v>1085</v>
      </c>
      <c r="C31">
        <v>2026</v>
      </c>
      <c r="D31" t="s">
        <v>56</v>
      </c>
      <c r="E31" t="s">
        <v>57</v>
      </c>
      <c r="F31" t="s">
        <v>9393</v>
      </c>
      <c r="G31" t="s">
        <v>9402</v>
      </c>
      <c r="H31" t="s">
        <v>8739</v>
      </c>
      <c r="I31" t="s">
        <v>9154</v>
      </c>
      <c r="J31" t="s">
        <v>8535</v>
      </c>
      <c r="K31" t="s">
        <v>9386</v>
      </c>
      <c r="L31" t="s">
        <v>165</v>
      </c>
      <c r="M31" t="s">
        <v>72</v>
      </c>
    </row>
    <row r="32" spans="1:13" x14ac:dyDescent="0.25">
      <c r="A32" t="s">
        <v>1110</v>
      </c>
      <c r="B32" t="s">
        <v>1111</v>
      </c>
      <c r="C32">
        <v>2026</v>
      </c>
      <c r="D32" t="s">
        <v>56</v>
      </c>
      <c r="E32" t="s">
        <v>57</v>
      </c>
      <c r="F32" t="s">
        <v>9403</v>
      </c>
      <c r="G32" t="s">
        <v>9382</v>
      </c>
      <c r="H32" t="s">
        <v>916</v>
      </c>
      <c r="I32" t="s">
        <v>9389</v>
      </c>
      <c r="J32" t="s">
        <v>8535</v>
      </c>
      <c r="K32" t="s">
        <v>9383</v>
      </c>
      <c r="L32" t="s">
        <v>98</v>
      </c>
      <c r="M32" t="s">
        <v>72</v>
      </c>
    </row>
    <row r="33" spans="1:13" x14ac:dyDescent="0.25">
      <c r="A33" t="s">
        <v>1121</v>
      </c>
      <c r="B33" t="s">
        <v>1122</v>
      </c>
      <c r="C33">
        <v>2026</v>
      </c>
      <c r="D33" t="s">
        <v>56</v>
      </c>
      <c r="E33" t="s">
        <v>67</v>
      </c>
      <c r="F33" t="s">
        <v>9387</v>
      </c>
      <c r="G33" t="s">
        <v>9388</v>
      </c>
      <c r="H33" t="s">
        <v>9394</v>
      </c>
      <c r="I33" t="s">
        <v>9376</v>
      </c>
      <c r="J33" t="s">
        <v>8535</v>
      </c>
      <c r="K33" t="s">
        <v>9391</v>
      </c>
      <c r="L33" t="s">
        <v>98</v>
      </c>
      <c r="M33" t="s">
        <v>72</v>
      </c>
    </row>
    <row r="34" spans="1:13" x14ac:dyDescent="0.25">
      <c r="A34" t="s">
        <v>1165</v>
      </c>
      <c r="B34" t="s">
        <v>1166</v>
      </c>
      <c r="C34">
        <v>2026</v>
      </c>
      <c r="D34" t="s">
        <v>56</v>
      </c>
      <c r="E34" t="s">
        <v>57</v>
      </c>
      <c r="F34" t="s">
        <v>9393</v>
      </c>
      <c r="G34" t="s">
        <v>9382</v>
      </c>
      <c r="H34" t="s">
        <v>9111</v>
      </c>
      <c r="I34" t="s">
        <v>9392</v>
      </c>
      <c r="J34" t="s">
        <v>9379</v>
      </c>
      <c r="K34" t="s">
        <v>9391</v>
      </c>
      <c r="L34" t="s">
        <v>98</v>
      </c>
      <c r="M34" t="s">
        <v>72</v>
      </c>
    </row>
    <row r="35" spans="1:13" x14ac:dyDescent="0.25">
      <c r="A35" t="s">
        <v>1170</v>
      </c>
      <c r="B35" t="s">
        <v>1171</v>
      </c>
      <c r="C35">
        <v>2026</v>
      </c>
      <c r="D35" t="s">
        <v>56</v>
      </c>
      <c r="E35" t="s">
        <v>57</v>
      </c>
      <c r="F35" t="s">
        <v>9387</v>
      </c>
      <c r="G35" t="s">
        <v>8761</v>
      </c>
      <c r="H35" t="s">
        <v>8739</v>
      </c>
      <c r="I35" t="s">
        <v>9389</v>
      </c>
      <c r="J35" t="s">
        <v>8535</v>
      </c>
      <c r="K35" t="s">
        <v>9391</v>
      </c>
      <c r="L35" t="s">
        <v>98</v>
      </c>
      <c r="M35" t="s">
        <v>72</v>
      </c>
    </row>
    <row r="36" spans="1:13" x14ac:dyDescent="0.25">
      <c r="A36" t="s">
        <v>1190</v>
      </c>
      <c r="B36" t="s">
        <v>1191</v>
      </c>
      <c r="C36">
        <v>2026</v>
      </c>
      <c r="D36" t="s">
        <v>56</v>
      </c>
      <c r="E36" t="s">
        <v>67</v>
      </c>
      <c r="F36" t="s">
        <v>9387</v>
      </c>
      <c r="G36" t="s">
        <v>9388</v>
      </c>
      <c r="H36" t="s">
        <v>8565</v>
      </c>
      <c r="I36" t="s">
        <v>9376</v>
      </c>
      <c r="J36" t="s">
        <v>8535</v>
      </c>
      <c r="K36" t="s">
        <v>9391</v>
      </c>
      <c r="L36" t="s">
        <v>98</v>
      </c>
      <c r="M36" t="s">
        <v>72</v>
      </c>
    </row>
    <row r="37" spans="1:13" x14ac:dyDescent="0.25">
      <c r="A37" t="s">
        <v>1194</v>
      </c>
      <c r="B37" t="s">
        <v>1195</v>
      </c>
      <c r="C37">
        <v>2026</v>
      </c>
      <c r="D37" t="s">
        <v>56</v>
      </c>
      <c r="E37" t="s">
        <v>57</v>
      </c>
      <c r="F37" t="s">
        <v>9393</v>
      </c>
      <c r="G37" t="s">
        <v>9388</v>
      </c>
      <c r="H37" t="s">
        <v>9404</v>
      </c>
      <c r="I37" t="s">
        <v>9376</v>
      </c>
      <c r="J37" t="s">
        <v>8535</v>
      </c>
      <c r="K37" t="s">
        <v>9377</v>
      </c>
      <c r="L37" t="s">
        <v>61</v>
      </c>
      <c r="M37" t="s">
        <v>63</v>
      </c>
    </row>
    <row r="38" spans="1:13" x14ac:dyDescent="0.25">
      <c r="A38" t="s">
        <v>1211</v>
      </c>
      <c r="B38" t="s">
        <v>1212</v>
      </c>
      <c r="C38">
        <v>2026</v>
      </c>
      <c r="D38" t="s">
        <v>56</v>
      </c>
      <c r="E38" t="s">
        <v>57</v>
      </c>
      <c r="F38" t="s">
        <v>9387</v>
      </c>
      <c r="G38" t="s">
        <v>9375</v>
      </c>
      <c r="H38" t="s">
        <v>8565</v>
      </c>
      <c r="I38" t="s">
        <v>9376</v>
      </c>
      <c r="J38" t="s">
        <v>8535</v>
      </c>
      <c r="K38" t="s">
        <v>9377</v>
      </c>
      <c r="L38" t="s">
        <v>61</v>
      </c>
      <c r="M38" t="s">
        <v>63</v>
      </c>
    </row>
    <row r="39" spans="1:13" x14ac:dyDescent="0.25">
      <c r="A39" t="s">
        <v>1216</v>
      </c>
      <c r="B39" t="s">
        <v>1217</v>
      </c>
      <c r="C39">
        <v>2026</v>
      </c>
      <c r="D39" t="s">
        <v>56</v>
      </c>
      <c r="E39" t="s">
        <v>57</v>
      </c>
      <c r="F39" t="s">
        <v>9403</v>
      </c>
      <c r="G39" t="s">
        <v>9382</v>
      </c>
      <c r="H39" t="s">
        <v>8565</v>
      </c>
      <c r="I39" t="s">
        <v>9392</v>
      </c>
      <c r="J39" t="s">
        <v>9397</v>
      </c>
      <c r="K39" t="s">
        <v>9377</v>
      </c>
      <c r="L39" t="s">
        <v>61</v>
      </c>
      <c r="M39" t="s">
        <v>63</v>
      </c>
    </row>
    <row r="40" spans="1:13" x14ac:dyDescent="0.25">
      <c r="A40" t="s">
        <v>1236</v>
      </c>
      <c r="B40" t="s">
        <v>1237</v>
      </c>
      <c r="C40">
        <v>2026</v>
      </c>
      <c r="D40" t="s">
        <v>56</v>
      </c>
      <c r="E40" t="s">
        <v>57</v>
      </c>
      <c r="F40" t="s">
        <v>9393</v>
      </c>
      <c r="G40" t="s">
        <v>9375</v>
      </c>
      <c r="H40" t="s">
        <v>9394</v>
      </c>
      <c r="I40" t="s">
        <v>9154</v>
      </c>
      <c r="J40" t="s">
        <v>8652</v>
      </c>
      <c r="K40" t="s">
        <v>9400</v>
      </c>
      <c r="L40" t="s">
        <v>61</v>
      </c>
      <c r="M40" t="s">
        <v>63</v>
      </c>
    </row>
    <row r="41" spans="1:13" x14ac:dyDescent="0.25">
      <c r="A41" t="s">
        <v>1241</v>
      </c>
      <c r="B41" t="s">
        <v>1242</v>
      </c>
      <c r="C41">
        <v>2026</v>
      </c>
      <c r="D41" t="s">
        <v>56</v>
      </c>
      <c r="E41" t="s">
        <v>67</v>
      </c>
      <c r="F41" t="s">
        <v>9393</v>
      </c>
      <c r="G41" t="s">
        <v>9402</v>
      </c>
      <c r="H41" t="s">
        <v>9396</v>
      </c>
      <c r="I41" t="s">
        <v>9389</v>
      </c>
      <c r="J41" t="s">
        <v>9379</v>
      </c>
      <c r="K41" t="s">
        <v>9386</v>
      </c>
      <c r="L41" t="s">
        <v>165</v>
      </c>
      <c r="M41" t="s">
        <v>72</v>
      </c>
    </row>
    <row r="42" spans="1:13" x14ac:dyDescent="0.25">
      <c r="A42" t="s">
        <v>1247</v>
      </c>
      <c r="B42" t="s">
        <v>1248</v>
      </c>
      <c r="C42">
        <v>2026</v>
      </c>
      <c r="D42" t="s">
        <v>56</v>
      </c>
      <c r="E42" t="s">
        <v>67</v>
      </c>
      <c r="F42" t="s">
        <v>9387</v>
      </c>
      <c r="G42" t="s">
        <v>9388</v>
      </c>
      <c r="H42" t="s">
        <v>9404</v>
      </c>
      <c r="I42" t="s">
        <v>9389</v>
      </c>
      <c r="J42" t="s">
        <v>9379</v>
      </c>
      <c r="K42" t="s">
        <v>9400</v>
      </c>
      <c r="L42" t="s">
        <v>61</v>
      </c>
      <c r="M42" t="s">
        <v>63</v>
      </c>
    </row>
    <row r="43" spans="1:13" x14ac:dyDescent="0.25">
      <c r="A43" t="s">
        <v>1302</v>
      </c>
      <c r="B43" t="s">
        <v>1303</v>
      </c>
      <c r="C43">
        <v>2026</v>
      </c>
      <c r="D43" t="s">
        <v>56</v>
      </c>
      <c r="E43" t="s">
        <v>57</v>
      </c>
      <c r="F43" t="s">
        <v>8955</v>
      </c>
      <c r="G43" t="s">
        <v>9375</v>
      </c>
      <c r="H43" t="s">
        <v>9394</v>
      </c>
      <c r="I43" t="s">
        <v>9376</v>
      </c>
      <c r="J43" t="s">
        <v>8535</v>
      </c>
      <c r="K43" t="s">
        <v>9377</v>
      </c>
      <c r="L43" t="s">
        <v>61</v>
      </c>
      <c r="M43" t="s">
        <v>63</v>
      </c>
    </row>
    <row r="44" spans="1:13" x14ac:dyDescent="0.25">
      <c r="A44" t="s">
        <v>1352</v>
      </c>
      <c r="B44" t="s">
        <v>1353</v>
      </c>
      <c r="C44">
        <v>2026</v>
      </c>
      <c r="D44" t="s">
        <v>56</v>
      </c>
      <c r="E44" t="s">
        <v>57</v>
      </c>
      <c r="F44" t="s">
        <v>9387</v>
      </c>
      <c r="G44" t="s">
        <v>9402</v>
      </c>
      <c r="H44" t="s">
        <v>8565</v>
      </c>
      <c r="I44" t="s">
        <v>9376</v>
      </c>
      <c r="J44" t="s">
        <v>8535</v>
      </c>
      <c r="K44" t="s">
        <v>9380</v>
      </c>
      <c r="L44" t="s">
        <v>98</v>
      </c>
      <c r="M44" t="s">
        <v>72</v>
      </c>
    </row>
    <row r="45" spans="1:13" x14ac:dyDescent="0.25">
      <c r="A45" t="s">
        <v>1412</v>
      </c>
      <c r="B45" t="s">
        <v>1413</v>
      </c>
      <c r="C45">
        <v>2026</v>
      </c>
      <c r="D45" t="s">
        <v>56</v>
      </c>
      <c r="E45" t="s">
        <v>57</v>
      </c>
      <c r="F45" t="s">
        <v>9387</v>
      </c>
      <c r="G45" t="s">
        <v>8761</v>
      </c>
      <c r="H45" t="s">
        <v>8565</v>
      </c>
      <c r="I45" t="s">
        <v>9376</v>
      </c>
      <c r="J45" t="s">
        <v>8535</v>
      </c>
      <c r="K45" t="s">
        <v>9380</v>
      </c>
      <c r="L45" t="s">
        <v>98</v>
      </c>
      <c r="M45" t="s">
        <v>72</v>
      </c>
    </row>
    <row r="46" spans="1:13" x14ac:dyDescent="0.25">
      <c r="A46" t="s">
        <v>1505</v>
      </c>
      <c r="B46" t="s">
        <v>1506</v>
      </c>
      <c r="C46">
        <v>2026</v>
      </c>
      <c r="D46" t="s">
        <v>56</v>
      </c>
      <c r="E46" t="s">
        <v>67</v>
      </c>
      <c r="F46" t="s">
        <v>9393</v>
      </c>
      <c r="G46" t="s">
        <v>9382</v>
      </c>
      <c r="H46" t="s">
        <v>9401</v>
      </c>
      <c r="I46" t="s">
        <v>9376</v>
      </c>
      <c r="J46" t="s">
        <v>9390</v>
      </c>
      <c r="K46" t="s">
        <v>9380</v>
      </c>
      <c r="L46" t="s">
        <v>98</v>
      </c>
      <c r="M46" t="s">
        <v>72</v>
      </c>
    </row>
    <row r="47" spans="1:13" x14ac:dyDescent="0.25">
      <c r="A47" t="s">
        <v>1514</v>
      </c>
      <c r="B47" t="s">
        <v>1515</v>
      </c>
      <c r="C47">
        <v>2026</v>
      </c>
      <c r="D47" t="s">
        <v>56</v>
      </c>
      <c r="E47" t="s">
        <v>57</v>
      </c>
      <c r="F47" t="s">
        <v>9384</v>
      </c>
      <c r="G47" t="s">
        <v>9388</v>
      </c>
      <c r="H47" t="s">
        <v>9394</v>
      </c>
      <c r="I47" t="s">
        <v>9376</v>
      </c>
      <c r="J47" t="s">
        <v>8535</v>
      </c>
      <c r="K47" t="s">
        <v>9400</v>
      </c>
      <c r="L47" t="s">
        <v>61</v>
      </c>
      <c r="M47" t="s">
        <v>63</v>
      </c>
    </row>
    <row r="48" spans="1:13" x14ac:dyDescent="0.25">
      <c r="A48" t="s">
        <v>1541</v>
      </c>
      <c r="B48" t="s">
        <v>1542</v>
      </c>
      <c r="C48">
        <v>2026</v>
      </c>
      <c r="D48" t="s">
        <v>56</v>
      </c>
      <c r="E48" t="s">
        <v>67</v>
      </c>
      <c r="F48" t="s">
        <v>9381</v>
      </c>
      <c r="G48" t="s">
        <v>9402</v>
      </c>
      <c r="H48" t="s">
        <v>3217</v>
      </c>
      <c r="I48" t="s">
        <v>9389</v>
      </c>
      <c r="J48" t="s">
        <v>8535</v>
      </c>
      <c r="K48" t="s">
        <v>9380</v>
      </c>
      <c r="L48" t="s">
        <v>98</v>
      </c>
      <c r="M48" t="s">
        <v>72</v>
      </c>
    </row>
    <row r="49" spans="1:13" x14ac:dyDescent="0.25">
      <c r="A49" t="s">
        <v>1546</v>
      </c>
      <c r="B49" t="s">
        <v>1547</v>
      </c>
      <c r="C49">
        <v>2026</v>
      </c>
      <c r="D49" t="s">
        <v>56</v>
      </c>
      <c r="E49" t="s">
        <v>67</v>
      </c>
      <c r="F49" t="s">
        <v>9384</v>
      </c>
      <c r="G49" t="s">
        <v>9388</v>
      </c>
      <c r="H49" t="s">
        <v>8565</v>
      </c>
      <c r="I49" t="s">
        <v>9376</v>
      </c>
      <c r="J49" t="s">
        <v>8535</v>
      </c>
      <c r="K49" t="s">
        <v>9380</v>
      </c>
      <c r="L49" t="s">
        <v>98</v>
      </c>
      <c r="M49" t="s">
        <v>72</v>
      </c>
    </row>
    <row r="50" spans="1:13" x14ac:dyDescent="0.25">
      <c r="A50" t="s">
        <v>1566</v>
      </c>
      <c r="B50" t="s">
        <v>1567</v>
      </c>
      <c r="C50">
        <v>2026</v>
      </c>
      <c r="D50" t="s">
        <v>56</v>
      </c>
      <c r="E50" t="s">
        <v>57</v>
      </c>
      <c r="F50" t="s">
        <v>9387</v>
      </c>
      <c r="G50" t="s">
        <v>9382</v>
      </c>
      <c r="H50" t="s">
        <v>916</v>
      </c>
      <c r="I50" t="s">
        <v>9385</v>
      </c>
      <c r="J50" t="s">
        <v>8535</v>
      </c>
      <c r="K50" t="s">
        <v>9383</v>
      </c>
      <c r="L50" t="s">
        <v>98</v>
      </c>
      <c r="M50" t="s">
        <v>72</v>
      </c>
    </row>
    <row r="51" spans="1:13" x14ac:dyDescent="0.25">
      <c r="A51" t="s">
        <v>1576</v>
      </c>
      <c r="B51" t="s">
        <v>1577</v>
      </c>
      <c r="C51">
        <v>2026</v>
      </c>
      <c r="D51" t="s">
        <v>56</v>
      </c>
      <c r="E51" t="s">
        <v>67</v>
      </c>
      <c r="F51" t="s">
        <v>9393</v>
      </c>
      <c r="G51" t="s">
        <v>9382</v>
      </c>
      <c r="H51" t="s">
        <v>9396</v>
      </c>
      <c r="I51" t="s">
        <v>9376</v>
      </c>
      <c r="J51" t="s">
        <v>8535</v>
      </c>
      <c r="K51" t="s">
        <v>9380</v>
      </c>
      <c r="L51" t="s">
        <v>98</v>
      </c>
      <c r="M51" t="s">
        <v>72</v>
      </c>
    </row>
    <row r="52" spans="1:13" x14ac:dyDescent="0.25">
      <c r="A52" t="s">
        <v>1580</v>
      </c>
      <c r="B52" t="s">
        <v>1581</v>
      </c>
      <c r="C52">
        <v>2026</v>
      </c>
      <c r="D52" t="s">
        <v>56</v>
      </c>
      <c r="E52" t="s">
        <v>67</v>
      </c>
      <c r="F52" t="s">
        <v>9387</v>
      </c>
      <c r="G52" t="s">
        <v>9375</v>
      </c>
      <c r="H52" t="s">
        <v>8834</v>
      </c>
      <c r="I52" t="s">
        <v>9376</v>
      </c>
      <c r="J52" t="s">
        <v>8535</v>
      </c>
      <c r="K52" t="s">
        <v>9380</v>
      </c>
      <c r="L52" t="s">
        <v>98</v>
      </c>
      <c r="M52" t="s">
        <v>72</v>
      </c>
    </row>
    <row r="53" spans="1:13" x14ac:dyDescent="0.25">
      <c r="A53" t="s">
        <v>1589</v>
      </c>
      <c r="B53" t="s">
        <v>1590</v>
      </c>
      <c r="C53">
        <v>2026</v>
      </c>
      <c r="D53" t="s">
        <v>56</v>
      </c>
      <c r="E53" t="s">
        <v>67</v>
      </c>
      <c r="F53" t="s">
        <v>9393</v>
      </c>
      <c r="G53" t="s">
        <v>9388</v>
      </c>
      <c r="H53" t="s">
        <v>9401</v>
      </c>
      <c r="I53" t="s">
        <v>9376</v>
      </c>
      <c r="J53" t="s">
        <v>9379</v>
      </c>
      <c r="K53" t="s">
        <v>9380</v>
      </c>
      <c r="L53" t="s">
        <v>98</v>
      </c>
      <c r="M53" t="s">
        <v>72</v>
      </c>
    </row>
    <row r="54" spans="1:13" x14ac:dyDescent="0.25">
      <c r="A54" t="s">
        <v>1593</v>
      </c>
      <c r="B54" t="s">
        <v>1594</v>
      </c>
      <c r="C54">
        <v>2026</v>
      </c>
      <c r="D54" t="s">
        <v>56</v>
      </c>
      <c r="E54" t="s">
        <v>57</v>
      </c>
      <c r="F54" t="s">
        <v>9387</v>
      </c>
      <c r="G54" t="s">
        <v>9388</v>
      </c>
      <c r="H54" t="s">
        <v>8739</v>
      </c>
      <c r="I54" t="s">
        <v>9376</v>
      </c>
      <c r="J54" t="s">
        <v>8535</v>
      </c>
      <c r="K54" t="s">
        <v>9380</v>
      </c>
      <c r="L54" t="s">
        <v>98</v>
      </c>
      <c r="M54" t="s">
        <v>72</v>
      </c>
    </row>
    <row r="55" spans="1:13" x14ac:dyDescent="0.25">
      <c r="A55" t="s">
        <v>1605</v>
      </c>
      <c r="B55" t="s">
        <v>1606</v>
      </c>
      <c r="C55">
        <v>2026</v>
      </c>
      <c r="D55" t="s">
        <v>56</v>
      </c>
      <c r="E55" t="s">
        <v>57</v>
      </c>
      <c r="F55" t="s">
        <v>9381</v>
      </c>
      <c r="G55" t="s">
        <v>9375</v>
      </c>
      <c r="H55" t="s">
        <v>916</v>
      </c>
      <c r="I55" t="s">
        <v>9389</v>
      </c>
      <c r="J55" t="s">
        <v>8535</v>
      </c>
      <c r="K55" t="s">
        <v>9386</v>
      </c>
      <c r="L55" t="s">
        <v>165</v>
      </c>
      <c r="M55" t="s">
        <v>72</v>
      </c>
    </row>
    <row r="56" spans="1:13" x14ac:dyDescent="0.25">
      <c r="A56" t="s">
        <v>1695</v>
      </c>
      <c r="B56" t="s">
        <v>1696</v>
      </c>
      <c r="C56">
        <v>2026</v>
      </c>
      <c r="D56" t="s">
        <v>56</v>
      </c>
      <c r="E56" t="s">
        <v>57</v>
      </c>
      <c r="F56" t="s">
        <v>9399</v>
      </c>
      <c r="G56" t="s">
        <v>9375</v>
      </c>
      <c r="H56" t="s">
        <v>8565</v>
      </c>
      <c r="I56" t="s">
        <v>9376</v>
      </c>
      <c r="J56" t="s">
        <v>8535</v>
      </c>
      <c r="K56" t="s">
        <v>9377</v>
      </c>
      <c r="L56" t="s">
        <v>61</v>
      </c>
      <c r="M56" t="s">
        <v>63</v>
      </c>
    </row>
    <row r="57" spans="1:13" x14ac:dyDescent="0.25">
      <c r="A57" t="s">
        <v>1700</v>
      </c>
      <c r="B57" t="s">
        <v>1701</v>
      </c>
      <c r="C57">
        <v>2026</v>
      </c>
      <c r="D57" t="s">
        <v>56</v>
      </c>
      <c r="E57" t="s">
        <v>57</v>
      </c>
      <c r="F57" t="s">
        <v>9393</v>
      </c>
      <c r="G57" t="s">
        <v>9402</v>
      </c>
      <c r="H57" t="s">
        <v>9111</v>
      </c>
      <c r="I57" t="s">
        <v>9376</v>
      </c>
      <c r="J57" t="s">
        <v>8535</v>
      </c>
      <c r="K57" t="s">
        <v>9386</v>
      </c>
      <c r="L57" t="s">
        <v>165</v>
      </c>
      <c r="M57" t="s">
        <v>72</v>
      </c>
    </row>
    <row r="58" spans="1:13" x14ac:dyDescent="0.25">
      <c r="A58" t="s">
        <v>1704</v>
      </c>
      <c r="B58" t="s">
        <v>1705</v>
      </c>
      <c r="C58">
        <v>2026</v>
      </c>
      <c r="D58" t="s">
        <v>56</v>
      </c>
      <c r="E58" t="s">
        <v>67</v>
      </c>
      <c r="F58" t="s">
        <v>9387</v>
      </c>
      <c r="G58" t="s">
        <v>8761</v>
      </c>
      <c r="H58" t="s">
        <v>916</v>
      </c>
      <c r="I58" t="s">
        <v>9376</v>
      </c>
      <c r="J58" t="s">
        <v>8535</v>
      </c>
      <c r="K58" t="s">
        <v>9380</v>
      </c>
      <c r="L58" t="s">
        <v>98</v>
      </c>
      <c r="M58" t="s">
        <v>72</v>
      </c>
    </row>
    <row r="59" spans="1:13" x14ac:dyDescent="0.25">
      <c r="A59" t="s">
        <v>1720</v>
      </c>
      <c r="B59" t="s">
        <v>1721</v>
      </c>
      <c r="C59">
        <v>2026</v>
      </c>
      <c r="D59" t="s">
        <v>56</v>
      </c>
      <c r="E59" t="s">
        <v>57</v>
      </c>
      <c r="F59" t="s">
        <v>9393</v>
      </c>
      <c r="G59" t="s">
        <v>9375</v>
      </c>
      <c r="H59" t="s">
        <v>8565</v>
      </c>
      <c r="I59" t="s">
        <v>9376</v>
      </c>
      <c r="J59" t="s">
        <v>9379</v>
      </c>
      <c r="K59" t="s">
        <v>9377</v>
      </c>
      <c r="L59" t="s">
        <v>61</v>
      </c>
      <c r="M59" t="s">
        <v>63</v>
      </c>
    </row>
    <row r="60" spans="1:13" x14ac:dyDescent="0.25">
      <c r="A60" t="s">
        <v>1731</v>
      </c>
      <c r="B60" t="s">
        <v>1732</v>
      </c>
      <c r="C60">
        <v>2026</v>
      </c>
      <c r="D60" t="s">
        <v>56</v>
      </c>
      <c r="E60" t="s">
        <v>67</v>
      </c>
      <c r="F60" t="s">
        <v>9399</v>
      </c>
      <c r="G60" t="s">
        <v>9388</v>
      </c>
      <c r="H60" t="s">
        <v>9394</v>
      </c>
      <c r="I60" t="s">
        <v>9376</v>
      </c>
      <c r="J60" t="s">
        <v>8535</v>
      </c>
      <c r="K60" t="s">
        <v>9391</v>
      </c>
      <c r="L60" t="s">
        <v>98</v>
      </c>
      <c r="M60" t="s">
        <v>72</v>
      </c>
    </row>
    <row r="61" spans="1:13" x14ac:dyDescent="0.25">
      <c r="A61" t="s">
        <v>1753</v>
      </c>
      <c r="B61" t="s">
        <v>1754</v>
      </c>
      <c r="C61">
        <v>2026</v>
      </c>
      <c r="D61" t="s">
        <v>56</v>
      </c>
      <c r="E61" t="s">
        <v>67</v>
      </c>
      <c r="F61" t="s">
        <v>9393</v>
      </c>
      <c r="G61" t="s">
        <v>9382</v>
      </c>
      <c r="H61" t="s">
        <v>9401</v>
      </c>
      <c r="I61" t="s">
        <v>9376</v>
      </c>
      <c r="J61" t="s">
        <v>9379</v>
      </c>
      <c r="K61" t="s">
        <v>9391</v>
      </c>
      <c r="L61" t="s">
        <v>98</v>
      </c>
      <c r="M61" t="s">
        <v>72</v>
      </c>
    </row>
    <row r="62" spans="1:13" x14ac:dyDescent="0.25">
      <c r="A62" t="s">
        <v>1816</v>
      </c>
      <c r="B62" t="s">
        <v>1817</v>
      </c>
      <c r="C62">
        <v>2026</v>
      </c>
      <c r="D62" t="s">
        <v>56</v>
      </c>
      <c r="E62" t="s">
        <v>57</v>
      </c>
      <c r="F62" t="s">
        <v>9393</v>
      </c>
      <c r="G62" t="s">
        <v>9388</v>
      </c>
      <c r="H62" t="s">
        <v>8565</v>
      </c>
      <c r="I62" t="s">
        <v>9376</v>
      </c>
      <c r="J62" t="s">
        <v>8535</v>
      </c>
      <c r="K62" t="s">
        <v>9377</v>
      </c>
      <c r="L62" t="s">
        <v>61</v>
      </c>
      <c r="M62" t="s">
        <v>63</v>
      </c>
    </row>
    <row r="63" spans="1:13" x14ac:dyDescent="0.25">
      <c r="A63" t="s">
        <v>1822</v>
      </c>
      <c r="B63" t="s">
        <v>1823</v>
      </c>
      <c r="C63">
        <v>2026</v>
      </c>
      <c r="D63" t="s">
        <v>56</v>
      </c>
      <c r="E63" t="s">
        <v>67</v>
      </c>
      <c r="F63" t="s">
        <v>9381</v>
      </c>
      <c r="G63" t="s">
        <v>9375</v>
      </c>
      <c r="H63" t="s">
        <v>916</v>
      </c>
      <c r="I63" t="s">
        <v>9376</v>
      </c>
      <c r="J63" t="s">
        <v>8652</v>
      </c>
      <c r="K63" t="s">
        <v>9383</v>
      </c>
      <c r="L63" t="s">
        <v>98</v>
      </c>
      <c r="M63" t="s">
        <v>72</v>
      </c>
    </row>
    <row r="64" spans="1:13" x14ac:dyDescent="0.25">
      <c r="A64" t="s">
        <v>1849</v>
      </c>
      <c r="B64" t="s">
        <v>1850</v>
      </c>
      <c r="C64">
        <v>2026</v>
      </c>
      <c r="D64" t="s">
        <v>56</v>
      </c>
      <c r="E64" t="s">
        <v>57</v>
      </c>
      <c r="F64" t="s">
        <v>9398</v>
      </c>
      <c r="G64" t="s">
        <v>8761</v>
      </c>
      <c r="H64" t="s">
        <v>9396</v>
      </c>
      <c r="I64" t="s">
        <v>9392</v>
      </c>
      <c r="J64" t="s">
        <v>9390</v>
      </c>
      <c r="K64" t="s">
        <v>9377</v>
      </c>
      <c r="L64" t="s">
        <v>61</v>
      </c>
      <c r="M64" t="s">
        <v>63</v>
      </c>
    </row>
    <row r="65" spans="1:13" x14ac:dyDescent="0.25">
      <c r="A65" t="s">
        <v>1855</v>
      </c>
      <c r="B65" t="s">
        <v>1856</v>
      </c>
      <c r="C65">
        <v>2026</v>
      </c>
      <c r="D65" t="s">
        <v>56</v>
      </c>
      <c r="E65" t="s">
        <v>57</v>
      </c>
      <c r="F65" t="s">
        <v>9393</v>
      </c>
      <c r="G65" t="s">
        <v>9382</v>
      </c>
      <c r="H65" t="s">
        <v>9405</v>
      </c>
      <c r="I65" t="s">
        <v>9154</v>
      </c>
      <c r="J65" t="s">
        <v>8535</v>
      </c>
      <c r="K65" t="s">
        <v>9386</v>
      </c>
      <c r="L65" t="s">
        <v>165</v>
      </c>
      <c r="M65" t="s">
        <v>72</v>
      </c>
    </row>
    <row r="66" spans="1:13" x14ac:dyDescent="0.25">
      <c r="A66" t="s">
        <v>1905</v>
      </c>
      <c r="B66" t="s">
        <v>1906</v>
      </c>
      <c r="C66">
        <v>2026</v>
      </c>
      <c r="D66" t="s">
        <v>56</v>
      </c>
      <c r="E66" t="s">
        <v>57</v>
      </c>
      <c r="F66" t="s">
        <v>9399</v>
      </c>
      <c r="G66" t="s">
        <v>9388</v>
      </c>
      <c r="H66" t="s">
        <v>8565</v>
      </c>
      <c r="I66" t="s">
        <v>9376</v>
      </c>
      <c r="J66" t="s">
        <v>8535</v>
      </c>
      <c r="K66" t="s">
        <v>9377</v>
      </c>
      <c r="L66" t="s">
        <v>61</v>
      </c>
      <c r="M66" t="s">
        <v>63</v>
      </c>
    </row>
    <row r="67" spans="1:13" x14ac:dyDescent="0.25">
      <c r="A67" t="s">
        <v>1909</v>
      </c>
      <c r="B67" t="s">
        <v>1910</v>
      </c>
      <c r="C67">
        <v>2026</v>
      </c>
      <c r="D67" t="s">
        <v>56</v>
      </c>
      <c r="E67" t="s">
        <v>57</v>
      </c>
      <c r="F67" t="s">
        <v>8955</v>
      </c>
      <c r="G67" t="s">
        <v>9375</v>
      </c>
      <c r="H67" t="s">
        <v>8565</v>
      </c>
      <c r="I67" t="s">
        <v>9376</v>
      </c>
      <c r="J67" t="s">
        <v>8535</v>
      </c>
      <c r="K67" t="s">
        <v>9400</v>
      </c>
      <c r="L67" t="s">
        <v>61</v>
      </c>
      <c r="M67" t="s">
        <v>63</v>
      </c>
    </row>
    <row r="68" spans="1:13" x14ac:dyDescent="0.25">
      <c r="A68" t="s">
        <v>1925</v>
      </c>
      <c r="B68" t="s">
        <v>1926</v>
      </c>
      <c r="C68">
        <v>2026</v>
      </c>
      <c r="D68" t="s">
        <v>56</v>
      </c>
      <c r="E68" t="s">
        <v>57</v>
      </c>
      <c r="F68" t="s">
        <v>9393</v>
      </c>
      <c r="G68" t="s">
        <v>9375</v>
      </c>
      <c r="H68" t="s">
        <v>8565</v>
      </c>
      <c r="I68" t="s">
        <v>9376</v>
      </c>
      <c r="J68" t="s">
        <v>8652</v>
      </c>
      <c r="K68" t="s">
        <v>9377</v>
      </c>
      <c r="L68" t="s">
        <v>61</v>
      </c>
      <c r="M68" t="s">
        <v>63</v>
      </c>
    </row>
    <row r="69" spans="1:13" x14ac:dyDescent="0.25">
      <c r="A69" t="s">
        <v>2049</v>
      </c>
      <c r="B69" t="s">
        <v>2050</v>
      </c>
      <c r="C69">
        <v>2026</v>
      </c>
      <c r="D69" t="s">
        <v>56</v>
      </c>
      <c r="E69" t="s">
        <v>67</v>
      </c>
      <c r="F69" t="s">
        <v>8955</v>
      </c>
      <c r="G69" t="s">
        <v>9388</v>
      </c>
      <c r="H69" t="s">
        <v>3217</v>
      </c>
      <c r="I69" t="s">
        <v>9376</v>
      </c>
      <c r="J69" t="s">
        <v>8535</v>
      </c>
      <c r="K69" t="s">
        <v>9380</v>
      </c>
      <c r="L69" t="s">
        <v>98</v>
      </c>
      <c r="M69" t="s">
        <v>72</v>
      </c>
    </row>
    <row r="70" spans="1:13" x14ac:dyDescent="0.25">
      <c r="A70" t="s">
        <v>2059</v>
      </c>
      <c r="B70" t="s">
        <v>2060</v>
      </c>
      <c r="C70">
        <v>2026</v>
      </c>
      <c r="D70" t="s">
        <v>56</v>
      </c>
      <c r="E70" t="s">
        <v>57</v>
      </c>
      <c r="F70" t="s">
        <v>9387</v>
      </c>
      <c r="G70" t="s">
        <v>9388</v>
      </c>
      <c r="H70" t="s">
        <v>8739</v>
      </c>
      <c r="I70" t="s">
        <v>9389</v>
      </c>
      <c r="J70" t="s">
        <v>8652</v>
      </c>
      <c r="K70" t="s">
        <v>9391</v>
      </c>
      <c r="L70" t="s">
        <v>98</v>
      </c>
      <c r="M70" t="s">
        <v>72</v>
      </c>
    </row>
    <row r="71" spans="1:13" x14ac:dyDescent="0.25">
      <c r="A71" t="s">
        <v>2074</v>
      </c>
      <c r="B71" t="s">
        <v>2075</v>
      </c>
      <c r="C71">
        <v>2026</v>
      </c>
      <c r="D71" t="s">
        <v>56</v>
      </c>
      <c r="E71" t="s">
        <v>57</v>
      </c>
      <c r="F71" t="s">
        <v>9398</v>
      </c>
      <c r="G71" t="s">
        <v>9388</v>
      </c>
      <c r="H71" t="s">
        <v>8739</v>
      </c>
      <c r="I71" t="s">
        <v>9392</v>
      </c>
      <c r="J71" t="s">
        <v>8535</v>
      </c>
      <c r="K71" t="s">
        <v>9377</v>
      </c>
      <c r="L71" t="s">
        <v>61</v>
      </c>
      <c r="M71" t="s">
        <v>63</v>
      </c>
    </row>
    <row r="72" spans="1:13" x14ac:dyDescent="0.25">
      <c r="A72" t="s">
        <v>2151</v>
      </c>
      <c r="B72" t="s">
        <v>2152</v>
      </c>
      <c r="C72">
        <v>2026</v>
      </c>
      <c r="D72" t="s">
        <v>56</v>
      </c>
      <c r="E72" t="s">
        <v>57</v>
      </c>
      <c r="F72" t="s">
        <v>9393</v>
      </c>
      <c r="G72" t="s">
        <v>9382</v>
      </c>
      <c r="H72" t="s">
        <v>8565</v>
      </c>
      <c r="I72" t="s">
        <v>9389</v>
      </c>
      <c r="J72" t="s">
        <v>8535</v>
      </c>
      <c r="K72" t="s">
        <v>9383</v>
      </c>
      <c r="L72" t="s">
        <v>98</v>
      </c>
      <c r="M72" t="s">
        <v>72</v>
      </c>
    </row>
    <row r="73" spans="1:13" x14ac:dyDescent="0.25">
      <c r="A73" t="s">
        <v>2192</v>
      </c>
      <c r="B73" t="s">
        <v>2193</v>
      </c>
      <c r="C73">
        <v>2026</v>
      </c>
      <c r="D73" t="s">
        <v>56</v>
      </c>
      <c r="E73" t="s">
        <v>57</v>
      </c>
      <c r="F73" t="s">
        <v>9393</v>
      </c>
      <c r="G73" t="s">
        <v>9382</v>
      </c>
      <c r="H73" t="s">
        <v>8565</v>
      </c>
      <c r="I73" t="s">
        <v>9385</v>
      </c>
      <c r="J73" t="s">
        <v>8535</v>
      </c>
      <c r="K73" t="s">
        <v>9383</v>
      </c>
      <c r="L73" t="s">
        <v>98</v>
      </c>
      <c r="M73" t="s">
        <v>72</v>
      </c>
    </row>
    <row r="74" spans="1:13" x14ac:dyDescent="0.25">
      <c r="A74" t="s">
        <v>2265</v>
      </c>
      <c r="B74" t="s">
        <v>2266</v>
      </c>
      <c r="C74">
        <v>2026</v>
      </c>
      <c r="D74" t="s">
        <v>56</v>
      </c>
      <c r="E74" t="s">
        <v>57</v>
      </c>
      <c r="F74" t="s">
        <v>8955</v>
      </c>
      <c r="G74" t="s">
        <v>8761</v>
      </c>
      <c r="H74" t="s">
        <v>8565</v>
      </c>
      <c r="I74" t="s">
        <v>9392</v>
      </c>
      <c r="J74" t="s">
        <v>8535</v>
      </c>
      <c r="K74" t="s">
        <v>9383</v>
      </c>
      <c r="L74" t="s">
        <v>98</v>
      </c>
      <c r="M74" t="s">
        <v>72</v>
      </c>
    </row>
    <row r="75" spans="1:13" x14ac:dyDescent="0.25">
      <c r="A75" t="s">
        <v>2269</v>
      </c>
      <c r="B75" t="s">
        <v>2270</v>
      </c>
      <c r="C75">
        <v>2026</v>
      </c>
      <c r="D75" t="s">
        <v>56</v>
      </c>
      <c r="E75" t="s">
        <v>57</v>
      </c>
      <c r="F75" t="s">
        <v>9393</v>
      </c>
      <c r="G75" t="s">
        <v>9382</v>
      </c>
      <c r="H75" t="s">
        <v>8565</v>
      </c>
      <c r="I75" t="s">
        <v>9385</v>
      </c>
      <c r="J75" t="s">
        <v>8535</v>
      </c>
      <c r="K75" t="s">
        <v>9377</v>
      </c>
      <c r="L75" t="s">
        <v>61</v>
      </c>
      <c r="M75" t="s">
        <v>63</v>
      </c>
    </row>
    <row r="76" spans="1:13" x14ac:dyDescent="0.25">
      <c r="A76" t="s">
        <v>2275</v>
      </c>
      <c r="B76" t="s">
        <v>2276</v>
      </c>
      <c r="C76">
        <v>2026</v>
      </c>
      <c r="D76" t="s">
        <v>56</v>
      </c>
      <c r="E76" t="s">
        <v>57</v>
      </c>
      <c r="F76" t="s">
        <v>9393</v>
      </c>
      <c r="G76" t="s">
        <v>9402</v>
      </c>
      <c r="H76" t="s">
        <v>8739</v>
      </c>
      <c r="I76" t="s">
        <v>9376</v>
      </c>
      <c r="J76" t="s">
        <v>8535</v>
      </c>
      <c r="K76" t="s">
        <v>9383</v>
      </c>
      <c r="L76" t="s">
        <v>98</v>
      </c>
      <c r="M76" t="s">
        <v>72</v>
      </c>
    </row>
    <row r="77" spans="1:13" x14ac:dyDescent="0.25">
      <c r="A77" t="s">
        <v>2280</v>
      </c>
      <c r="B77" t="s">
        <v>2281</v>
      </c>
      <c r="C77">
        <v>2026</v>
      </c>
      <c r="D77" t="s">
        <v>56</v>
      </c>
      <c r="E77" t="s">
        <v>57</v>
      </c>
      <c r="F77" t="s">
        <v>9387</v>
      </c>
      <c r="G77" t="s">
        <v>9388</v>
      </c>
      <c r="H77" t="s">
        <v>8565</v>
      </c>
      <c r="I77" t="s">
        <v>9392</v>
      </c>
      <c r="J77" t="s">
        <v>9397</v>
      </c>
      <c r="K77" t="s">
        <v>9400</v>
      </c>
      <c r="L77" t="s">
        <v>61</v>
      </c>
      <c r="M77" t="s">
        <v>63</v>
      </c>
    </row>
    <row r="78" spans="1:13" x14ac:dyDescent="0.25">
      <c r="A78" t="s">
        <v>2330</v>
      </c>
      <c r="B78" t="s">
        <v>2331</v>
      </c>
      <c r="C78">
        <v>2026</v>
      </c>
      <c r="D78" t="s">
        <v>56</v>
      </c>
      <c r="E78" t="s">
        <v>57</v>
      </c>
      <c r="F78" t="s">
        <v>9384</v>
      </c>
      <c r="G78" t="s">
        <v>9382</v>
      </c>
      <c r="H78" t="s">
        <v>9394</v>
      </c>
      <c r="I78" t="s">
        <v>9395</v>
      </c>
      <c r="J78" t="s">
        <v>8652</v>
      </c>
      <c r="K78" t="s">
        <v>9386</v>
      </c>
      <c r="L78" t="s">
        <v>165</v>
      </c>
      <c r="M78" t="s">
        <v>72</v>
      </c>
    </row>
    <row r="79" spans="1:13" x14ac:dyDescent="0.25">
      <c r="A79" t="s">
        <v>2339</v>
      </c>
      <c r="B79" t="s">
        <v>2340</v>
      </c>
      <c r="C79">
        <v>2026</v>
      </c>
      <c r="D79" t="s">
        <v>56</v>
      </c>
      <c r="E79" t="s">
        <v>57</v>
      </c>
      <c r="F79" t="s">
        <v>9393</v>
      </c>
      <c r="G79" t="s">
        <v>9402</v>
      </c>
      <c r="H79" t="s">
        <v>9401</v>
      </c>
      <c r="I79" t="s">
        <v>9392</v>
      </c>
      <c r="J79" t="s">
        <v>8535</v>
      </c>
      <c r="K79" t="s">
        <v>9386</v>
      </c>
      <c r="L79" t="s">
        <v>165</v>
      </c>
      <c r="M79" t="s">
        <v>72</v>
      </c>
    </row>
    <row r="80" spans="1:13" x14ac:dyDescent="0.25">
      <c r="A80" t="s">
        <v>2406</v>
      </c>
      <c r="B80" t="s">
        <v>2407</v>
      </c>
      <c r="C80">
        <v>2026</v>
      </c>
      <c r="D80" t="s">
        <v>56</v>
      </c>
      <c r="E80" t="s">
        <v>57</v>
      </c>
      <c r="F80" t="s">
        <v>9406</v>
      </c>
      <c r="G80" t="s">
        <v>9388</v>
      </c>
      <c r="H80" t="s">
        <v>8565</v>
      </c>
      <c r="I80" t="s">
        <v>9389</v>
      </c>
      <c r="J80" t="s">
        <v>8535</v>
      </c>
      <c r="K80" t="s">
        <v>9380</v>
      </c>
      <c r="L80" t="s">
        <v>98</v>
      </c>
      <c r="M80" t="s">
        <v>72</v>
      </c>
    </row>
    <row r="81" spans="1:13" x14ac:dyDescent="0.25">
      <c r="A81" t="s">
        <v>2436</v>
      </c>
      <c r="B81" t="s">
        <v>2437</v>
      </c>
      <c r="C81">
        <v>2026</v>
      </c>
      <c r="D81" t="s">
        <v>56</v>
      </c>
      <c r="E81" t="s">
        <v>67</v>
      </c>
      <c r="F81" t="s">
        <v>9387</v>
      </c>
      <c r="G81" t="s">
        <v>9375</v>
      </c>
      <c r="H81" t="s">
        <v>916</v>
      </c>
      <c r="I81" t="s">
        <v>9389</v>
      </c>
      <c r="J81" t="s">
        <v>9390</v>
      </c>
      <c r="K81" t="s">
        <v>9380</v>
      </c>
      <c r="L81" t="s">
        <v>98</v>
      </c>
      <c r="M81" t="s">
        <v>72</v>
      </c>
    </row>
    <row r="82" spans="1:13" x14ac:dyDescent="0.25">
      <c r="A82" t="s">
        <v>2441</v>
      </c>
      <c r="B82" t="s">
        <v>2442</v>
      </c>
      <c r="C82">
        <v>2026</v>
      </c>
      <c r="D82" t="s">
        <v>56</v>
      </c>
      <c r="E82" t="s">
        <v>67</v>
      </c>
      <c r="F82" t="s">
        <v>9381</v>
      </c>
      <c r="G82" t="s">
        <v>8761</v>
      </c>
      <c r="H82" t="s">
        <v>9404</v>
      </c>
      <c r="I82" t="s">
        <v>9392</v>
      </c>
      <c r="J82" t="s">
        <v>8652</v>
      </c>
      <c r="K82" t="s">
        <v>9377</v>
      </c>
      <c r="L82" t="s">
        <v>61</v>
      </c>
      <c r="M82" t="s">
        <v>63</v>
      </c>
    </row>
    <row r="83" spans="1:13" x14ac:dyDescent="0.25">
      <c r="A83" t="s">
        <v>2494</v>
      </c>
      <c r="B83" t="s">
        <v>2495</v>
      </c>
      <c r="C83">
        <v>2026</v>
      </c>
      <c r="D83" t="s">
        <v>56</v>
      </c>
      <c r="E83" t="s">
        <v>67</v>
      </c>
      <c r="F83" t="s">
        <v>9387</v>
      </c>
      <c r="G83" t="s">
        <v>8761</v>
      </c>
      <c r="H83" t="s">
        <v>9396</v>
      </c>
      <c r="I83" t="s">
        <v>9389</v>
      </c>
      <c r="J83" t="s">
        <v>8535</v>
      </c>
      <c r="K83" t="s">
        <v>9391</v>
      </c>
      <c r="L83" t="s">
        <v>98</v>
      </c>
      <c r="M83" t="s">
        <v>72</v>
      </c>
    </row>
    <row r="84" spans="1:13" x14ac:dyDescent="0.25">
      <c r="A84" t="s">
        <v>2499</v>
      </c>
      <c r="B84" t="s">
        <v>2500</v>
      </c>
      <c r="C84">
        <v>2026</v>
      </c>
      <c r="D84" t="s">
        <v>56</v>
      </c>
      <c r="E84" t="s">
        <v>57</v>
      </c>
      <c r="F84" t="s">
        <v>9387</v>
      </c>
      <c r="G84" t="s">
        <v>9382</v>
      </c>
      <c r="H84" t="s">
        <v>8739</v>
      </c>
      <c r="I84" t="s">
        <v>9389</v>
      </c>
      <c r="J84" t="s">
        <v>8535</v>
      </c>
      <c r="K84" t="s">
        <v>9391</v>
      </c>
      <c r="L84" t="s">
        <v>98</v>
      </c>
      <c r="M84" t="s">
        <v>72</v>
      </c>
    </row>
    <row r="85" spans="1:13" x14ac:dyDescent="0.25">
      <c r="A85" t="s">
        <v>2516</v>
      </c>
      <c r="B85" t="s">
        <v>2517</v>
      </c>
      <c r="C85">
        <v>2026</v>
      </c>
      <c r="D85" t="s">
        <v>56</v>
      </c>
      <c r="E85" t="s">
        <v>57</v>
      </c>
      <c r="F85" t="s">
        <v>9393</v>
      </c>
      <c r="G85" t="s">
        <v>9375</v>
      </c>
      <c r="H85" t="s">
        <v>8565</v>
      </c>
      <c r="I85" t="s">
        <v>9389</v>
      </c>
      <c r="J85" t="s">
        <v>8535</v>
      </c>
      <c r="K85" t="s">
        <v>9386</v>
      </c>
      <c r="L85" t="s">
        <v>165</v>
      </c>
      <c r="M85" t="s">
        <v>72</v>
      </c>
    </row>
    <row r="86" spans="1:13" x14ac:dyDescent="0.25">
      <c r="A86" t="s">
        <v>2537</v>
      </c>
      <c r="B86" t="s">
        <v>2538</v>
      </c>
      <c r="C86">
        <v>2026</v>
      </c>
      <c r="D86" t="s">
        <v>56</v>
      </c>
      <c r="E86" t="s">
        <v>57</v>
      </c>
      <c r="F86" t="s">
        <v>9381</v>
      </c>
      <c r="G86" t="s">
        <v>9402</v>
      </c>
      <c r="H86" t="s">
        <v>9396</v>
      </c>
      <c r="I86" t="s">
        <v>9392</v>
      </c>
      <c r="J86" t="s">
        <v>9397</v>
      </c>
      <c r="K86" t="s">
        <v>9383</v>
      </c>
      <c r="L86" t="s">
        <v>98</v>
      </c>
      <c r="M86" t="s">
        <v>72</v>
      </c>
    </row>
    <row r="87" spans="1:13" x14ac:dyDescent="0.25">
      <c r="A87" t="s">
        <v>2553</v>
      </c>
      <c r="B87" t="s">
        <v>2554</v>
      </c>
      <c r="C87">
        <v>2026</v>
      </c>
      <c r="D87" t="s">
        <v>56</v>
      </c>
      <c r="E87" t="s">
        <v>67</v>
      </c>
      <c r="F87" t="s">
        <v>9393</v>
      </c>
      <c r="G87" t="s">
        <v>9388</v>
      </c>
      <c r="H87" t="s">
        <v>8565</v>
      </c>
      <c r="I87" t="s">
        <v>9376</v>
      </c>
      <c r="J87" t="s">
        <v>9407</v>
      </c>
      <c r="K87" t="s">
        <v>9400</v>
      </c>
      <c r="L87" t="s">
        <v>61</v>
      </c>
      <c r="M87" t="s">
        <v>63</v>
      </c>
    </row>
    <row r="88" spans="1:13" x14ac:dyDescent="0.25">
      <c r="A88" t="s">
        <v>2581</v>
      </c>
      <c r="B88" t="s">
        <v>2582</v>
      </c>
      <c r="C88">
        <v>2026</v>
      </c>
      <c r="D88" t="s">
        <v>56</v>
      </c>
      <c r="E88" t="s">
        <v>67</v>
      </c>
      <c r="F88" t="s">
        <v>9381</v>
      </c>
      <c r="G88" t="s">
        <v>9375</v>
      </c>
      <c r="H88" t="s">
        <v>9111</v>
      </c>
      <c r="I88" t="s">
        <v>9376</v>
      </c>
      <c r="J88" t="s">
        <v>8535</v>
      </c>
      <c r="K88" t="s">
        <v>9386</v>
      </c>
      <c r="L88" t="s">
        <v>165</v>
      </c>
      <c r="M88" t="s">
        <v>72</v>
      </c>
    </row>
    <row r="89" spans="1:13" x14ac:dyDescent="0.25">
      <c r="A89" t="s">
        <v>2698</v>
      </c>
      <c r="B89" t="s">
        <v>2699</v>
      </c>
      <c r="C89">
        <v>2026</v>
      </c>
      <c r="D89" t="s">
        <v>56</v>
      </c>
      <c r="E89" t="s">
        <v>57</v>
      </c>
      <c r="F89" t="s">
        <v>9384</v>
      </c>
      <c r="G89" t="s">
        <v>9388</v>
      </c>
      <c r="H89" t="s">
        <v>9401</v>
      </c>
      <c r="I89" t="s">
        <v>9392</v>
      </c>
      <c r="J89" t="s">
        <v>9379</v>
      </c>
      <c r="K89" t="s">
        <v>9391</v>
      </c>
      <c r="L89" t="s">
        <v>98</v>
      </c>
      <c r="M89" t="s">
        <v>72</v>
      </c>
    </row>
    <row r="90" spans="1:13" x14ac:dyDescent="0.25">
      <c r="A90" t="s">
        <v>2709</v>
      </c>
      <c r="B90" t="s">
        <v>2710</v>
      </c>
      <c r="C90">
        <v>2026</v>
      </c>
      <c r="D90" t="s">
        <v>56</v>
      </c>
      <c r="E90" t="s">
        <v>57</v>
      </c>
      <c r="F90" t="s">
        <v>9393</v>
      </c>
      <c r="G90" t="s">
        <v>9402</v>
      </c>
      <c r="H90" t="s">
        <v>9408</v>
      </c>
      <c r="I90" t="s">
        <v>9385</v>
      </c>
      <c r="J90" t="s">
        <v>8535</v>
      </c>
      <c r="K90" t="s">
        <v>9380</v>
      </c>
      <c r="L90" t="s">
        <v>98</v>
      </c>
      <c r="M90" t="s">
        <v>72</v>
      </c>
    </row>
    <row r="91" spans="1:13" x14ac:dyDescent="0.25">
      <c r="A91" t="s">
        <v>2781</v>
      </c>
      <c r="B91" t="s">
        <v>2782</v>
      </c>
      <c r="C91">
        <v>2026</v>
      </c>
      <c r="D91" t="s">
        <v>56</v>
      </c>
      <c r="E91" t="s">
        <v>67</v>
      </c>
      <c r="F91" t="s">
        <v>8955</v>
      </c>
      <c r="G91" t="s">
        <v>9388</v>
      </c>
      <c r="H91" t="s">
        <v>9394</v>
      </c>
      <c r="I91" t="s">
        <v>9376</v>
      </c>
      <c r="J91" t="s">
        <v>8535</v>
      </c>
      <c r="K91" t="s">
        <v>9391</v>
      </c>
      <c r="L91" t="s">
        <v>98</v>
      </c>
      <c r="M91" t="s">
        <v>72</v>
      </c>
    </row>
    <row r="92" spans="1:13" x14ac:dyDescent="0.25">
      <c r="A92" t="s">
        <v>2785</v>
      </c>
      <c r="B92" t="s">
        <v>2786</v>
      </c>
      <c r="C92">
        <v>2026</v>
      </c>
      <c r="D92" t="s">
        <v>56</v>
      </c>
      <c r="E92" t="s">
        <v>67</v>
      </c>
      <c r="F92" t="s">
        <v>9387</v>
      </c>
      <c r="G92" t="s">
        <v>9375</v>
      </c>
      <c r="H92" t="s">
        <v>9396</v>
      </c>
      <c r="I92" t="s">
        <v>9376</v>
      </c>
      <c r="J92" t="s">
        <v>9390</v>
      </c>
      <c r="K92" t="s">
        <v>9400</v>
      </c>
      <c r="L92" t="s">
        <v>61</v>
      </c>
      <c r="M92" t="s">
        <v>63</v>
      </c>
    </row>
    <row r="93" spans="1:13" x14ac:dyDescent="0.25">
      <c r="A93" t="s">
        <v>2794</v>
      </c>
      <c r="B93" t="s">
        <v>2795</v>
      </c>
      <c r="C93">
        <v>2026</v>
      </c>
      <c r="D93" t="s">
        <v>56</v>
      </c>
      <c r="E93" t="s">
        <v>57</v>
      </c>
      <c r="F93" t="s">
        <v>9393</v>
      </c>
      <c r="G93" t="s">
        <v>9409</v>
      </c>
      <c r="H93" t="s">
        <v>8565</v>
      </c>
      <c r="I93" t="s">
        <v>9385</v>
      </c>
      <c r="J93" t="s">
        <v>8535</v>
      </c>
      <c r="K93" t="s">
        <v>9377</v>
      </c>
      <c r="L93" t="s">
        <v>61</v>
      </c>
      <c r="M93" t="s">
        <v>63</v>
      </c>
    </row>
    <row r="94" spans="1:13" x14ac:dyDescent="0.25">
      <c r="A94" t="s">
        <v>2873</v>
      </c>
      <c r="B94" t="s">
        <v>2874</v>
      </c>
      <c r="C94">
        <v>2025</v>
      </c>
      <c r="D94" t="s">
        <v>56</v>
      </c>
      <c r="E94" t="s">
        <v>67</v>
      </c>
      <c r="F94" t="s">
        <v>9393</v>
      </c>
      <c r="G94" t="s">
        <v>9388</v>
      </c>
      <c r="H94" t="s">
        <v>8565</v>
      </c>
      <c r="I94" t="s">
        <v>9395</v>
      </c>
      <c r="J94" t="s">
        <v>9397</v>
      </c>
      <c r="K94" t="s">
        <v>9380</v>
      </c>
      <c r="L94" t="s">
        <v>98</v>
      </c>
      <c r="M94" t="s">
        <v>72</v>
      </c>
    </row>
    <row r="95" spans="1:13" x14ac:dyDescent="0.25">
      <c r="A95" t="s">
        <v>2879</v>
      </c>
      <c r="B95" t="s">
        <v>2880</v>
      </c>
      <c r="C95">
        <v>2025</v>
      </c>
      <c r="D95" t="s">
        <v>56</v>
      </c>
      <c r="E95" t="s">
        <v>67</v>
      </c>
      <c r="F95" t="s">
        <v>9387</v>
      </c>
      <c r="G95" t="s">
        <v>9375</v>
      </c>
      <c r="H95" t="s">
        <v>9404</v>
      </c>
      <c r="I95" t="s">
        <v>9395</v>
      </c>
      <c r="J95" t="s">
        <v>8652</v>
      </c>
      <c r="K95" t="s">
        <v>9380</v>
      </c>
      <c r="L95" t="s">
        <v>98</v>
      </c>
      <c r="M95" t="s">
        <v>72</v>
      </c>
    </row>
    <row r="96" spans="1:13" x14ac:dyDescent="0.25">
      <c r="A96" t="s">
        <v>2901</v>
      </c>
      <c r="B96" t="s">
        <v>2902</v>
      </c>
      <c r="C96">
        <v>2025</v>
      </c>
      <c r="D96" t="s">
        <v>56</v>
      </c>
      <c r="E96" t="s">
        <v>57</v>
      </c>
      <c r="F96" t="s">
        <v>9393</v>
      </c>
      <c r="G96" t="s">
        <v>9382</v>
      </c>
      <c r="H96" t="s">
        <v>9405</v>
      </c>
      <c r="I96" t="s">
        <v>9392</v>
      </c>
      <c r="J96" t="s">
        <v>9397</v>
      </c>
      <c r="K96" t="s">
        <v>9386</v>
      </c>
      <c r="L96" t="s">
        <v>165</v>
      </c>
      <c r="M96" t="s">
        <v>72</v>
      </c>
    </row>
    <row r="97" spans="1:13" x14ac:dyDescent="0.25">
      <c r="A97" t="s">
        <v>2922</v>
      </c>
      <c r="B97" t="s">
        <v>2923</v>
      </c>
      <c r="C97">
        <v>2025</v>
      </c>
      <c r="D97" t="s">
        <v>56</v>
      </c>
      <c r="E97" t="s">
        <v>67</v>
      </c>
      <c r="F97" t="s">
        <v>9403</v>
      </c>
      <c r="G97" t="s">
        <v>9388</v>
      </c>
      <c r="H97" t="s">
        <v>8739</v>
      </c>
      <c r="I97" t="s">
        <v>9389</v>
      </c>
      <c r="J97" t="s">
        <v>8535</v>
      </c>
      <c r="K97" t="s">
        <v>9386</v>
      </c>
      <c r="L97" t="s">
        <v>165</v>
      </c>
      <c r="M97" t="s">
        <v>72</v>
      </c>
    </row>
    <row r="98" spans="1:13" x14ac:dyDescent="0.25">
      <c r="A98" t="s">
        <v>2938</v>
      </c>
      <c r="B98" t="s">
        <v>2939</v>
      </c>
      <c r="C98">
        <v>2025</v>
      </c>
      <c r="D98" t="s">
        <v>56</v>
      </c>
      <c r="E98" t="s">
        <v>67</v>
      </c>
      <c r="F98" t="s">
        <v>9387</v>
      </c>
      <c r="G98" t="s">
        <v>8761</v>
      </c>
      <c r="H98" t="s">
        <v>3217</v>
      </c>
      <c r="I98" t="s">
        <v>9376</v>
      </c>
      <c r="J98" t="s">
        <v>9390</v>
      </c>
      <c r="K98" t="s">
        <v>9380</v>
      </c>
      <c r="L98" t="s">
        <v>98</v>
      </c>
      <c r="M98" t="s">
        <v>72</v>
      </c>
    </row>
    <row r="99" spans="1:13" x14ac:dyDescent="0.25">
      <c r="A99" t="s">
        <v>2975</v>
      </c>
      <c r="B99" t="s">
        <v>2976</v>
      </c>
      <c r="C99">
        <v>2025</v>
      </c>
      <c r="D99" t="s">
        <v>56</v>
      </c>
      <c r="E99" t="s">
        <v>57</v>
      </c>
      <c r="F99" t="s">
        <v>9393</v>
      </c>
      <c r="G99" t="s">
        <v>9402</v>
      </c>
      <c r="H99" t="s">
        <v>8565</v>
      </c>
      <c r="I99" t="s">
        <v>9385</v>
      </c>
      <c r="J99" t="s">
        <v>8535</v>
      </c>
      <c r="K99" t="s">
        <v>9377</v>
      </c>
      <c r="L99" t="s">
        <v>61</v>
      </c>
      <c r="M99" t="s">
        <v>63</v>
      </c>
    </row>
    <row r="100" spans="1:13" x14ac:dyDescent="0.25">
      <c r="A100" t="s">
        <v>2987</v>
      </c>
      <c r="B100" t="s">
        <v>2988</v>
      </c>
      <c r="C100">
        <v>2025</v>
      </c>
      <c r="D100" t="s">
        <v>56</v>
      </c>
      <c r="E100" t="s">
        <v>67</v>
      </c>
      <c r="F100" t="s">
        <v>9384</v>
      </c>
      <c r="G100" t="s">
        <v>9388</v>
      </c>
      <c r="H100" t="s">
        <v>9394</v>
      </c>
      <c r="I100" t="s">
        <v>9389</v>
      </c>
      <c r="J100" t="s">
        <v>8652</v>
      </c>
      <c r="K100" t="s">
        <v>9391</v>
      </c>
      <c r="L100" t="s">
        <v>98</v>
      </c>
      <c r="M100" t="s">
        <v>72</v>
      </c>
    </row>
    <row r="101" spans="1:13" x14ac:dyDescent="0.25">
      <c r="A101" t="s">
        <v>2993</v>
      </c>
      <c r="B101" t="s">
        <v>2994</v>
      </c>
      <c r="C101">
        <v>2025</v>
      </c>
      <c r="D101" t="s">
        <v>56</v>
      </c>
      <c r="E101" t="s">
        <v>57</v>
      </c>
      <c r="F101" t="s">
        <v>9393</v>
      </c>
      <c r="G101" t="s">
        <v>9402</v>
      </c>
      <c r="H101" t="s">
        <v>9396</v>
      </c>
      <c r="I101" t="s">
        <v>9389</v>
      </c>
      <c r="J101" t="s">
        <v>8535</v>
      </c>
      <c r="K101" t="s">
        <v>9386</v>
      </c>
      <c r="L101" t="s">
        <v>165</v>
      </c>
      <c r="M101" t="s">
        <v>72</v>
      </c>
    </row>
    <row r="102" spans="1:13" x14ac:dyDescent="0.25">
      <c r="A102" t="s">
        <v>2998</v>
      </c>
      <c r="B102" t="s">
        <v>2999</v>
      </c>
      <c r="C102">
        <v>2025</v>
      </c>
      <c r="D102" t="s">
        <v>56</v>
      </c>
      <c r="E102" t="s">
        <v>67</v>
      </c>
      <c r="F102" t="s">
        <v>9399</v>
      </c>
      <c r="G102" t="s">
        <v>9375</v>
      </c>
      <c r="H102" t="s">
        <v>9396</v>
      </c>
      <c r="I102" t="s">
        <v>9376</v>
      </c>
      <c r="J102" t="s">
        <v>8535</v>
      </c>
      <c r="K102" t="s">
        <v>9391</v>
      </c>
      <c r="L102" t="s">
        <v>98</v>
      </c>
      <c r="M102" t="s">
        <v>72</v>
      </c>
    </row>
    <row r="103" spans="1:13" x14ac:dyDescent="0.25">
      <c r="A103" t="s">
        <v>3014</v>
      </c>
      <c r="B103" t="s">
        <v>3015</v>
      </c>
      <c r="C103">
        <v>2025</v>
      </c>
      <c r="D103" t="s">
        <v>56</v>
      </c>
      <c r="E103" t="s">
        <v>57</v>
      </c>
      <c r="F103" t="s">
        <v>9393</v>
      </c>
      <c r="G103" t="s">
        <v>8761</v>
      </c>
      <c r="H103" t="s">
        <v>8565</v>
      </c>
      <c r="I103" t="s">
        <v>9376</v>
      </c>
      <c r="J103" t="s">
        <v>8535</v>
      </c>
      <c r="K103" t="s">
        <v>9383</v>
      </c>
      <c r="L103" t="s">
        <v>98</v>
      </c>
      <c r="M103" t="s">
        <v>72</v>
      </c>
    </row>
    <row r="104" spans="1:13" x14ac:dyDescent="0.25">
      <c r="A104" t="s">
        <v>3025</v>
      </c>
      <c r="B104" t="s">
        <v>3026</v>
      </c>
      <c r="C104">
        <v>2025</v>
      </c>
      <c r="D104" t="s">
        <v>56</v>
      </c>
      <c r="E104" t="s">
        <v>67</v>
      </c>
      <c r="F104" t="s">
        <v>9387</v>
      </c>
      <c r="G104" t="s">
        <v>9378</v>
      </c>
      <c r="H104" t="s">
        <v>916</v>
      </c>
      <c r="I104" t="s">
        <v>9389</v>
      </c>
      <c r="J104" t="s">
        <v>8535</v>
      </c>
      <c r="K104" t="s">
        <v>9386</v>
      </c>
      <c r="L104" t="s">
        <v>165</v>
      </c>
      <c r="M104" t="s">
        <v>72</v>
      </c>
    </row>
    <row r="105" spans="1:13" x14ac:dyDescent="0.25">
      <c r="A105" t="s">
        <v>3113</v>
      </c>
      <c r="B105" t="s">
        <v>3114</v>
      </c>
      <c r="C105">
        <v>2025</v>
      </c>
      <c r="D105" t="s">
        <v>56</v>
      </c>
      <c r="E105" t="s">
        <v>57</v>
      </c>
      <c r="F105" t="s">
        <v>9387</v>
      </c>
      <c r="G105" t="s">
        <v>8761</v>
      </c>
      <c r="H105" t="s">
        <v>8565</v>
      </c>
      <c r="I105" t="s">
        <v>9392</v>
      </c>
      <c r="J105" t="s">
        <v>9397</v>
      </c>
      <c r="K105" t="s">
        <v>9377</v>
      </c>
      <c r="L105" t="s">
        <v>61</v>
      </c>
      <c r="M105" t="s">
        <v>63</v>
      </c>
    </row>
    <row r="106" spans="1:13" x14ac:dyDescent="0.25">
      <c r="A106" t="s">
        <v>3142</v>
      </c>
      <c r="B106" t="s">
        <v>3143</v>
      </c>
      <c r="C106">
        <v>2025</v>
      </c>
      <c r="D106" t="s">
        <v>56</v>
      </c>
      <c r="E106" t="s">
        <v>57</v>
      </c>
      <c r="F106" t="s">
        <v>9403</v>
      </c>
      <c r="G106" t="s">
        <v>9382</v>
      </c>
      <c r="H106" t="s">
        <v>8739</v>
      </c>
      <c r="I106" t="s">
        <v>9389</v>
      </c>
      <c r="J106" t="s">
        <v>9397</v>
      </c>
      <c r="K106" t="s">
        <v>9386</v>
      </c>
      <c r="L106" t="s">
        <v>165</v>
      </c>
      <c r="M106" t="s">
        <v>72</v>
      </c>
    </row>
    <row r="107" spans="1:13" x14ac:dyDescent="0.25">
      <c r="A107" t="s">
        <v>3151</v>
      </c>
      <c r="B107" t="s">
        <v>3152</v>
      </c>
      <c r="C107">
        <v>2025</v>
      </c>
      <c r="D107" t="s">
        <v>56</v>
      </c>
      <c r="E107" t="s">
        <v>57</v>
      </c>
      <c r="F107" t="s">
        <v>9393</v>
      </c>
      <c r="G107" t="s">
        <v>9375</v>
      </c>
      <c r="H107" t="s">
        <v>8565</v>
      </c>
      <c r="I107" t="s">
        <v>9389</v>
      </c>
      <c r="J107" t="s">
        <v>8535</v>
      </c>
      <c r="K107" t="s">
        <v>9386</v>
      </c>
      <c r="L107" t="s">
        <v>165</v>
      </c>
      <c r="M107" t="s">
        <v>72</v>
      </c>
    </row>
    <row r="108" spans="1:13" x14ac:dyDescent="0.25">
      <c r="A108" t="s">
        <v>3215</v>
      </c>
      <c r="B108" t="s">
        <v>3216</v>
      </c>
      <c r="C108">
        <v>2025</v>
      </c>
      <c r="D108" t="s">
        <v>56</v>
      </c>
      <c r="E108" t="s">
        <v>57</v>
      </c>
      <c r="F108" t="s">
        <v>8955</v>
      </c>
      <c r="G108" t="s">
        <v>9375</v>
      </c>
      <c r="H108" t="s">
        <v>3217</v>
      </c>
      <c r="I108" t="s">
        <v>9376</v>
      </c>
      <c r="J108" t="s">
        <v>8535</v>
      </c>
      <c r="K108" t="s">
        <v>9377</v>
      </c>
      <c r="L108" t="s">
        <v>61</v>
      </c>
      <c r="M108" t="s">
        <v>63</v>
      </c>
    </row>
    <row r="109" spans="1:13" x14ac:dyDescent="0.25">
      <c r="A109" t="s">
        <v>3253</v>
      </c>
      <c r="B109" t="s">
        <v>3254</v>
      </c>
      <c r="C109">
        <v>2025</v>
      </c>
      <c r="D109" t="s">
        <v>56</v>
      </c>
      <c r="E109" t="s">
        <v>57</v>
      </c>
      <c r="F109" t="s">
        <v>9393</v>
      </c>
      <c r="G109" t="s">
        <v>9388</v>
      </c>
      <c r="H109" t="s">
        <v>9394</v>
      </c>
      <c r="I109" t="s">
        <v>9392</v>
      </c>
      <c r="J109" t="s">
        <v>8535</v>
      </c>
      <c r="K109" t="s">
        <v>9400</v>
      </c>
      <c r="L109" t="s">
        <v>61</v>
      </c>
      <c r="M109" t="s">
        <v>63</v>
      </c>
    </row>
    <row r="110" spans="1:13" x14ac:dyDescent="0.25">
      <c r="A110" t="s">
        <v>3281</v>
      </c>
      <c r="B110" t="s">
        <v>3282</v>
      </c>
      <c r="C110">
        <v>2025</v>
      </c>
      <c r="D110" t="s">
        <v>56</v>
      </c>
      <c r="E110" t="s">
        <v>57</v>
      </c>
      <c r="F110" t="s">
        <v>9393</v>
      </c>
      <c r="G110" t="s">
        <v>8761</v>
      </c>
      <c r="H110" t="s">
        <v>9111</v>
      </c>
      <c r="I110" t="s">
        <v>9385</v>
      </c>
      <c r="J110" t="s">
        <v>9397</v>
      </c>
      <c r="K110" t="s">
        <v>9380</v>
      </c>
      <c r="L110" t="s">
        <v>98</v>
      </c>
      <c r="M110" t="s">
        <v>72</v>
      </c>
    </row>
    <row r="111" spans="1:13" x14ac:dyDescent="0.25">
      <c r="A111" t="s">
        <v>3295</v>
      </c>
      <c r="B111" t="s">
        <v>3296</v>
      </c>
      <c r="C111">
        <v>2025</v>
      </c>
      <c r="D111" t="s">
        <v>56</v>
      </c>
      <c r="E111" t="s">
        <v>67</v>
      </c>
      <c r="F111" t="s">
        <v>9387</v>
      </c>
      <c r="G111" t="s">
        <v>9388</v>
      </c>
      <c r="H111" t="s">
        <v>8739</v>
      </c>
      <c r="I111" t="s">
        <v>9376</v>
      </c>
      <c r="J111" t="s">
        <v>8535</v>
      </c>
      <c r="K111" t="s">
        <v>9400</v>
      </c>
      <c r="L111" t="s">
        <v>61</v>
      </c>
      <c r="M111" t="s">
        <v>63</v>
      </c>
    </row>
    <row r="112" spans="1:13" x14ac:dyDescent="0.25">
      <c r="A112" t="s">
        <v>3373</v>
      </c>
      <c r="B112" t="s">
        <v>3374</v>
      </c>
      <c r="C112">
        <v>2025</v>
      </c>
      <c r="D112" t="s">
        <v>56</v>
      </c>
      <c r="E112" t="s">
        <v>67</v>
      </c>
      <c r="F112" t="s">
        <v>9398</v>
      </c>
      <c r="G112" t="s">
        <v>9388</v>
      </c>
      <c r="H112" t="s">
        <v>8739</v>
      </c>
      <c r="I112" t="s">
        <v>9395</v>
      </c>
      <c r="J112" t="s">
        <v>8535</v>
      </c>
      <c r="K112" t="s">
        <v>9391</v>
      </c>
      <c r="L112" t="s">
        <v>3377</v>
      </c>
      <c r="M112" t="s">
        <v>72</v>
      </c>
    </row>
    <row r="113" spans="1:13" x14ac:dyDescent="0.25">
      <c r="A113" t="s">
        <v>3435</v>
      </c>
      <c r="B113" t="s">
        <v>3436</v>
      </c>
      <c r="C113">
        <v>2025</v>
      </c>
      <c r="D113" t="s">
        <v>56</v>
      </c>
      <c r="E113" t="s">
        <v>57</v>
      </c>
      <c r="F113" t="s">
        <v>9393</v>
      </c>
      <c r="G113" t="s">
        <v>9402</v>
      </c>
      <c r="H113" t="s">
        <v>8834</v>
      </c>
      <c r="I113" t="s">
        <v>9392</v>
      </c>
      <c r="J113" t="s">
        <v>8535</v>
      </c>
      <c r="K113" t="s">
        <v>9377</v>
      </c>
      <c r="L113" t="s">
        <v>61</v>
      </c>
      <c r="M113" t="s">
        <v>63</v>
      </c>
    </row>
    <row r="114" spans="1:13" x14ac:dyDescent="0.25">
      <c r="A114" t="s">
        <v>3445</v>
      </c>
      <c r="B114" t="s">
        <v>3446</v>
      </c>
      <c r="C114">
        <v>2025</v>
      </c>
      <c r="D114" t="s">
        <v>56</v>
      </c>
      <c r="E114" t="s">
        <v>57</v>
      </c>
      <c r="F114" t="s">
        <v>9393</v>
      </c>
      <c r="G114" t="s">
        <v>9409</v>
      </c>
      <c r="H114" t="s">
        <v>8565</v>
      </c>
      <c r="I114" t="s">
        <v>9395</v>
      </c>
      <c r="J114" t="s">
        <v>8535</v>
      </c>
      <c r="K114" t="s">
        <v>9383</v>
      </c>
      <c r="L114" t="s">
        <v>98</v>
      </c>
      <c r="M114" t="s">
        <v>72</v>
      </c>
    </row>
    <row r="115" spans="1:13" x14ac:dyDescent="0.25">
      <c r="A115" t="s">
        <v>3480</v>
      </c>
      <c r="B115" t="s">
        <v>3481</v>
      </c>
      <c r="C115">
        <v>2025</v>
      </c>
      <c r="D115" t="s">
        <v>56</v>
      </c>
      <c r="E115" t="s">
        <v>57</v>
      </c>
      <c r="F115" t="s">
        <v>9403</v>
      </c>
      <c r="G115" t="s">
        <v>8761</v>
      </c>
      <c r="H115" t="s">
        <v>8739</v>
      </c>
      <c r="I115" t="s">
        <v>9392</v>
      </c>
      <c r="J115" t="s">
        <v>8535</v>
      </c>
      <c r="K115" t="s">
        <v>9386</v>
      </c>
      <c r="L115" t="s">
        <v>165</v>
      </c>
      <c r="M115" t="s">
        <v>72</v>
      </c>
    </row>
    <row r="116" spans="1:13" x14ac:dyDescent="0.25">
      <c r="A116" t="s">
        <v>3489</v>
      </c>
      <c r="B116" t="s">
        <v>3490</v>
      </c>
      <c r="C116">
        <v>2025</v>
      </c>
      <c r="D116" t="s">
        <v>56</v>
      </c>
      <c r="E116" t="s">
        <v>57</v>
      </c>
      <c r="F116" t="s">
        <v>9410</v>
      </c>
      <c r="G116" t="s">
        <v>9388</v>
      </c>
      <c r="H116" t="s">
        <v>9396</v>
      </c>
      <c r="I116" t="s">
        <v>9385</v>
      </c>
      <c r="J116" t="s">
        <v>8535</v>
      </c>
      <c r="K116" t="s">
        <v>9380</v>
      </c>
      <c r="L116" t="s">
        <v>98</v>
      </c>
      <c r="M116" t="s">
        <v>72</v>
      </c>
    </row>
    <row r="117" spans="1:13" x14ac:dyDescent="0.25">
      <c r="A117" t="s">
        <v>3498</v>
      </c>
      <c r="B117" t="s">
        <v>3499</v>
      </c>
      <c r="C117">
        <v>2025</v>
      </c>
      <c r="D117" t="s">
        <v>56</v>
      </c>
      <c r="E117" t="s">
        <v>57</v>
      </c>
      <c r="F117" t="s">
        <v>9393</v>
      </c>
      <c r="G117" t="s">
        <v>9388</v>
      </c>
      <c r="H117" t="s">
        <v>8565</v>
      </c>
      <c r="I117" t="s">
        <v>9385</v>
      </c>
      <c r="J117" t="s">
        <v>8535</v>
      </c>
      <c r="K117" t="s">
        <v>9377</v>
      </c>
      <c r="L117" t="s">
        <v>61</v>
      </c>
      <c r="M117" t="s">
        <v>63</v>
      </c>
    </row>
    <row r="118" spans="1:13" x14ac:dyDescent="0.25">
      <c r="A118" t="s">
        <v>3533</v>
      </c>
      <c r="B118" t="s">
        <v>3534</v>
      </c>
      <c r="C118">
        <v>2025</v>
      </c>
      <c r="D118" t="s">
        <v>56</v>
      </c>
      <c r="E118" t="s">
        <v>67</v>
      </c>
      <c r="F118" t="s">
        <v>9393</v>
      </c>
      <c r="G118" t="s">
        <v>9375</v>
      </c>
      <c r="H118" t="s">
        <v>8565</v>
      </c>
      <c r="I118" t="s">
        <v>9385</v>
      </c>
      <c r="J118" t="s">
        <v>8535</v>
      </c>
      <c r="K118" t="s">
        <v>9386</v>
      </c>
      <c r="L118" t="s">
        <v>165</v>
      </c>
      <c r="M118" t="s">
        <v>72</v>
      </c>
    </row>
    <row r="119" spans="1:13" x14ac:dyDescent="0.25">
      <c r="A119" t="s">
        <v>3565</v>
      </c>
      <c r="B119" t="s">
        <v>3566</v>
      </c>
      <c r="C119">
        <v>2025</v>
      </c>
      <c r="D119" t="s">
        <v>56</v>
      </c>
      <c r="E119" t="s">
        <v>67</v>
      </c>
      <c r="F119" t="s">
        <v>9393</v>
      </c>
      <c r="G119" t="s">
        <v>9388</v>
      </c>
      <c r="H119" t="s">
        <v>9111</v>
      </c>
      <c r="I119" t="s">
        <v>9376</v>
      </c>
      <c r="J119" t="s">
        <v>8535</v>
      </c>
      <c r="K119" t="s">
        <v>9380</v>
      </c>
      <c r="L119" t="s">
        <v>98</v>
      </c>
      <c r="M119" t="s">
        <v>72</v>
      </c>
    </row>
    <row r="120" spans="1:13" x14ac:dyDescent="0.25">
      <c r="A120" t="s">
        <v>3589</v>
      </c>
      <c r="B120" t="s">
        <v>3590</v>
      </c>
      <c r="C120">
        <v>2025</v>
      </c>
      <c r="D120" t="s">
        <v>56</v>
      </c>
      <c r="E120" t="s">
        <v>57</v>
      </c>
      <c r="F120" t="s">
        <v>9393</v>
      </c>
      <c r="G120" t="s">
        <v>9375</v>
      </c>
      <c r="H120" t="s">
        <v>8565</v>
      </c>
      <c r="I120" t="s">
        <v>9392</v>
      </c>
      <c r="J120" t="s">
        <v>9390</v>
      </c>
      <c r="K120" t="s">
        <v>9377</v>
      </c>
      <c r="L120" t="s">
        <v>61</v>
      </c>
      <c r="M120" t="s">
        <v>63</v>
      </c>
    </row>
    <row r="121" spans="1:13" x14ac:dyDescent="0.25">
      <c r="A121" t="s">
        <v>3594</v>
      </c>
      <c r="B121" t="s">
        <v>3595</v>
      </c>
      <c r="C121">
        <v>2025</v>
      </c>
      <c r="D121" t="s">
        <v>56</v>
      </c>
      <c r="E121" t="s">
        <v>67</v>
      </c>
      <c r="F121" t="s">
        <v>9387</v>
      </c>
      <c r="G121" t="s">
        <v>9388</v>
      </c>
      <c r="H121" t="s">
        <v>8565</v>
      </c>
      <c r="I121" t="s">
        <v>9376</v>
      </c>
      <c r="J121" t="s">
        <v>9379</v>
      </c>
      <c r="K121" t="s">
        <v>9400</v>
      </c>
      <c r="L121" t="s">
        <v>61</v>
      </c>
      <c r="M121" t="s">
        <v>63</v>
      </c>
    </row>
    <row r="122" spans="1:13" x14ac:dyDescent="0.25">
      <c r="A122" t="s">
        <v>3642</v>
      </c>
      <c r="B122" t="s">
        <v>3643</v>
      </c>
      <c r="C122">
        <v>2025</v>
      </c>
      <c r="D122" t="s">
        <v>56</v>
      </c>
      <c r="E122" t="s">
        <v>57</v>
      </c>
      <c r="F122" t="s">
        <v>9393</v>
      </c>
      <c r="G122" t="s">
        <v>8761</v>
      </c>
      <c r="H122" t="s">
        <v>8565</v>
      </c>
      <c r="I122" t="s">
        <v>9395</v>
      </c>
      <c r="J122" t="s">
        <v>9397</v>
      </c>
      <c r="K122" t="s">
        <v>9380</v>
      </c>
      <c r="L122" t="s">
        <v>98</v>
      </c>
      <c r="M122" t="s">
        <v>72</v>
      </c>
    </row>
    <row r="123" spans="1:13" x14ac:dyDescent="0.25">
      <c r="A123" t="s">
        <v>3653</v>
      </c>
      <c r="B123" t="s">
        <v>3654</v>
      </c>
      <c r="C123">
        <v>2025</v>
      </c>
      <c r="D123" t="s">
        <v>56</v>
      </c>
      <c r="E123" t="s">
        <v>57</v>
      </c>
      <c r="F123" t="s">
        <v>9393</v>
      </c>
      <c r="G123" t="s">
        <v>9375</v>
      </c>
      <c r="H123" t="s">
        <v>9111</v>
      </c>
      <c r="I123" t="s">
        <v>9376</v>
      </c>
      <c r="J123" t="s">
        <v>8535</v>
      </c>
      <c r="K123" t="s">
        <v>9380</v>
      </c>
      <c r="L123" t="s">
        <v>98</v>
      </c>
      <c r="M123" t="s">
        <v>72</v>
      </c>
    </row>
    <row r="124" spans="1:13" x14ac:dyDescent="0.25">
      <c r="A124" t="s">
        <v>3662</v>
      </c>
      <c r="B124" t="s">
        <v>3663</v>
      </c>
      <c r="C124">
        <v>2025</v>
      </c>
      <c r="D124" t="s">
        <v>56</v>
      </c>
      <c r="E124" t="s">
        <v>57</v>
      </c>
      <c r="F124" t="s">
        <v>9403</v>
      </c>
      <c r="G124" t="s">
        <v>9388</v>
      </c>
      <c r="H124" t="s">
        <v>8739</v>
      </c>
      <c r="I124" t="s">
        <v>9376</v>
      </c>
      <c r="J124" t="s">
        <v>8535</v>
      </c>
      <c r="K124" t="s">
        <v>9386</v>
      </c>
      <c r="L124" t="s">
        <v>165</v>
      </c>
      <c r="M124" t="s">
        <v>72</v>
      </c>
    </row>
    <row r="125" spans="1:13" x14ac:dyDescent="0.25">
      <c r="A125" t="s">
        <v>3672</v>
      </c>
      <c r="B125" t="s">
        <v>3673</v>
      </c>
      <c r="C125">
        <v>2025</v>
      </c>
      <c r="D125" t="s">
        <v>56</v>
      </c>
      <c r="E125" t="s">
        <v>57</v>
      </c>
      <c r="F125" t="s">
        <v>8955</v>
      </c>
      <c r="G125" t="s">
        <v>9375</v>
      </c>
      <c r="H125" t="s">
        <v>8565</v>
      </c>
      <c r="I125" t="s">
        <v>9389</v>
      </c>
      <c r="J125" t="s">
        <v>8535</v>
      </c>
      <c r="K125" t="s">
        <v>9377</v>
      </c>
      <c r="L125" t="s">
        <v>61</v>
      </c>
      <c r="M125" t="s">
        <v>63</v>
      </c>
    </row>
    <row r="126" spans="1:13" x14ac:dyDescent="0.25">
      <c r="A126" t="s">
        <v>3682</v>
      </c>
      <c r="B126" t="s">
        <v>3683</v>
      </c>
      <c r="C126">
        <v>2025</v>
      </c>
      <c r="D126" t="s">
        <v>56</v>
      </c>
      <c r="E126" t="s">
        <v>57</v>
      </c>
      <c r="F126" t="s">
        <v>9406</v>
      </c>
      <c r="G126" t="s">
        <v>8761</v>
      </c>
      <c r="H126" t="s">
        <v>8565</v>
      </c>
      <c r="I126" t="s">
        <v>9395</v>
      </c>
      <c r="J126" t="s">
        <v>9390</v>
      </c>
      <c r="K126" t="s">
        <v>9386</v>
      </c>
      <c r="L126" t="s">
        <v>165</v>
      </c>
      <c r="M126" t="s">
        <v>72</v>
      </c>
    </row>
    <row r="127" spans="1:13" x14ac:dyDescent="0.25">
      <c r="A127" t="s">
        <v>3707</v>
      </c>
      <c r="B127" t="s">
        <v>3708</v>
      </c>
      <c r="C127">
        <v>2025</v>
      </c>
      <c r="D127" t="s">
        <v>56</v>
      </c>
      <c r="E127" t="s">
        <v>57</v>
      </c>
      <c r="F127" t="s">
        <v>9393</v>
      </c>
      <c r="G127" t="s">
        <v>9375</v>
      </c>
      <c r="H127" t="s">
        <v>8565</v>
      </c>
      <c r="I127" t="s">
        <v>9385</v>
      </c>
      <c r="J127" t="s">
        <v>8652</v>
      </c>
      <c r="K127" t="s">
        <v>9386</v>
      </c>
      <c r="L127" t="s">
        <v>165</v>
      </c>
      <c r="M127" t="s">
        <v>72</v>
      </c>
    </row>
    <row r="128" spans="1:13" x14ac:dyDescent="0.25">
      <c r="A128" t="s">
        <v>3754</v>
      </c>
      <c r="B128" t="s">
        <v>3755</v>
      </c>
      <c r="C128">
        <v>2025</v>
      </c>
      <c r="D128" t="s">
        <v>56</v>
      </c>
      <c r="E128" t="s">
        <v>57</v>
      </c>
      <c r="F128" t="s">
        <v>9393</v>
      </c>
      <c r="G128" t="s">
        <v>9375</v>
      </c>
      <c r="H128" t="s">
        <v>8565</v>
      </c>
      <c r="I128" t="s">
        <v>9376</v>
      </c>
      <c r="J128" t="s">
        <v>8535</v>
      </c>
      <c r="K128" t="s">
        <v>9377</v>
      </c>
      <c r="L128" t="s">
        <v>61</v>
      </c>
      <c r="M128" t="s">
        <v>63</v>
      </c>
    </row>
    <row r="129" spans="1:13" x14ac:dyDescent="0.25">
      <c r="A129" t="s">
        <v>3758</v>
      </c>
      <c r="B129" t="s">
        <v>3759</v>
      </c>
      <c r="C129">
        <v>2025</v>
      </c>
      <c r="D129" t="s">
        <v>56</v>
      </c>
      <c r="E129" t="s">
        <v>57</v>
      </c>
      <c r="F129" t="s">
        <v>9393</v>
      </c>
      <c r="G129" t="s">
        <v>9388</v>
      </c>
      <c r="H129" t="s">
        <v>8565</v>
      </c>
      <c r="I129" t="s">
        <v>9376</v>
      </c>
      <c r="J129" t="s">
        <v>8535</v>
      </c>
      <c r="K129" t="s">
        <v>9377</v>
      </c>
      <c r="L129" t="s">
        <v>61</v>
      </c>
      <c r="M129" t="s">
        <v>63</v>
      </c>
    </row>
    <row r="130" spans="1:13" x14ac:dyDescent="0.25">
      <c r="A130" t="s">
        <v>3762</v>
      </c>
      <c r="B130" t="s">
        <v>3763</v>
      </c>
      <c r="C130">
        <v>2025</v>
      </c>
      <c r="D130" t="s">
        <v>56</v>
      </c>
      <c r="E130" t="s">
        <v>57</v>
      </c>
      <c r="F130" t="s">
        <v>9387</v>
      </c>
      <c r="G130" t="s">
        <v>9388</v>
      </c>
      <c r="H130" t="s">
        <v>8565</v>
      </c>
      <c r="I130" t="s">
        <v>9392</v>
      </c>
      <c r="J130" t="s">
        <v>8535</v>
      </c>
      <c r="K130" t="s">
        <v>9377</v>
      </c>
      <c r="L130" t="s">
        <v>61</v>
      </c>
      <c r="M130" t="s">
        <v>63</v>
      </c>
    </row>
    <row r="131" spans="1:13" x14ac:dyDescent="0.25">
      <c r="A131" t="s">
        <v>3767</v>
      </c>
      <c r="B131" t="s">
        <v>3768</v>
      </c>
      <c r="C131">
        <v>2025</v>
      </c>
      <c r="D131" t="s">
        <v>56</v>
      </c>
      <c r="E131" t="s">
        <v>57</v>
      </c>
      <c r="F131" t="s">
        <v>9398</v>
      </c>
      <c r="G131" t="s">
        <v>9388</v>
      </c>
      <c r="H131" t="s">
        <v>8739</v>
      </c>
      <c r="I131" t="s">
        <v>9385</v>
      </c>
      <c r="J131" t="s">
        <v>8535</v>
      </c>
      <c r="K131" t="s">
        <v>9377</v>
      </c>
      <c r="L131" t="s">
        <v>61</v>
      </c>
      <c r="M131" t="s">
        <v>63</v>
      </c>
    </row>
    <row r="132" spans="1:13" x14ac:dyDescent="0.25">
      <c r="A132" t="s">
        <v>3956</v>
      </c>
      <c r="B132" t="s">
        <v>3957</v>
      </c>
      <c r="C132">
        <v>2025</v>
      </c>
      <c r="D132" t="s">
        <v>56</v>
      </c>
      <c r="E132" t="s">
        <v>67</v>
      </c>
      <c r="F132" t="s">
        <v>9411</v>
      </c>
      <c r="G132" t="s">
        <v>9375</v>
      </c>
      <c r="H132" t="s">
        <v>8565</v>
      </c>
      <c r="I132" t="s">
        <v>9376</v>
      </c>
      <c r="J132" t="s">
        <v>8652</v>
      </c>
      <c r="K132" t="s">
        <v>9391</v>
      </c>
      <c r="L132" t="s">
        <v>98</v>
      </c>
      <c r="M132" t="s">
        <v>72</v>
      </c>
    </row>
    <row r="133" spans="1:13" x14ac:dyDescent="0.25">
      <c r="A133" t="s">
        <v>4075</v>
      </c>
      <c r="B133" t="s">
        <v>4076</v>
      </c>
      <c r="C133">
        <v>2025</v>
      </c>
      <c r="D133" t="s">
        <v>56</v>
      </c>
      <c r="E133" t="s">
        <v>57</v>
      </c>
      <c r="F133" t="s">
        <v>9387</v>
      </c>
      <c r="G133" t="s">
        <v>9402</v>
      </c>
      <c r="H133" t="s">
        <v>8565</v>
      </c>
      <c r="I133" t="s">
        <v>9392</v>
      </c>
      <c r="J133" t="s">
        <v>8535</v>
      </c>
      <c r="K133" t="s">
        <v>9377</v>
      </c>
      <c r="L133" t="s">
        <v>61</v>
      </c>
      <c r="M133" t="s">
        <v>63</v>
      </c>
    </row>
    <row r="134" spans="1:13" x14ac:dyDescent="0.25">
      <c r="A134" t="s">
        <v>4104</v>
      </c>
      <c r="B134" t="s">
        <v>4105</v>
      </c>
      <c r="C134">
        <v>2025</v>
      </c>
      <c r="D134" t="s">
        <v>56</v>
      </c>
      <c r="E134" t="s">
        <v>57</v>
      </c>
      <c r="F134" t="s">
        <v>9381</v>
      </c>
      <c r="G134" t="s">
        <v>9388</v>
      </c>
      <c r="H134" t="s">
        <v>9319</v>
      </c>
      <c r="I134" t="s">
        <v>9389</v>
      </c>
      <c r="J134" t="s">
        <v>8535</v>
      </c>
      <c r="K134" t="s">
        <v>9380</v>
      </c>
      <c r="L134" t="s">
        <v>98</v>
      </c>
      <c r="M134" t="s">
        <v>72</v>
      </c>
    </row>
    <row r="135" spans="1:13" x14ac:dyDescent="0.25">
      <c r="A135" t="s">
        <v>4148</v>
      </c>
      <c r="B135" t="s">
        <v>4149</v>
      </c>
      <c r="C135">
        <v>2025</v>
      </c>
      <c r="D135" t="s">
        <v>56</v>
      </c>
      <c r="E135" t="s">
        <v>57</v>
      </c>
      <c r="F135" t="s">
        <v>9393</v>
      </c>
      <c r="G135" t="s">
        <v>8761</v>
      </c>
      <c r="H135" t="s">
        <v>8739</v>
      </c>
      <c r="I135" t="s">
        <v>9392</v>
      </c>
      <c r="J135" t="s">
        <v>8535</v>
      </c>
      <c r="K135" t="s">
        <v>9386</v>
      </c>
      <c r="L135" t="s">
        <v>165</v>
      </c>
      <c r="M135" t="s">
        <v>72</v>
      </c>
    </row>
    <row r="136" spans="1:13" x14ac:dyDescent="0.25">
      <c r="A136" t="s">
        <v>4152</v>
      </c>
      <c r="B136" t="s">
        <v>4153</v>
      </c>
      <c r="C136">
        <v>2025</v>
      </c>
      <c r="D136" t="s">
        <v>56</v>
      </c>
      <c r="E136" t="s">
        <v>57</v>
      </c>
      <c r="F136" t="s">
        <v>9393</v>
      </c>
      <c r="G136" t="s">
        <v>9382</v>
      </c>
      <c r="H136" t="s">
        <v>8565</v>
      </c>
      <c r="I136" t="s">
        <v>9389</v>
      </c>
      <c r="J136" t="s">
        <v>8535</v>
      </c>
      <c r="K136" t="s">
        <v>9380</v>
      </c>
      <c r="L136" t="s">
        <v>98</v>
      </c>
      <c r="M136" t="s">
        <v>72</v>
      </c>
    </row>
    <row r="137" spans="1:13" x14ac:dyDescent="0.25">
      <c r="A137" t="s">
        <v>4214</v>
      </c>
      <c r="B137" t="s">
        <v>4215</v>
      </c>
      <c r="C137">
        <v>2025</v>
      </c>
      <c r="D137" t="s">
        <v>56</v>
      </c>
      <c r="E137" t="s">
        <v>57</v>
      </c>
      <c r="F137" t="s">
        <v>8955</v>
      </c>
      <c r="G137" t="s">
        <v>9375</v>
      </c>
      <c r="H137" t="s">
        <v>9396</v>
      </c>
      <c r="I137" t="s">
        <v>9389</v>
      </c>
      <c r="J137" t="s">
        <v>8535</v>
      </c>
      <c r="K137" t="s">
        <v>9380</v>
      </c>
      <c r="L137" t="s">
        <v>98</v>
      </c>
      <c r="M137" t="s">
        <v>72</v>
      </c>
    </row>
    <row r="138" spans="1:13" x14ac:dyDescent="0.25">
      <c r="A138" t="s">
        <v>4230</v>
      </c>
      <c r="B138" t="s">
        <v>4231</v>
      </c>
      <c r="C138">
        <v>2025</v>
      </c>
      <c r="D138" t="s">
        <v>56</v>
      </c>
      <c r="E138" t="s">
        <v>57</v>
      </c>
      <c r="F138" t="s">
        <v>9393</v>
      </c>
      <c r="G138" t="s">
        <v>9375</v>
      </c>
      <c r="H138" t="s">
        <v>8565</v>
      </c>
      <c r="I138" t="s">
        <v>9392</v>
      </c>
      <c r="J138" t="s">
        <v>8535</v>
      </c>
      <c r="K138" t="s">
        <v>9386</v>
      </c>
      <c r="L138" t="s">
        <v>165</v>
      </c>
      <c r="M138" t="s">
        <v>72</v>
      </c>
    </row>
    <row r="139" spans="1:13" x14ac:dyDescent="0.25">
      <c r="A139" t="s">
        <v>4265</v>
      </c>
      <c r="B139" t="s">
        <v>4266</v>
      </c>
      <c r="C139">
        <v>2025</v>
      </c>
      <c r="D139" t="s">
        <v>56</v>
      </c>
      <c r="E139" t="s">
        <v>67</v>
      </c>
      <c r="F139" t="s">
        <v>9393</v>
      </c>
      <c r="G139" t="s">
        <v>9388</v>
      </c>
      <c r="H139" t="s">
        <v>8565</v>
      </c>
      <c r="I139" t="s">
        <v>9385</v>
      </c>
      <c r="J139" t="s">
        <v>8652</v>
      </c>
      <c r="K139" t="s">
        <v>9391</v>
      </c>
      <c r="L139" t="s">
        <v>98</v>
      </c>
      <c r="M139" t="s">
        <v>72</v>
      </c>
    </row>
    <row r="140" spans="1:13" x14ac:dyDescent="0.25">
      <c r="A140" t="s">
        <v>4285</v>
      </c>
      <c r="B140" t="s">
        <v>4286</v>
      </c>
      <c r="C140">
        <v>2025</v>
      </c>
      <c r="D140" t="s">
        <v>56</v>
      </c>
      <c r="E140" t="s">
        <v>67</v>
      </c>
      <c r="F140" t="s">
        <v>9387</v>
      </c>
      <c r="G140" t="s">
        <v>9378</v>
      </c>
      <c r="H140" t="s">
        <v>3217</v>
      </c>
      <c r="I140" t="s">
        <v>9154</v>
      </c>
      <c r="J140" t="s">
        <v>9379</v>
      </c>
      <c r="K140" t="s">
        <v>9380</v>
      </c>
      <c r="L140" t="s">
        <v>98</v>
      </c>
      <c r="M140" t="s">
        <v>72</v>
      </c>
    </row>
    <row r="141" spans="1:13" x14ac:dyDescent="0.25">
      <c r="A141" t="s">
        <v>4295</v>
      </c>
      <c r="B141" t="s">
        <v>4296</v>
      </c>
      <c r="C141">
        <v>2025</v>
      </c>
      <c r="D141" t="s">
        <v>56</v>
      </c>
      <c r="E141" t="s">
        <v>57</v>
      </c>
      <c r="F141" t="s">
        <v>9393</v>
      </c>
      <c r="G141" t="s">
        <v>9375</v>
      </c>
      <c r="H141" t="s">
        <v>8565</v>
      </c>
      <c r="I141" t="s">
        <v>9392</v>
      </c>
      <c r="J141" t="s">
        <v>9397</v>
      </c>
      <c r="K141" t="s">
        <v>9377</v>
      </c>
      <c r="L141" t="s">
        <v>61</v>
      </c>
      <c r="M141" t="s">
        <v>63</v>
      </c>
    </row>
    <row r="142" spans="1:13" x14ac:dyDescent="0.25">
      <c r="A142" t="s">
        <v>4319</v>
      </c>
      <c r="B142" t="s">
        <v>4320</v>
      </c>
      <c r="C142">
        <v>2025</v>
      </c>
      <c r="D142" t="s">
        <v>56</v>
      </c>
      <c r="E142" t="s">
        <v>57</v>
      </c>
      <c r="F142" t="s">
        <v>9393</v>
      </c>
      <c r="G142" t="s">
        <v>9388</v>
      </c>
      <c r="H142" t="s">
        <v>8565</v>
      </c>
      <c r="I142" t="s">
        <v>9376</v>
      </c>
      <c r="J142" t="s">
        <v>8535</v>
      </c>
      <c r="K142" t="s">
        <v>9377</v>
      </c>
      <c r="L142" t="s">
        <v>61</v>
      </c>
      <c r="M142" t="s">
        <v>63</v>
      </c>
    </row>
    <row r="143" spans="1:13" x14ac:dyDescent="0.25">
      <c r="A143" t="s">
        <v>4402</v>
      </c>
      <c r="B143" t="s">
        <v>4403</v>
      </c>
      <c r="C143">
        <v>2025</v>
      </c>
      <c r="D143" t="s">
        <v>56</v>
      </c>
      <c r="E143" t="s">
        <v>67</v>
      </c>
      <c r="F143" t="s">
        <v>9412</v>
      </c>
      <c r="G143" t="s">
        <v>9378</v>
      </c>
      <c r="H143" t="s">
        <v>3217</v>
      </c>
      <c r="I143" t="s">
        <v>9376</v>
      </c>
      <c r="J143" t="s">
        <v>9379</v>
      </c>
      <c r="K143" t="s">
        <v>9391</v>
      </c>
      <c r="L143" t="s">
        <v>98</v>
      </c>
      <c r="M143" t="s">
        <v>72</v>
      </c>
    </row>
    <row r="144" spans="1:13" x14ac:dyDescent="0.25">
      <c r="A144" t="s">
        <v>4452</v>
      </c>
      <c r="B144" t="s">
        <v>4453</v>
      </c>
      <c r="C144">
        <v>2025</v>
      </c>
      <c r="D144" t="s">
        <v>56</v>
      </c>
      <c r="E144" t="s">
        <v>57</v>
      </c>
      <c r="F144" t="s">
        <v>9387</v>
      </c>
      <c r="G144" t="s">
        <v>9388</v>
      </c>
      <c r="H144" t="s">
        <v>8739</v>
      </c>
      <c r="I144" t="s">
        <v>9376</v>
      </c>
      <c r="J144" t="s">
        <v>8535</v>
      </c>
      <c r="K144" t="s">
        <v>9377</v>
      </c>
      <c r="L144" t="s">
        <v>61</v>
      </c>
      <c r="M144" t="s">
        <v>63</v>
      </c>
    </row>
    <row r="145" spans="1:13" x14ac:dyDescent="0.25">
      <c r="A145" t="s">
        <v>4457</v>
      </c>
      <c r="B145" t="s">
        <v>4458</v>
      </c>
      <c r="C145">
        <v>2025</v>
      </c>
      <c r="D145" t="s">
        <v>56</v>
      </c>
      <c r="E145" t="s">
        <v>67</v>
      </c>
      <c r="F145" t="s">
        <v>9387</v>
      </c>
      <c r="G145" t="s">
        <v>9388</v>
      </c>
      <c r="H145" t="s">
        <v>9396</v>
      </c>
      <c r="I145" t="s">
        <v>9389</v>
      </c>
      <c r="J145" t="s">
        <v>8535</v>
      </c>
      <c r="K145" t="s">
        <v>9391</v>
      </c>
      <c r="L145" t="s">
        <v>98</v>
      </c>
      <c r="M145" t="s">
        <v>72</v>
      </c>
    </row>
    <row r="146" spans="1:13" x14ac:dyDescent="0.25">
      <c r="A146" t="s">
        <v>4475</v>
      </c>
      <c r="B146" t="s">
        <v>4476</v>
      </c>
      <c r="C146">
        <v>2025</v>
      </c>
      <c r="D146" t="s">
        <v>56</v>
      </c>
      <c r="E146" t="s">
        <v>57</v>
      </c>
      <c r="F146" t="s">
        <v>9393</v>
      </c>
      <c r="G146" t="s">
        <v>9382</v>
      </c>
      <c r="H146" t="s">
        <v>916</v>
      </c>
      <c r="I146" t="s">
        <v>9392</v>
      </c>
      <c r="J146" t="s">
        <v>8535</v>
      </c>
      <c r="K146" t="s">
        <v>9386</v>
      </c>
      <c r="L146" t="s">
        <v>165</v>
      </c>
      <c r="M146" t="s">
        <v>72</v>
      </c>
    </row>
    <row r="147" spans="1:13" x14ac:dyDescent="0.25">
      <c r="A147" t="s">
        <v>4638</v>
      </c>
      <c r="B147" t="s">
        <v>4639</v>
      </c>
      <c r="C147">
        <v>2025</v>
      </c>
      <c r="D147" t="s">
        <v>56</v>
      </c>
      <c r="E147" t="s">
        <v>67</v>
      </c>
      <c r="F147" t="s">
        <v>9381</v>
      </c>
      <c r="G147" t="s">
        <v>8761</v>
      </c>
      <c r="H147" t="s">
        <v>8565</v>
      </c>
      <c r="I147" t="s">
        <v>9376</v>
      </c>
      <c r="J147" t="s">
        <v>8535</v>
      </c>
      <c r="K147" t="s">
        <v>9380</v>
      </c>
      <c r="L147" t="s">
        <v>98</v>
      </c>
      <c r="M147" t="s">
        <v>72</v>
      </c>
    </row>
    <row r="148" spans="1:13" x14ac:dyDescent="0.25">
      <c r="A148" t="s">
        <v>4657</v>
      </c>
      <c r="B148" t="s">
        <v>4658</v>
      </c>
      <c r="C148">
        <v>2025</v>
      </c>
      <c r="D148" t="s">
        <v>56</v>
      </c>
      <c r="E148" t="s">
        <v>57</v>
      </c>
      <c r="F148" t="s">
        <v>9387</v>
      </c>
      <c r="G148" t="s">
        <v>9388</v>
      </c>
      <c r="H148" t="s">
        <v>8739</v>
      </c>
      <c r="I148" t="s">
        <v>9392</v>
      </c>
      <c r="J148" t="s">
        <v>9379</v>
      </c>
      <c r="K148" t="s">
        <v>9391</v>
      </c>
      <c r="L148" t="s">
        <v>98</v>
      </c>
      <c r="M148" t="s">
        <v>72</v>
      </c>
    </row>
    <row r="149" spans="1:13" x14ac:dyDescent="0.25">
      <c r="A149" t="s">
        <v>4713</v>
      </c>
      <c r="B149" t="s">
        <v>4714</v>
      </c>
      <c r="C149">
        <v>2025</v>
      </c>
      <c r="D149" t="s">
        <v>56</v>
      </c>
      <c r="E149" t="s">
        <v>67</v>
      </c>
      <c r="F149" t="s">
        <v>9387</v>
      </c>
      <c r="G149" t="s">
        <v>8761</v>
      </c>
      <c r="H149" t="s">
        <v>8565</v>
      </c>
      <c r="I149" t="s">
        <v>9376</v>
      </c>
      <c r="J149" t="s">
        <v>8535</v>
      </c>
      <c r="K149" t="s">
        <v>9380</v>
      </c>
      <c r="L149" t="s">
        <v>98</v>
      </c>
      <c r="M149" t="s">
        <v>72</v>
      </c>
    </row>
    <row r="150" spans="1:13" x14ac:dyDescent="0.25">
      <c r="A150" t="s">
        <v>4777</v>
      </c>
      <c r="B150" t="s">
        <v>4778</v>
      </c>
      <c r="C150">
        <v>2025</v>
      </c>
      <c r="D150" t="s">
        <v>56</v>
      </c>
      <c r="E150" t="s">
        <v>57</v>
      </c>
      <c r="F150" t="s">
        <v>9412</v>
      </c>
      <c r="G150" t="s">
        <v>9375</v>
      </c>
      <c r="H150" t="s">
        <v>9394</v>
      </c>
      <c r="I150" t="s">
        <v>9376</v>
      </c>
      <c r="J150" t="s">
        <v>8535</v>
      </c>
      <c r="K150" t="s">
        <v>9377</v>
      </c>
      <c r="L150" t="s">
        <v>61</v>
      </c>
      <c r="M150" t="s">
        <v>63</v>
      </c>
    </row>
    <row r="151" spans="1:13" x14ac:dyDescent="0.25">
      <c r="A151" t="s">
        <v>4854</v>
      </c>
      <c r="B151" t="s">
        <v>4855</v>
      </c>
      <c r="C151">
        <v>2025</v>
      </c>
      <c r="D151" t="s">
        <v>56</v>
      </c>
      <c r="E151" t="s">
        <v>57</v>
      </c>
      <c r="F151" t="s">
        <v>9387</v>
      </c>
      <c r="G151" t="s">
        <v>9388</v>
      </c>
      <c r="H151" t="s">
        <v>8565</v>
      </c>
      <c r="I151" t="s">
        <v>9389</v>
      </c>
      <c r="J151" t="s">
        <v>8535</v>
      </c>
      <c r="K151" t="s">
        <v>9377</v>
      </c>
      <c r="L151" t="s">
        <v>61</v>
      </c>
      <c r="M151" t="s">
        <v>63</v>
      </c>
    </row>
    <row r="152" spans="1:13" x14ac:dyDescent="0.25">
      <c r="A152" t="s">
        <v>4874</v>
      </c>
      <c r="B152" t="s">
        <v>4875</v>
      </c>
      <c r="C152">
        <v>2025</v>
      </c>
      <c r="D152" t="s">
        <v>56</v>
      </c>
      <c r="E152" t="s">
        <v>67</v>
      </c>
      <c r="F152" t="s">
        <v>9387</v>
      </c>
      <c r="G152" t="s">
        <v>9388</v>
      </c>
      <c r="H152" t="s">
        <v>8739</v>
      </c>
      <c r="I152" t="s">
        <v>9389</v>
      </c>
      <c r="J152" t="s">
        <v>8535</v>
      </c>
      <c r="K152" t="s">
        <v>9391</v>
      </c>
      <c r="L152" t="s">
        <v>98</v>
      </c>
      <c r="M152" t="s">
        <v>72</v>
      </c>
    </row>
    <row r="153" spans="1:13" x14ac:dyDescent="0.25">
      <c r="A153" t="s">
        <v>4883</v>
      </c>
      <c r="B153" t="s">
        <v>4884</v>
      </c>
      <c r="C153">
        <v>2025</v>
      </c>
      <c r="D153" t="s">
        <v>56</v>
      </c>
      <c r="E153" t="s">
        <v>57</v>
      </c>
      <c r="F153" t="s">
        <v>9387</v>
      </c>
      <c r="G153" t="s">
        <v>9388</v>
      </c>
      <c r="H153" t="s">
        <v>8949</v>
      </c>
      <c r="I153" t="s">
        <v>9376</v>
      </c>
      <c r="J153" t="s">
        <v>8535</v>
      </c>
      <c r="K153" t="s">
        <v>9400</v>
      </c>
      <c r="L153" t="s">
        <v>61</v>
      </c>
      <c r="M153" t="s">
        <v>63</v>
      </c>
    </row>
    <row r="154" spans="1:13" x14ac:dyDescent="0.25">
      <c r="A154" t="s">
        <v>4937</v>
      </c>
      <c r="B154" t="s">
        <v>4938</v>
      </c>
      <c r="C154">
        <v>2025</v>
      </c>
      <c r="D154" t="s">
        <v>56</v>
      </c>
      <c r="E154" t="s">
        <v>67</v>
      </c>
      <c r="F154" t="s">
        <v>9403</v>
      </c>
      <c r="G154" t="s">
        <v>9382</v>
      </c>
      <c r="H154" t="s">
        <v>8739</v>
      </c>
      <c r="I154" t="s">
        <v>9389</v>
      </c>
      <c r="J154" t="s">
        <v>9397</v>
      </c>
      <c r="K154" t="s">
        <v>9380</v>
      </c>
      <c r="L154" t="s">
        <v>98</v>
      </c>
      <c r="M154" t="s">
        <v>72</v>
      </c>
    </row>
    <row r="155" spans="1:13" x14ac:dyDescent="0.25">
      <c r="A155" t="s">
        <v>4981</v>
      </c>
      <c r="B155" t="s">
        <v>4982</v>
      </c>
      <c r="C155">
        <v>2025</v>
      </c>
      <c r="D155" t="s">
        <v>56</v>
      </c>
      <c r="E155" t="s">
        <v>67</v>
      </c>
      <c r="F155" t="s">
        <v>8955</v>
      </c>
      <c r="G155" t="s">
        <v>9388</v>
      </c>
      <c r="H155" t="s">
        <v>8565</v>
      </c>
      <c r="I155" t="s">
        <v>9376</v>
      </c>
      <c r="J155" t="s">
        <v>9397</v>
      </c>
      <c r="K155" t="s">
        <v>9400</v>
      </c>
      <c r="L155" t="s">
        <v>61</v>
      </c>
      <c r="M155" t="s">
        <v>63</v>
      </c>
    </row>
    <row r="156" spans="1:13" x14ac:dyDescent="0.25">
      <c r="A156" t="s">
        <v>4999</v>
      </c>
      <c r="B156" t="s">
        <v>5000</v>
      </c>
      <c r="C156">
        <v>2025</v>
      </c>
      <c r="D156" t="s">
        <v>56</v>
      </c>
      <c r="E156" t="s">
        <v>57</v>
      </c>
      <c r="F156" t="s">
        <v>9384</v>
      </c>
      <c r="G156" t="s">
        <v>9375</v>
      </c>
      <c r="H156" t="s">
        <v>9396</v>
      </c>
      <c r="I156" t="s">
        <v>9392</v>
      </c>
      <c r="J156" t="s">
        <v>8535</v>
      </c>
      <c r="K156" t="s">
        <v>9386</v>
      </c>
      <c r="L156" t="s">
        <v>165</v>
      </c>
      <c r="M156" t="s">
        <v>72</v>
      </c>
    </row>
    <row r="157" spans="1:13" x14ac:dyDescent="0.25">
      <c r="A157" t="s">
        <v>5008</v>
      </c>
      <c r="B157" t="s">
        <v>5009</v>
      </c>
      <c r="C157">
        <v>2025</v>
      </c>
      <c r="D157" t="s">
        <v>56</v>
      </c>
      <c r="E157" t="s">
        <v>57</v>
      </c>
      <c r="F157" t="s">
        <v>9393</v>
      </c>
      <c r="G157" t="s">
        <v>9402</v>
      </c>
      <c r="H157" t="s">
        <v>9396</v>
      </c>
      <c r="I157" t="s">
        <v>9392</v>
      </c>
      <c r="J157" t="s">
        <v>8535</v>
      </c>
      <c r="K157" t="s">
        <v>9391</v>
      </c>
      <c r="L157" t="s">
        <v>98</v>
      </c>
      <c r="M157" t="s">
        <v>72</v>
      </c>
    </row>
    <row r="158" spans="1:13" x14ac:dyDescent="0.25">
      <c r="A158" t="s">
        <v>5013</v>
      </c>
      <c r="B158" t="s">
        <v>5014</v>
      </c>
      <c r="C158">
        <v>2025</v>
      </c>
      <c r="D158" t="s">
        <v>56</v>
      </c>
      <c r="E158" t="s">
        <v>57</v>
      </c>
      <c r="F158" t="s">
        <v>9381</v>
      </c>
      <c r="G158" t="s">
        <v>9388</v>
      </c>
      <c r="H158" t="s">
        <v>8565</v>
      </c>
      <c r="I158" t="s">
        <v>9392</v>
      </c>
      <c r="J158" t="s">
        <v>8535</v>
      </c>
      <c r="K158" t="s">
        <v>9380</v>
      </c>
      <c r="L158" t="s">
        <v>98</v>
      </c>
      <c r="M158" t="s">
        <v>72</v>
      </c>
    </row>
    <row r="159" spans="1:13" x14ac:dyDescent="0.25">
      <c r="A159" t="s">
        <v>5027</v>
      </c>
      <c r="B159" t="s">
        <v>5028</v>
      </c>
      <c r="C159">
        <v>2025</v>
      </c>
      <c r="D159" t="s">
        <v>56</v>
      </c>
      <c r="E159" t="s">
        <v>57</v>
      </c>
      <c r="F159" t="s">
        <v>9410</v>
      </c>
      <c r="G159" t="s">
        <v>9388</v>
      </c>
      <c r="H159" t="s">
        <v>8565</v>
      </c>
      <c r="I159" t="s">
        <v>9392</v>
      </c>
      <c r="J159" t="s">
        <v>8535</v>
      </c>
      <c r="K159" t="s">
        <v>9377</v>
      </c>
      <c r="L159" t="s">
        <v>61</v>
      </c>
      <c r="M159" t="s">
        <v>63</v>
      </c>
    </row>
    <row r="160" spans="1:13" x14ac:dyDescent="0.25">
      <c r="A160" t="s">
        <v>5036</v>
      </c>
      <c r="B160" t="s">
        <v>5037</v>
      </c>
      <c r="C160">
        <v>2025</v>
      </c>
      <c r="D160" t="s">
        <v>56</v>
      </c>
      <c r="E160" t="s">
        <v>57</v>
      </c>
      <c r="F160" t="s">
        <v>9384</v>
      </c>
      <c r="G160" t="s">
        <v>9388</v>
      </c>
      <c r="H160" t="s">
        <v>8565</v>
      </c>
      <c r="I160" t="s">
        <v>9376</v>
      </c>
      <c r="J160" t="s">
        <v>8535</v>
      </c>
      <c r="K160" t="s">
        <v>9377</v>
      </c>
      <c r="L160" t="s">
        <v>61</v>
      </c>
      <c r="M160" t="s">
        <v>63</v>
      </c>
    </row>
    <row r="161" spans="1:13" x14ac:dyDescent="0.25">
      <c r="A161" t="s">
        <v>5052</v>
      </c>
      <c r="B161" t="s">
        <v>5053</v>
      </c>
      <c r="C161">
        <v>2025</v>
      </c>
      <c r="D161" t="s">
        <v>56</v>
      </c>
      <c r="E161" t="s">
        <v>57</v>
      </c>
      <c r="F161" t="s">
        <v>9403</v>
      </c>
      <c r="G161" t="s">
        <v>9388</v>
      </c>
      <c r="H161" t="s">
        <v>8739</v>
      </c>
      <c r="I161" t="s">
        <v>9389</v>
      </c>
      <c r="J161" t="s">
        <v>8535</v>
      </c>
      <c r="K161" t="s">
        <v>9400</v>
      </c>
      <c r="L161" t="s">
        <v>61</v>
      </c>
      <c r="M161" t="s">
        <v>63</v>
      </c>
    </row>
    <row r="162" spans="1:13" x14ac:dyDescent="0.25">
      <c r="A162" t="s">
        <v>5086</v>
      </c>
      <c r="B162" t="s">
        <v>5087</v>
      </c>
      <c r="C162">
        <v>2025</v>
      </c>
      <c r="D162" t="s">
        <v>56</v>
      </c>
      <c r="E162" t="s">
        <v>57</v>
      </c>
      <c r="F162" t="s">
        <v>9381</v>
      </c>
      <c r="G162" t="s">
        <v>9402</v>
      </c>
      <c r="H162" t="s">
        <v>9319</v>
      </c>
      <c r="I162" t="s">
        <v>9392</v>
      </c>
      <c r="J162" t="s">
        <v>8535</v>
      </c>
      <c r="K162" t="s">
        <v>9386</v>
      </c>
      <c r="L162" t="s">
        <v>165</v>
      </c>
      <c r="M162" t="s">
        <v>72</v>
      </c>
    </row>
    <row r="163" spans="1:13" x14ac:dyDescent="0.25">
      <c r="A163" t="s">
        <v>5180</v>
      </c>
      <c r="B163" t="s">
        <v>5181</v>
      </c>
      <c r="C163">
        <v>2025</v>
      </c>
      <c r="D163" t="s">
        <v>56</v>
      </c>
      <c r="E163" t="s">
        <v>57</v>
      </c>
      <c r="F163" t="s">
        <v>9393</v>
      </c>
      <c r="G163" t="s">
        <v>9382</v>
      </c>
      <c r="H163" t="s">
        <v>8565</v>
      </c>
      <c r="I163" t="s">
        <v>9392</v>
      </c>
      <c r="J163" t="s">
        <v>8535</v>
      </c>
      <c r="K163" t="s">
        <v>9377</v>
      </c>
      <c r="L163" t="s">
        <v>61</v>
      </c>
      <c r="M163" t="s">
        <v>63</v>
      </c>
    </row>
    <row r="164" spans="1:13" x14ac:dyDescent="0.25">
      <c r="A164" t="s">
        <v>5208</v>
      </c>
      <c r="B164" t="s">
        <v>5209</v>
      </c>
      <c r="C164">
        <v>2025</v>
      </c>
      <c r="D164" t="s">
        <v>56</v>
      </c>
      <c r="E164" t="s">
        <v>67</v>
      </c>
      <c r="F164" t="s">
        <v>9393</v>
      </c>
      <c r="G164" t="s">
        <v>9382</v>
      </c>
      <c r="H164" t="s">
        <v>9401</v>
      </c>
      <c r="I164" t="s">
        <v>9389</v>
      </c>
      <c r="J164" t="s">
        <v>9379</v>
      </c>
      <c r="K164" t="s">
        <v>9380</v>
      </c>
      <c r="L164" t="s">
        <v>98</v>
      </c>
      <c r="M164" t="s">
        <v>72</v>
      </c>
    </row>
    <row r="165" spans="1:13" x14ac:dyDescent="0.25">
      <c r="A165" t="s">
        <v>5229</v>
      </c>
      <c r="B165" t="s">
        <v>5230</v>
      </c>
      <c r="C165">
        <v>2025</v>
      </c>
      <c r="D165" t="s">
        <v>56</v>
      </c>
      <c r="E165" t="s">
        <v>57</v>
      </c>
      <c r="F165" t="s">
        <v>9381</v>
      </c>
      <c r="G165" t="s">
        <v>9388</v>
      </c>
      <c r="H165" t="s">
        <v>916</v>
      </c>
      <c r="I165" t="s">
        <v>9389</v>
      </c>
      <c r="J165" t="s">
        <v>8652</v>
      </c>
      <c r="K165" t="s">
        <v>9386</v>
      </c>
      <c r="L165" t="s">
        <v>165</v>
      </c>
      <c r="M165" t="s">
        <v>72</v>
      </c>
    </row>
    <row r="166" spans="1:13" x14ac:dyDescent="0.25">
      <c r="A166" t="s">
        <v>5290</v>
      </c>
      <c r="B166" t="s">
        <v>5291</v>
      </c>
      <c r="C166">
        <v>2024</v>
      </c>
      <c r="D166" t="s">
        <v>56</v>
      </c>
      <c r="E166" t="s">
        <v>67</v>
      </c>
      <c r="F166" t="s">
        <v>9387</v>
      </c>
      <c r="G166" t="s">
        <v>9388</v>
      </c>
      <c r="H166" t="s">
        <v>8739</v>
      </c>
      <c r="I166" t="s">
        <v>9389</v>
      </c>
      <c r="J166" t="s">
        <v>8535</v>
      </c>
      <c r="K166" t="s">
        <v>9380</v>
      </c>
      <c r="L166" t="s">
        <v>98</v>
      </c>
      <c r="M166" t="s">
        <v>72</v>
      </c>
    </row>
    <row r="167" spans="1:13" x14ac:dyDescent="0.25">
      <c r="A167" t="s">
        <v>5295</v>
      </c>
      <c r="B167" t="s">
        <v>5296</v>
      </c>
      <c r="C167">
        <v>2024</v>
      </c>
      <c r="D167" t="s">
        <v>56</v>
      </c>
      <c r="E167" t="s">
        <v>67</v>
      </c>
      <c r="F167" t="s">
        <v>9387</v>
      </c>
      <c r="G167" t="s">
        <v>8761</v>
      </c>
      <c r="H167" t="s">
        <v>9394</v>
      </c>
      <c r="I167" t="s">
        <v>9389</v>
      </c>
      <c r="J167" t="s">
        <v>8652</v>
      </c>
      <c r="K167" t="s">
        <v>9391</v>
      </c>
      <c r="L167" t="s">
        <v>98</v>
      </c>
      <c r="M167" t="s">
        <v>72</v>
      </c>
    </row>
    <row r="168" spans="1:13" x14ac:dyDescent="0.25">
      <c r="A168" t="s">
        <v>5306</v>
      </c>
      <c r="B168" t="s">
        <v>5307</v>
      </c>
      <c r="C168">
        <v>2024</v>
      </c>
      <c r="D168" t="s">
        <v>56</v>
      </c>
      <c r="E168" t="s">
        <v>57</v>
      </c>
      <c r="F168" t="s">
        <v>8955</v>
      </c>
      <c r="G168" t="s">
        <v>9409</v>
      </c>
      <c r="H168" t="s">
        <v>9405</v>
      </c>
      <c r="I168" t="s">
        <v>9385</v>
      </c>
      <c r="J168" t="s">
        <v>8535</v>
      </c>
      <c r="K168" t="s">
        <v>9380</v>
      </c>
      <c r="L168" t="s">
        <v>98</v>
      </c>
      <c r="M168" t="s">
        <v>72</v>
      </c>
    </row>
    <row r="169" spans="1:13" x14ac:dyDescent="0.25">
      <c r="A169" t="s">
        <v>5311</v>
      </c>
      <c r="B169" t="s">
        <v>5312</v>
      </c>
      <c r="C169">
        <v>2024</v>
      </c>
      <c r="D169" t="s">
        <v>56</v>
      </c>
      <c r="E169" t="s">
        <v>57</v>
      </c>
      <c r="F169" t="s">
        <v>9393</v>
      </c>
      <c r="G169" t="s">
        <v>9378</v>
      </c>
      <c r="H169" t="s">
        <v>8565</v>
      </c>
      <c r="I169" t="s">
        <v>9392</v>
      </c>
      <c r="J169" t="s">
        <v>8535</v>
      </c>
      <c r="K169" t="s">
        <v>9377</v>
      </c>
      <c r="L169" t="s">
        <v>61</v>
      </c>
      <c r="M169" t="s">
        <v>63</v>
      </c>
    </row>
    <row r="170" spans="1:13" x14ac:dyDescent="0.25">
      <c r="A170" t="s">
        <v>5317</v>
      </c>
      <c r="B170" t="s">
        <v>5318</v>
      </c>
      <c r="C170">
        <v>2024</v>
      </c>
      <c r="D170" t="s">
        <v>56</v>
      </c>
      <c r="E170" t="s">
        <v>57</v>
      </c>
      <c r="F170" t="s">
        <v>8955</v>
      </c>
      <c r="G170" t="s">
        <v>9382</v>
      </c>
      <c r="H170" t="s">
        <v>9396</v>
      </c>
      <c r="I170" t="s">
        <v>9392</v>
      </c>
      <c r="J170" t="s">
        <v>8535</v>
      </c>
      <c r="K170" t="s">
        <v>9380</v>
      </c>
      <c r="L170" t="s">
        <v>98</v>
      </c>
      <c r="M170" t="s">
        <v>72</v>
      </c>
    </row>
    <row r="171" spans="1:13" x14ac:dyDescent="0.25">
      <c r="A171" t="s">
        <v>5322</v>
      </c>
      <c r="B171" t="s">
        <v>5323</v>
      </c>
      <c r="C171">
        <v>2024</v>
      </c>
      <c r="D171" t="s">
        <v>56</v>
      </c>
      <c r="E171" t="s">
        <v>57</v>
      </c>
      <c r="F171" t="s">
        <v>8955</v>
      </c>
      <c r="G171" t="s">
        <v>9375</v>
      </c>
      <c r="H171" t="s">
        <v>8565</v>
      </c>
      <c r="I171" t="s">
        <v>9392</v>
      </c>
      <c r="J171" t="s">
        <v>8535</v>
      </c>
      <c r="K171" t="s">
        <v>9377</v>
      </c>
      <c r="L171" t="s">
        <v>61</v>
      </c>
      <c r="M171" t="s">
        <v>63</v>
      </c>
    </row>
    <row r="172" spans="1:13" x14ac:dyDescent="0.25">
      <c r="A172" t="s">
        <v>5331</v>
      </c>
      <c r="B172" t="s">
        <v>5332</v>
      </c>
      <c r="C172">
        <v>2024</v>
      </c>
      <c r="D172" t="s">
        <v>56</v>
      </c>
      <c r="E172" t="s">
        <v>67</v>
      </c>
      <c r="F172" t="s">
        <v>9406</v>
      </c>
      <c r="G172" t="s">
        <v>8761</v>
      </c>
      <c r="H172" t="s">
        <v>8565</v>
      </c>
      <c r="I172" t="s">
        <v>9376</v>
      </c>
      <c r="J172" t="s">
        <v>8535</v>
      </c>
      <c r="K172" t="s">
        <v>9386</v>
      </c>
      <c r="L172" t="s">
        <v>165</v>
      </c>
      <c r="M172" t="s">
        <v>72</v>
      </c>
    </row>
    <row r="173" spans="1:13" x14ac:dyDescent="0.25">
      <c r="A173" t="s">
        <v>5347</v>
      </c>
      <c r="B173" t="s">
        <v>5348</v>
      </c>
      <c r="C173">
        <v>2024</v>
      </c>
      <c r="D173" t="s">
        <v>56</v>
      </c>
      <c r="E173" t="s">
        <v>57</v>
      </c>
      <c r="F173" t="s">
        <v>8955</v>
      </c>
      <c r="G173" t="s">
        <v>8761</v>
      </c>
      <c r="H173" t="s">
        <v>9396</v>
      </c>
      <c r="I173" t="s">
        <v>9385</v>
      </c>
      <c r="J173" t="s">
        <v>8535</v>
      </c>
      <c r="K173" t="s">
        <v>9386</v>
      </c>
      <c r="L173" t="s">
        <v>165</v>
      </c>
      <c r="M173" t="s">
        <v>72</v>
      </c>
    </row>
    <row r="174" spans="1:13" x14ac:dyDescent="0.25">
      <c r="A174" t="s">
        <v>5369</v>
      </c>
      <c r="B174" t="s">
        <v>5370</v>
      </c>
      <c r="C174">
        <v>2024</v>
      </c>
      <c r="D174" t="s">
        <v>56</v>
      </c>
      <c r="E174" t="s">
        <v>57</v>
      </c>
      <c r="F174" t="s">
        <v>9387</v>
      </c>
      <c r="G174" t="s">
        <v>9388</v>
      </c>
      <c r="H174" t="s">
        <v>8565</v>
      </c>
      <c r="I174" t="s">
        <v>9385</v>
      </c>
      <c r="J174" t="s">
        <v>9397</v>
      </c>
      <c r="K174" t="s">
        <v>9400</v>
      </c>
      <c r="L174" t="s">
        <v>61</v>
      </c>
      <c r="M174" t="s">
        <v>63</v>
      </c>
    </row>
    <row r="175" spans="1:13" x14ac:dyDescent="0.25">
      <c r="A175" t="s">
        <v>5433</v>
      </c>
      <c r="B175" t="s">
        <v>5434</v>
      </c>
      <c r="C175">
        <v>2024</v>
      </c>
      <c r="D175" t="s">
        <v>56</v>
      </c>
      <c r="E175" t="s">
        <v>57</v>
      </c>
      <c r="F175" t="s">
        <v>9381</v>
      </c>
      <c r="G175" t="s">
        <v>9388</v>
      </c>
      <c r="H175" t="s">
        <v>9111</v>
      </c>
      <c r="I175" t="s">
        <v>9392</v>
      </c>
      <c r="J175" t="s">
        <v>8535</v>
      </c>
      <c r="K175" t="s">
        <v>9377</v>
      </c>
      <c r="L175" t="s">
        <v>61</v>
      </c>
      <c r="M175" t="s">
        <v>63</v>
      </c>
    </row>
    <row r="176" spans="1:13" x14ac:dyDescent="0.25">
      <c r="A176" t="s">
        <v>5438</v>
      </c>
      <c r="B176" t="s">
        <v>5439</v>
      </c>
      <c r="C176">
        <v>2024</v>
      </c>
      <c r="D176" t="s">
        <v>56</v>
      </c>
      <c r="E176" t="s">
        <v>67</v>
      </c>
      <c r="F176" t="s">
        <v>9393</v>
      </c>
      <c r="G176" t="s">
        <v>9402</v>
      </c>
      <c r="H176" t="s">
        <v>3217</v>
      </c>
      <c r="I176" t="s">
        <v>9389</v>
      </c>
      <c r="J176" t="s">
        <v>8652</v>
      </c>
      <c r="K176" t="s">
        <v>9386</v>
      </c>
      <c r="L176" t="s">
        <v>165</v>
      </c>
      <c r="M176" t="s">
        <v>72</v>
      </c>
    </row>
    <row r="177" spans="1:13" x14ac:dyDescent="0.25">
      <c r="A177" t="s">
        <v>5461</v>
      </c>
      <c r="B177" t="s">
        <v>5462</v>
      </c>
      <c r="C177">
        <v>2024</v>
      </c>
      <c r="D177" t="s">
        <v>56</v>
      </c>
      <c r="E177" t="s">
        <v>67</v>
      </c>
      <c r="F177" t="s">
        <v>9381</v>
      </c>
      <c r="G177" t="s">
        <v>9378</v>
      </c>
      <c r="H177" t="s">
        <v>916</v>
      </c>
      <c r="I177" t="s">
        <v>9376</v>
      </c>
      <c r="J177" t="s">
        <v>8652</v>
      </c>
      <c r="K177" t="s">
        <v>9383</v>
      </c>
      <c r="L177" t="s">
        <v>98</v>
      </c>
      <c r="M177" t="s">
        <v>72</v>
      </c>
    </row>
    <row r="178" spans="1:13" x14ac:dyDescent="0.25">
      <c r="A178" t="s">
        <v>5487</v>
      </c>
      <c r="B178" t="s">
        <v>5488</v>
      </c>
      <c r="C178">
        <v>2024</v>
      </c>
      <c r="D178" t="s">
        <v>56</v>
      </c>
      <c r="E178" t="s">
        <v>57</v>
      </c>
      <c r="F178" t="s">
        <v>8955</v>
      </c>
      <c r="G178" t="s">
        <v>8761</v>
      </c>
      <c r="H178" t="s">
        <v>9401</v>
      </c>
      <c r="I178" t="s">
        <v>9392</v>
      </c>
      <c r="J178" t="s">
        <v>8535</v>
      </c>
      <c r="K178" t="s">
        <v>9380</v>
      </c>
      <c r="L178" t="s">
        <v>98</v>
      </c>
      <c r="M178" t="s">
        <v>72</v>
      </c>
    </row>
    <row r="179" spans="1:13" x14ac:dyDescent="0.25">
      <c r="A179" t="s">
        <v>5616</v>
      </c>
      <c r="B179" t="s">
        <v>5617</v>
      </c>
      <c r="C179">
        <v>2024</v>
      </c>
      <c r="D179" t="s">
        <v>56</v>
      </c>
      <c r="E179" t="s">
        <v>67</v>
      </c>
      <c r="F179" t="s">
        <v>9393</v>
      </c>
      <c r="G179" t="s">
        <v>9375</v>
      </c>
      <c r="H179" t="s">
        <v>8565</v>
      </c>
      <c r="I179" t="s">
        <v>9385</v>
      </c>
      <c r="J179" t="s">
        <v>8535</v>
      </c>
      <c r="K179" t="s">
        <v>9380</v>
      </c>
      <c r="L179" t="s">
        <v>98</v>
      </c>
      <c r="M179" t="s">
        <v>72</v>
      </c>
    </row>
    <row r="180" spans="1:13" x14ac:dyDescent="0.25">
      <c r="A180" t="s">
        <v>5687</v>
      </c>
      <c r="B180" t="s">
        <v>5688</v>
      </c>
      <c r="C180">
        <v>2024</v>
      </c>
      <c r="D180" t="s">
        <v>56</v>
      </c>
      <c r="E180" t="s">
        <v>57</v>
      </c>
      <c r="F180" t="s">
        <v>9393</v>
      </c>
      <c r="G180" t="s">
        <v>9388</v>
      </c>
      <c r="H180" t="s">
        <v>3217</v>
      </c>
      <c r="I180" t="s">
        <v>9385</v>
      </c>
      <c r="J180" t="s">
        <v>9397</v>
      </c>
      <c r="K180" t="s">
        <v>9380</v>
      </c>
      <c r="L180" t="s">
        <v>98</v>
      </c>
      <c r="M180" t="s">
        <v>72</v>
      </c>
    </row>
    <row r="181" spans="1:13" x14ac:dyDescent="0.25">
      <c r="A181" t="s">
        <v>5702</v>
      </c>
      <c r="B181" t="s">
        <v>5703</v>
      </c>
      <c r="C181">
        <v>2024</v>
      </c>
      <c r="D181" t="s">
        <v>56</v>
      </c>
      <c r="E181" t="s">
        <v>57</v>
      </c>
      <c r="F181" t="s">
        <v>9403</v>
      </c>
      <c r="G181" t="s">
        <v>9388</v>
      </c>
      <c r="H181" t="s">
        <v>8834</v>
      </c>
      <c r="I181" t="s">
        <v>9389</v>
      </c>
      <c r="J181" t="s">
        <v>8535</v>
      </c>
      <c r="K181" t="s">
        <v>9377</v>
      </c>
      <c r="L181" t="s">
        <v>61</v>
      </c>
      <c r="M181" t="s">
        <v>63</v>
      </c>
    </row>
    <row r="182" spans="1:13" x14ac:dyDescent="0.25">
      <c r="A182" t="s">
        <v>5718</v>
      </c>
      <c r="B182" t="s">
        <v>5719</v>
      </c>
      <c r="C182">
        <v>2024</v>
      </c>
      <c r="D182" t="s">
        <v>56</v>
      </c>
      <c r="E182" t="s">
        <v>57</v>
      </c>
      <c r="F182" t="s">
        <v>9387</v>
      </c>
      <c r="G182" t="s">
        <v>9388</v>
      </c>
      <c r="H182" t="s">
        <v>8565</v>
      </c>
      <c r="I182" t="s">
        <v>9385</v>
      </c>
      <c r="J182" t="s">
        <v>9390</v>
      </c>
      <c r="K182" t="s">
        <v>9380</v>
      </c>
      <c r="L182" t="s">
        <v>98</v>
      </c>
      <c r="M182" t="s">
        <v>72</v>
      </c>
    </row>
    <row r="183" spans="1:13" x14ac:dyDescent="0.25">
      <c r="A183" t="s">
        <v>5723</v>
      </c>
      <c r="B183" t="s">
        <v>5724</v>
      </c>
      <c r="C183">
        <v>2024</v>
      </c>
      <c r="D183" t="s">
        <v>56</v>
      </c>
      <c r="E183" t="s">
        <v>57</v>
      </c>
      <c r="F183" t="s">
        <v>9393</v>
      </c>
      <c r="G183" t="s">
        <v>9382</v>
      </c>
      <c r="H183" t="s">
        <v>8565</v>
      </c>
      <c r="I183" t="s">
        <v>9385</v>
      </c>
      <c r="J183" t="s">
        <v>9397</v>
      </c>
      <c r="K183" t="s">
        <v>9386</v>
      </c>
      <c r="L183" t="s">
        <v>165</v>
      </c>
      <c r="M183" t="s">
        <v>72</v>
      </c>
    </row>
    <row r="184" spans="1:13" x14ac:dyDescent="0.25">
      <c r="A184" t="s">
        <v>5786</v>
      </c>
      <c r="B184" t="s">
        <v>5787</v>
      </c>
      <c r="C184">
        <v>2024</v>
      </c>
      <c r="D184" t="s">
        <v>56</v>
      </c>
      <c r="E184" t="s">
        <v>57</v>
      </c>
      <c r="F184" t="s">
        <v>9381</v>
      </c>
      <c r="G184" t="s">
        <v>9388</v>
      </c>
      <c r="H184" t="s">
        <v>916</v>
      </c>
      <c r="I184" t="s">
        <v>9392</v>
      </c>
      <c r="J184" t="s">
        <v>8535</v>
      </c>
      <c r="K184" t="s">
        <v>9377</v>
      </c>
      <c r="L184" t="s">
        <v>61</v>
      </c>
      <c r="M184" t="s">
        <v>63</v>
      </c>
    </row>
    <row r="185" spans="1:13" x14ac:dyDescent="0.25">
      <c r="A185" t="s">
        <v>5796</v>
      </c>
      <c r="B185" t="s">
        <v>5797</v>
      </c>
      <c r="C185">
        <v>2024</v>
      </c>
      <c r="D185" t="s">
        <v>56</v>
      </c>
      <c r="E185" t="s">
        <v>57</v>
      </c>
      <c r="F185" t="s">
        <v>9381</v>
      </c>
      <c r="G185" t="s">
        <v>9388</v>
      </c>
      <c r="H185" t="s">
        <v>9111</v>
      </c>
      <c r="I185" t="s">
        <v>9392</v>
      </c>
      <c r="J185" t="s">
        <v>8535</v>
      </c>
      <c r="K185" t="s">
        <v>9386</v>
      </c>
      <c r="L185" t="s">
        <v>165</v>
      </c>
      <c r="M185" t="s">
        <v>72</v>
      </c>
    </row>
    <row r="186" spans="1:13" x14ac:dyDescent="0.25">
      <c r="A186" t="s">
        <v>5802</v>
      </c>
      <c r="B186" t="s">
        <v>5803</v>
      </c>
      <c r="C186">
        <v>2024</v>
      </c>
      <c r="D186" t="s">
        <v>56</v>
      </c>
      <c r="E186" t="s">
        <v>67</v>
      </c>
      <c r="F186" t="s">
        <v>9393</v>
      </c>
      <c r="G186" t="s">
        <v>9375</v>
      </c>
      <c r="H186" t="s">
        <v>8565</v>
      </c>
      <c r="I186" t="s">
        <v>9385</v>
      </c>
      <c r="J186" t="s">
        <v>9390</v>
      </c>
      <c r="K186" t="s">
        <v>9386</v>
      </c>
      <c r="L186" t="s">
        <v>165</v>
      </c>
      <c r="M186" t="s">
        <v>72</v>
      </c>
    </row>
    <row r="187" spans="1:13" x14ac:dyDescent="0.25">
      <c r="A187" t="s">
        <v>5859</v>
      </c>
      <c r="B187" t="s">
        <v>5860</v>
      </c>
      <c r="C187">
        <v>2024</v>
      </c>
      <c r="D187" t="s">
        <v>56</v>
      </c>
      <c r="E187" t="s">
        <v>57</v>
      </c>
      <c r="F187" t="s">
        <v>9403</v>
      </c>
      <c r="G187" t="s">
        <v>9388</v>
      </c>
      <c r="H187" t="s">
        <v>8739</v>
      </c>
      <c r="I187" t="s">
        <v>9392</v>
      </c>
      <c r="J187" t="s">
        <v>8535</v>
      </c>
      <c r="K187" t="s">
        <v>9400</v>
      </c>
      <c r="L187" t="s">
        <v>61</v>
      </c>
      <c r="M187" t="s">
        <v>63</v>
      </c>
    </row>
    <row r="188" spans="1:13" x14ac:dyDescent="0.25">
      <c r="A188" t="s">
        <v>5863</v>
      </c>
      <c r="B188" t="s">
        <v>5864</v>
      </c>
      <c r="C188">
        <v>2024</v>
      </c>
      <c r="D188" t="s">
        <v>56</v>
      </c>
      <c r="E188" t="s">
        <v>57</v>
      </c>
      <c r="F188" t="s">
        <v>9381</v>
      </c>
      <c r="G188" t="s">
        <v>9378</v>
      </c>
      <c r="H188" t="s">
        <v>8565</v>
      </c>
      <c r="I188" t="s">
        <v>9392</v>
      </c>
      <c r="J188" t="s">
        <v>8535</v>
      </c>
      <c r="K188" t="s">
        <v>9377</v>
      </c>
      <c r="L188" t="s">
        <v>61</v>
      </c>
      <c r="M188" t="s">
        <v>63</v>
      </c>
    </row>
    <row r="189" spans="1:13" x14ac:dyDescent="0.25">
      <c r="A189" t="s">
        <v>5869</v>
      </c>
      <c r="B189" t="s">
        <v>5870</v>
      </c>
      <c r="C189">
        <v>2024</v>
      </c>
      <c r="D189" t="s">
        <v>56</v>
      </c>
      <c r="E189" t="s">
        <v>57</v>
      </c>
      <c r="F189" t="s">
        <v>9398</v>
      </c>
      <c r="G189" t="s">
        <v>9388</v>
      </c>
      <c r="H189" t="s">
        <v>8565</v>
      </c>
      <c r="I189" t="s">
        <v>9385</v>
      </c>
      <c r="J189" t="s">
        <v>8535</v>
      </c>
      <c r="K189" t="s">
        <v>9377</v>
      </c>
      <c r="L189" t="s">
        <v>61</v>
      </c>
      <c r="M189" t="s">
        <v>63</v>
      </c>
    </row>
    <row r="190" spans="1:13" x14ac:dyDescent="0.25">
      <c r="A190" t="s">
        <v>5874</v>
      </c>
      <c r="B190" t="s">
        <v>5875</v>
      </c>
      <c r="C190">
        <v>2024</v>
      </c>
      <c r="D190" t="s">
        <v>56</v>
      </c>
      <c r="E190" t="s">
        <v>57</v>
      </c>
      <c r="F190" t="s">
        <v>9393</v>
      </c>
      <c r="G190" t="s">
        <v>9388</v>
      </c>
      <c r="H190" t="s">
        <v>8565</v>
      </c>
      <c r="I190" t="s">
        <v>9385</v>
      </c>
      <c r="J190" t="s">
        <v>8535</v>
      </c>
      <c r="K190" t="s">
        <v>9377</v>
      </c>
      <c r="L190" t="s">
        <v>61</v>
      </c>
      <c r="M190" t="s">
        <v>63</v>
      </c>
    </row>
    <row r="191" spans="1:13" x14ac:dyDescent="0.25">
      <c r="A191" t="s">
        <v>5879</v>
      </c>
      <c r="B191" t="s">
        <v>5880</v>
      </c>
      <c r="C191">
        <v>2024</v>
      </c>
      <c r="D191" t="s">
        <v>56</v>
      </c>
      <c r="E191" t="s">
        <v>57</v>
      </c>
      <c r="F191" t="s">
        <v>8955</v>
      </c>
      <c r="G191" t="s">
        <v>9388</v>
      </c>
      <c r="H191" t="s">
        <v>3217</v>
      </c>
      <c r="I191" t="s">
        <v>9392</v>
      </c>
      <c r="J191" t="s">
        <v>8535</v>
      </c>
      <c r="K191" t="s">
        <v>9377</v>
      </c>
      <c r="L191" t="s">
        <v>61</v>
      </c>
      <c r="M191" t="s">
        <v>63</v>
      </c>
    </row>
    <row r="192" spans="1:13" x14ac:dyDescent="0.25">
      <c r="A192" t="s">
        <v>5884</v>
      </c>
      <c r="B192" t="s">
        <v>5885</v>
      </c>
      <c r="C192">
        <v>2024</v>
      </c>
      <c r="D192" t="s">
        <v>56</v>
      </c>
      <c r="E192" t="s">
        <v>57</v>
      </c>
      <c r="F192" t="s">
        <v>9387</v>
      </c>
      <c r="G192" t="s">
        <v>9388</v>
      </c>
      <c r="H192" t="s">
        <v>8739</v>
      </c>
      <c r="I192" t="s">
        <v>9392</v>
      </c>
      <c r="J192" t="s">
        <v>8535</v>
      </c>
      <c r="K192" t="s">
        <v>9377</v>
      </c>
      <c r="L192" t="s">
        <v>61</v>
      </c>
      <c r="M192" t="s">
        <v>63</v>
      </c>
    </row>
    <row r="193" spans="1:13" x14ac:dyDescent="0.25">
      <c r="A193" t="s">
        <v>6009</v>
      </c>
      <c r="B193" t="s">
        <v>6010</v>
      </c>
      <c r="C193">
        <v>2024</v>
      </c>
      <c r="D193" t="s">
        <v>56</v>
      </c>
      <c r="E193" t="s">
        <v>57</v>
      </c>
      <c r="F193" t="s">
        <v>9393</v>
      </c>
      <c r="G193" t="s">
        <v>9382</v>
      </c>
      <c r="H193" t="s">
        <v>8565</v>
      </c>
      <c r="I193" t="s">
        <v>9385</v>
      </c>
      <c r="J193" t="s">
        <v>8535</v>
      </c>
      <c r="K193" t="s">
        <v>9386</v>
      </c>
      <c r="L193" t="s">
        <v>165</v>
      </c>
      <c r="M193" t="s">
        <v>72</v>
      </c>
    </row>
    <row r="194" spans="1:13" x14ac:dyDescent="0.25">
      <c r="A194" t="s">
        <v>6015</v>
      </c>
      <c r="B194" t="s">
        <v>6016</v>
      </c>
      <c r="C194">
        <v>2024</v>
      </c>
      <c r="D194" t="s">
        <v>56</v>
      </c>
      <c r="E194" t="s">
        <v>57</v>
      </c>
      <c r="F194" t="s">
        <v>9387</v>
      </c>
      <c r="G194" t="s">
        <v>9388</v>
      </c>
      <c r="H194" t="s">
        <v>8565</v>
      </c>
      <c r="I194" t="s">
        <v>9392</v>
      </c>
      <c r="J194" t="s">
        <v>8535</v>
      </c>
      <c r="K194" t="s">
        <v>9386</v>
      </c>
      <c r="L194" t="s">
        <v>165</v>
      </c>
      <c r="M194" t="s">
        <v>72</v>
      </c>
    </row>
    <row r="195" spans="1:13" x14ac:dyDescent="0.25">
      <c r="A195" t="s">
        <v>6019</v>
      </c>
      <c r="B195" t="s">
        <v>6020</v>
      </c>
      <c r="C195">
        <v>2024</v>
      </c>
      <c r="D195" t="s">
        <v>56</v>
      </c>
      <c r="E195" t="s">
        <v>57</v>
      </c>
      <c r="F195" t="s">
        <v>9393</v>
      </c>
      <c r="G195" t="s">
        <v>9388</v>
      </c>
      <c r="H195" t="s">
        <v>8565</v>
      </c>
      <c r="I195" t="s">
        <v>9395</v>
      </c>
      <c r="J195" t="s">
        <v>9397</v>
      </c>
      <c r="K195" t="s">
        <v>9386</v>
      </c>
      <c r="L195" t="s">
        <v>165</v>
      </c>
      <c r="M195" t="s">
        <v>72</v>
      </c>
    </row>
    <row r="196" spans="1:13" x14ac:dyDescent="0.25">
      <c r="A196" t="s">
        <v>6056</v>
      </c>
      <c r="B196" t="s">
        <v>6057</v>
      </c>
      <c r="C196">
        <v>2024</v>
      </c>
      <c r="D196" t="s">
        <v>56</v>
      </c>
      <c r="E196" t="s">
        <v>67</v>
      </c>
      <c r="F196" t="s">
        <v>9393</v>
      </c>
      <c r="G196" t="s">
        <v>9388</v>
      </c>
      <c r="H196" t="s">
        <v>9111</v>
      </c>
      <c r="I196" t="s">
        <v>9376</v>
      </c>
      <c r="J196" t="s">
        <v>9407</v>
      </c>
      <c r="K196" t="s">
        <v>9377</v>
      </c>
      <c r="L196" t="s">
        <v>61</v>
      </c>
      <c r="M196" t="s">
        <v>63</v>
      </c>
    </row>
    <row r="197" spans="1:13" x14ac:dyDescent="0.25">
      <c r="A197" t="s">
        <v>6081</v>
      </c>
      <c r="B197" t="s">
        <v>6082</v>
      </c>
      <c r="C197">
        <v>2024</v>
      </c>
      <c r="D197" t="s">
        <v>56</v>
      </c>
      <c r="E197" t="s">
        <v>57</v>
      </c>
      <c r="F197" t="s">
        <v>9403</v>
      </c>
      <c r="G197" t="s">
        <v>9388</v>
      </c>
      <c r="H197" t="s">
        <v>8565</v>
      </c>
      <c r="I197" t="s">
        <v>9392</v>
      </c>
      <c r="J197" t="s">
        <v>8535</v>
      </c>
      <c r="K197" t="s">
        <v>9377</v>
      </c>
      <c r="L197" t="s">
        <v>61</v>
      </c>
      <c r="M197" t="s">
        <v>63</v>
      </c>
    </row>
    <row r="198" spans="1:13" x14ac:dyDescent="0.25">
      <c r="A198" t="s">
        <v>6086</v>
      </c>
      <c r="B198" t="s">
        <v>6087</v>
      </c>
      <c r="C198">
        <v>2024</v>
      </c>
      <c r="D198" t="s">
        <v>56</v>
      </c>
      <c r="E198" t="s">
        <v>57</v>
      </c>
      <c r="F198" t="s">
        <v>9393</v>
      </c>
      <c r="G198" t="s">
        <v>8761</v>
      </c>
      <c r="H198" t="s">
        <v>3217</v>
      </c>
      <c r="I198" t="s">
        <v>9376</v>
      </c>
      <c r="J198" t="s">
        <v>8535</v>
      </c>
      <c r="K198" t="s">
        <v>9386</v>
      </c>
      <c r="L198" t="s">
        <v>165</v>
      </c>
      <c r="M198" t="s">
        <v>72</v>
      </c>
    </row>
    <row r="199" spans="1:13" x14ac:dyDescent="0.25">
      <c r="A199" t="s">
        <v>6171</v>
      </c>
      <c r="B199" t="s">
        <v>6172</v>
      </c>
      <c r="C199">
        <v>2024</v>
      </c>
      <c r="D199" t="s">
        <v>56</v>
      </c>
      <c r="E199" t="s">
        <v>57</v>
      </c>
      <c r="F199" t="s">
        <v>9411</v>
      </c>
      <c r="G199" t="s">
        <v>9388</v>
      </c>
      <c r="H199" t="s">
        <v>8565</v>
      </c>
      <c r="I199" t="s">
        <v>9385</v>
      </c>
      <c r="J199" t="s">
        <v>8535</v>
      </c>
      <c r="K199" t="s">
        <v>9383</v>
      </c>
      <c r="L199" t="s">
        <v>98</v>
      </c>
      <c r="M199" t="s">
        <v>72</v>
      </c>
    </row>
    <row r="200" spans="1:13" x14ac:dyDescent="0.25">
      <c r="A200" t="s">
        <v>6291</v>
      </c>
      <c r="B200" t="s">
        <v>6292</v>
      </c>
      <c r="C200">
        <v>2024</v>
      </c>
      <c r="D200" t="s">
        <v>56</v>
      </c>
      <c r="E200" t="s">
        <v>67</v>
      </c>
      <c r="F200" t="s">
        <v>9387</v>
      </c>
      <c r="G200" t="s">
        <v>8761</v>
      </c>
      <c r="H200" t="s">
        <v>9394</v>
      </c>
      <c r="I200" t="s">
        <v>9392</v>
      </c>
      <c r="J200" t="s">
        <v>9390</v>
      </c>
      <c r="K200" t="s">
        <v>9391</v>
      </c>
      <c r="L200" t="s">
        <v>98</v>
      </c>
      <c r="M200" t="s">
        <v>72</v>
      </c>
    </row>
    <row r="201" spans="1:13" x14ac:dyDescent="0.25">
      <c r="A201" t="s">
        <v>6296</v>
      </c>
      <c r="B201" t="s">
        <v>6297</v>
      </c>
      <c r="C201">
        <v>2024</v>
      </c>
      <c r="D201" t="s">
        <v>56</v>
      </c>
      <c r="E201" t="s">
        <v>57</v>
      </c>
      <c r="F201" t="s">
        <v>9393</v>
      </c>
      <c r="G201" t="s">
        <v>9382</v>
      </c>
      <c r="H201" t="s">
        <v>9394</v>
      </c>
      <c r="I201" t="s">
        <v>9395</v>
      </c>
      <c r="J201" t="s">
        <v>8535</v>
      </c>
      <c r="K201" t="s">
        <v>9386</v>
      </c>
      <c r="L201" t="s">
        <v>165</v>
      </c>
      <c r="M201" t="s">
        <v>72</v>
      </c>
    </row>
    <row r="202" spans="1:13" x14ac:dyDescent="0.25">
      <c r="A202" t="s">
        <v>6372</v>
      </c>
      <c r="B202" t="s">
        <v>6373</v>
      </c>
      <c r="C202">
        <v>2024</v>
      </c>
      <c r="D202" t="s">
        <v>56</v>
      </c>
      <c r="E202" t="s">
        <v>57</v>
      </c>
      <c r="F202" t="s">
        <v>9410</v>
      </c>
      <c r="G202" t="s">
        <v>8761</v>
      </c>
      <c r="H202" t="s">
        <v>9408</v>
      </c>
      <c r="I202" t="s">
        <v>9395</v>
      </c>
      <c r="J202" t="s">
        <v>8535</v>
      </c>
      <c r="K202" t="s">
        <v>9380</v>
      </c>
      <c r="L202" t="s">
        <v>98</v>
      </c>
      <c r="M202" t="s">
        <v>72</v>
      </c>
    </row>
    <row r="203" spans="1:13" x14ac:dyDescent="0.25">
      <c r="A203" t="s">
        <v>6493</v>
      </c>
      <c r="B203" t="s">
        <v>6494</v>
      </c>
      <c r="C203">
        <v>2024</v>
      </c>
      <c r="D203" t="s">
        <v>56</v>
      </c>
      <c r="E203" t="s">
        <v>67</v>
      </c>
      <c r="F203" t="s">
        <v>9387</v>
      </c>
      <c r="G203" t="s">
        <v>9388</v>
      </c>
      <c r="H203" t="s">
        <v>8565</v>
      </c>
      <c r="I203" t="s">
        <v>9376</v>
      </c>
      <c r="J203" t="s">
        <v>9379</v>
      </c>
      <c r="K203" t="s">
        <v>9386</v>
      </c>
      <c r="L203" t="s">
        <v>165</v>
      </c>
      <c r="M203" t="s">
        <v>72</v>
      </c>
    </row>
    <row r="204" spans="1:13" x14ac:dyDescent="0.25">
      <c r="A204" t="s">
        <v>6555</v>
      </c>
      <c r="B204" t="s">
        <v>6556</v>
      </c>
      <c r="C204">
        <v>2024</v>
      </c>
      <c r="D204" t="s">
        <v>56</v>
      </c>
      <c r="E204" t="s">
        <v>57</v>
      </c>
      <c r="F204" t="s">
        <v>9381</v>
      </c>
      <c r="G204" t="s">
        <v>9375</v>
      </c>
      <c r="H204" t="s">
        <v>8565</v>
      </c>
      <c r="I204" t="s">
        <v>9392</v>
      </c>
      <c r="J204" t="s">
        <v>9397</v>
      </c>
      <c r="K204" t="s">
        <v>9380</v>
      </c>
      <c r="L204" t="s">
        <v>98</v>
      </c>
      <c r="M204" t="s">
        <v>72</v>
      </c>
    </row>
    <row r="205" spans="1:13" x14ac:dyDescent="0.25">
      <c r="A205" t="s">
        <v>6580</v>
      </c>
      <c r="B205" t="s">
        <v>6581</v>
      </c>
      <c r="C205">
        <v>2024</v>
      </c>
      <c r="D205" t="s">
        <v>56</v>
      </c>
      <c r="E205" t="s">
        <v>67</v>
      </c>
      <c r="F205" t="s">
        <v>9403</v>
      </c>
      <c r="G205" t="s">
        <v>8761</v>
      </c>
      <c r="H205" t="s">
        <v>8739</v>
      </c>
      <c r="I205" t="s">
        <v>9389</v>
      </c>
      <c r="J205" t="s">
        <v>9397</v>
      </c>
      <c r="K205" t="s">
        <v>9380</v>
      </c>
      <c r="L205" t="s">
        <v>98</v>
      </c>
      <c r="M205" t="s">
        <v>72</v>
      </c>
    </row>
    <row r="206" spans="1:13" x14ac:dyDescent="0.25">
      <c r="A206" t="s">
        <v>6584</v>
      </c>
      <c r="B206" t="s">
        <v>6585</v>
      </c>
      <c r="C206">
        <v>2024</v>
      </c>
      <c r="D206" t="s">
        <v>56</v>
      </c>
      <c r="E206" t="s">
        <v>57</v>
      </c>
      <c r="F206" t="s">
        <v>9393</v>
      </c>
      <c r="G206" t="s">
        <v>9388</v>
      </c>
      <c r="H206" t="s">
        <v>8565</v>
      </c>
      <c r="I206" t="s">
        <v>9395</v>
      </c>
      <c r="J206" t="s">
        <v>9397</v>
      </c>
      <c r="K206" t="s">
        <v>9386</v>
      </c>
      <c r="L206" t="s">
        <v>165</v>
      </c>
      <c r="M206" t="s">
        <v>72</v>
      </c>
    </row>
    <row r="207" spans="1:13" x14ac:dyDescent="0.25">
      <c r="A207" t="s">
        <v>6589</v>
      </c>
      <c r="B207" t="s">
        <v>6590</v>
      </c>
      <c r="C207">
        <v>2024</v>
      </c>
      <c r="D207" t="s">
        <v>56</v>
      </c>
      <c r="E207" t="s">
        <v>57</v>
      </c>
      <c r="F207" t="s">
        <v>9398</v>
      </c>
      <c r="G207" t="s">
        <v>9378</v>
      </c>
      <c r="H207" t="s">
        <v>8834</v>
      </c>
      <c r="I207" t="s">
        <v>9392</v>
      </c>
      <c r="J207" t="s">
        <v>9397</v>
      </c>
      <c r="K207" t="s">
        <v>9377</v>
      </c>
      <c r="L207" t="s">
        <v>61</v>
      </c>
      <c r="M207" t="s">
        <v>63</v>
      </c>
    </row>
    <row r="208" spans="1:13" x14ac:dyDescent="0.25">
      <c r="A208" t="s">
        <v>6624</v>
      </c>
      <c r="B208" t="s">
        <v>6625</v>
      </c>
      <c r="C208">
        <v>2024</v>
      </c>
      <c r="D208" t="s">
        <v>56</v>
      </c>
      <c r="E208" t="s">
        <v>57</v>
      </c>
      <c r="F208" t="s">
        <v>9381</v>
      </c>
      <c r="G208" t="s">
        <v>9402</v>
      </c>
      <c r="H208" t="s">
        <v>9111</v>
      </c>
      <c r="I208" t="s">
        <v>9392</v>
      </c>
      <c r="J208" t="s">
        <v>8652</v>
      </c>
      <c r="K208" t="s">
        <v>9380</v>
      </c>
      <c r="L208" t="s">
        <v>98</v>
      </c>
      <c r="M208" t="s">
        <v>72</v>
      </c>
    </row>
    <row r="209" spans="1:13" x14ac:dyDescent="0.25">
      <c r="A209" t="s">
        <v>6648</v>
      </c>
      <c r="B209" t="s">
        <v>6649</v>
      </c>
      <c r="C209">
        <v>2023</v>
      </c>
      <c r="D209" t="s">
        <v>56</v>
      </c>
      <c r="E209" t="s">
        <v>57</v>
      </c>
      <c r="F209" t="s">
        <v>9387</v>
      </c>
      <c r="G209" t="s">
        <v>9388</v>
      </c>
      <c r="H209" t="s">
        <v>8565</v>
      </c>
      <c r="I209" t="s">
        <v>9389</v>
      </c>
      <c r="J209" t="s">
        <v>8535</v>
      </c>
      <c r="K209" t="s">
        <v>9377</v>
      </c>
      <c r="L209" t="s">
        <v>61</v>
      </c>
      <c r="M209" t="s">
        <v>63</v>
      </c>
    </row>
    <row r="210" spans="1:13" x14ac:dyDescent="0.25">
      <c r="A210" t="s">
        <v>6661</v>
      </c>
      <c r="B210" t="s">
        <v>6662</v>
      </c>
      <c r="C210">
        <v>2023</v>
      </c>
      <c r="D210" t="s">
        <v>56</v>
      </c>
      <c r="E210" t="s">
        <v>57</v>
      </c>
      <c r="F210" t="s">
        <v>9393</v>
      </c>
      <c r="G210" t="s">
        <v>9388</v>
      </c>
      <c r="H210" t="s">
        <v>9111</v>
      </c>
      <c r="I210" t="s">
        <v>9385</v>
      </c>
      <c r="J210" t="s">
        <v>8535</v>
      </c>
      <c r="K210" t="s">
        <v>9383</v>
      </c>
      <c r="L210" t="s">
        <v>98</v>
      </c>
      <c r="M210" t="s">
        <v>72</v>
      </c>
    </row>
    <row r="211" spans="1:13" x14ac:dyDescent="0.25">
      <c r="A211" t="s">
        <v>6672</v>
      </c>
      <c r="B211" t="s">
        <v>6673</v>
      </c>
      <c r="C211">
        <v>2023</v>
      </c>
      <c r="D211" t="s">
        <v>56</v>
      </c>
      <c r="E211" t="s">
        <v>57</v>
      </c>
      <c r="F211" t="s">
        <v>9403</v>
      </c>
      <c r="G211" t="s">
        <v>9388</v>
      </c>
      <c r="H211" t="s">
        <v>8739</v>
      </c>
      <c r="I211" t="s">
        <v>9389</v>
      </c>
      <c r="J211" t="s">
        <v>8535</v>
      </c>
      <c r="K211" t="s">
        <v>9386</v>
      </c>
      <c r="L211" t="s">
        <v>165</v>
      </c>
      <c r="M211" t="s">
        <v>72</v>
      </c>
    </row>
    <row r="212" spans="1:13" x14ac:dyDescent="0.25">
      <c r="A212" t="s">
        <v>6676</v>
      </c>
      <c r="B212" t="s">
        <v>6677</v>
      </c>
      <c r="C212">
        <v>2023</v>
      </c>
      <c r="D212" t="s">
        <v>56</v>
      </c>
      <c r="E212" t="s">
        <v>57</v>
      </c>
      <c r="F212" t="s">
        <v>9393</v>
      </c>
      <c r="G212" t="s">
        <v>9388</v>
      </c>
      <c r="H212" t="s">
        <v>3217</v>
      </c>
      <c r="I212" t="s">
        <v>9385</v>
      </c>
      <c r="J212" t="s">
        <v>8535</v>
      </c>
      <c r="K212" t="s">
        <v>9386</v>
      </c>
      <c r="L212" t="s">
        <v>165</v>
      </c>
      <c r="M212" t="s">
        <v>72</v>
      </c>
    </row>
    <row r="213" spans="1:13" x14ac:dyDescent="0.25">
      <c r="A213" t="s">
        <v>6687</v>
      </c>
      <c r="B213" t="s">
        <v>6688</v>
      </c>
      <c r="C213">
        <v>2023</v>
      </c>
      <c r="D213" t="s">
        <v>56</v>
      </c>
      <c r="E213" t="s">
        <v>67</v>
      </c>
      <c r="F213" t="s">
        <v>9381</v>
      </c>
      <c r="G213" t="s">
        <v>9388</v>
      </c>
      <c r="H213" t="s">
        <v>9111</v>
      </c>
      <c r="I213" t="s">
        <v>9392</v>
      </c>
      <c r="J213" t="s">
        <v>8652</v>
      </c>
      <c r="K213" t="s">
        <v>9400</v>
      </c>
      <c r="L213" t="s">
        <v>61</v>
      </c>
      <c r="M213" t="s">
        <v>63</v>
      </c>
    </row>
    <row r="214" spans="1:13" x14ac:dyDescent="0.25">
      <c r="A214" t="s">
        <v>6717</v>
      </c>
      <c r="B214" t="s">
        <v>6718</v>
      </c>
      <c r="C214">
        <v>2023</v>
      </c>
      <c r="D214" t="s">
        <v>56</v>
      </c>
      <c r="E214" t="s">
        <v>57</v>
      </c>
      <c r="F214" t="s">
        <v>9393</v>
      </c>
      <c r="G214" t="s">
        <v>9402</v>
      </c>
      <c r="H214" t="s">
        <v>9396</v>
      </c>
      <c r="I214" t="s">
        <v>9392</v>
      </c>
      <c r="J214" t="s">
        <v>8535</v>
      </c>
      <c r="K214" t="s">
        <v>9386</v>
      </c>
      <c r="L214" t="s">
        <v>165</v>
      </c>
      <c r="M214" t="s">
        <v>72</v>
      </c>
    </row>
    <row r="215" spans="1:13" x14ac:dyDescent="0.25">
      <c r="A215" t="s">
        <v>6721</v>
      </c>
      <c r="B215" t="s">
        <v>6722</v>
      </c>
      <c r="C215">
        <v>2023</v>
      </c>
      <c r="D215" t="s">
        <v>56</v>
      </c>
      <c r="E215" t="s">
        <v>67</v>
      </c>
      <c r="F215" t="s">
        <v>9387</v>
      </c>
      <c r="G215" t="s">
        <v>9375</v>
      </c>
      <c r="H215" t="s">
        <v>8565</v>
      </c>
      <c r="I215" t="s">
        <v>9376</v>
      </c>
      <c r="J215" t="s">
        <v>8535</v>
      </c>
      <c r="K215" t="s">
        <v>9400</v>
      </c>
      <c r="L215" t="s">
        <v>61</v>
      </c>
      <c r="M215" t="s">
        <v>63</v>
      </c>
    </row>
    <row r="216" spans="1:13" x14ac:dyDescent="0.25">
      <c r="A216" t="s">
        <v>6749</v>
      </c>
      <c r="B216" t="s">
        <v>6750</v>
      </c>
      <c r="C216">
        <v>2023</v>
      </c>
      <c r="D216" t="s">
        <v>56</v>
      </c>
      <c r="E216" t="s">
        <v>57</v>
      </c>
      <c r="F216" t="s">
        <v>9393</v>
      </c>
      <c r="G216" t="s">
        <v>9382</v>
      </c>
      <c r="H216" t="s">
        <v>9401</v>
      </c>
      <c r="I216" t="s">
        <v>9385</v>
      </c>
      <c r="J216" t="s">
        <v>9397</v>
      </c>
      <c r="K216" t="s">
        <v>9386</v>
      </c>
      <c r="L216" t="s">
        <v>165</v>
      </c>
      <c r="M216" t="s">
        <v>72</v>
      </c>
    </row>
    <row r="217" spans="1:13" x14ac:dyDescent="0.25">
      <c r="A217" t="s">
        <v>6764</v>
      </c>
      <c r="B217" t="s">
        <v>6765</v>
      </c>
      <c r="C217">
        <v>2023</v>
      </c>
      <c r="D217" t="s">
        <v>56</v>
      </c>
      <c r="E217" t="s">
        <v>57</v>
      </c>
      <c r="F217" t="s">
        <v>9403</v>
      </c>
      <c r="G217" t="s">
        <v>9382</v>
      </c>
      <c r="H217" t="s">
        <v>8565</v>
      </c>
      <c r="I217" t="s">
        <v>9392</v>
      </c>
      <c r="J217" t="s">
        <v>8535</v>
      </c>
      <c r="K217" t="s">
        <v>9377</v>
      </c>
      <c r="L217" t="s">
        <v>61</v>
      </c>
      <c r="M217" t="s">
        <v>63</v>
      </c>
    </row>
    <row r="218" spans="1:13" x14ac:dyDescent="0.25">
      <c r="A218" t="s">
        <v>6769</v>
      </c>
      <c r="B218" t="s">
        <v>6770</v>
      </c>
      <c r="C218">
        <v>2023</v>
      </c>
      <c r="D218" t="s">
        <v>56</v>
      </c>
      <c r="E218" t="s">
        <v>57</v>
      </c>
      <c r="F218" t="s">
        <v>8955</v>
      </c>
      <c r="G218" t="s">
        <v>9378</v>
      </c>
      <c r="H218" t="s">
        <v>9396</v>
      </c>
      <c r="I218" t="s">
        <v>9392</v>
      </c>
      <c r="J218" t="s">
        <v>8652</v>
      </c>
      <c r="K218" t="s">
        <v>9380</v>
      </c>
      <c r="L218" t="s">
        <v>98</v>
      </c>
      <c r="M218" t="s">
        <v>72</v>
      </c>
    </row>
    <row r="219" spans="1:13" x14ac:dyDescent="0.25">
      <c r="A219" t="s">
        <v>6785</v>
      </c>
      <c r="B219" t="s">
        <v>6786</v>
      </c>
      <c r="C219">
        <v>2023</v>
      </c>
      <c r="D219" t="s">
        <v>56</v>
      </c>
      <c r="E219" t="s">
        <v>57</v>
      </c>
      <c r="F219" t="s">
        <v>8955</v>
      </c>
      <c r="G219" t="s">
        <v>9388</v>
      </c>
      <c r="H219" t="s">
        <v>8565</v>
      </c>
      <c r="I219" t="s">
        <v>9392</v>
      </c>
      <c r="J219" t="s">
        <v>9397</v>
      </c>
      <c r="K219" t="s">
        <v>9377</v>
      </c>
      <c r="L219" t="s">
        <v>61</v>
      </c>
      <c r="M219" t="s">
        <v>63</v>
      </c>
    </row>
    <row r="220" spans="1:13" x14ac:dyDescent="0.25">
      <c r="A220" t="s">
        <v>6813</v>
      </c>
      <c r="B220" t="s">
        <v>6814</v>
      </c>
      <c r="C220">
        <v>2023</v>
      </c>
      <c r="D220" t="s">
        <v>56</v>
      </c>
      <c r="E220" t="s">
        <v>67</v>
      </c>
      <c r="F220" t="s">
        <v>9381</v>
      </c>
      <c r="G220" t="s">
        <v>9388</v>
      </c>
      <c r="H220" t="s">
        <v>9111</v>
      </c>
      <c r="I220" t="s">
        <v>9395</v>
      </c>
      <c r="J220" t="s">
        <v>8535</v>
      </c>
      <c r="K220" t="s">
        <v>9380</v>
      </c>
      <c r="L220" t="s">
        <v>98</v>
      </c>
      <c r="M220" t="s">
        <v>72</v>
      </c>
    </row>
    <row r="221" spans="1:13" x14ac:dyDescent="0.25">
      <c r="A221" t="s">
        <v>6829</v>
      </c>
      <c r="B221" t="s">
        <v>6830</v>
      </c>
      <c r="C221">
        <v>2023</v>
      </c>
      <c r="D221" t="s">
        <v>56</v>
      </c>
      <c r="E221" t="s">
        <v>57</v>
      </c>
      <c r="F221" t="s">
        <v>9393</v>
      </c>
      <c r="G221" t="s">
        <v>9402</v>
      </c>
      <c r="H221" t="s">
        <v>9405</v>
      </c>
      <c r="I221" t="s">
        <v>9392</v>
      </c>
      <c r="J221" t="s">
        <v>8535</v>
      </c>
      <c r="K221" t="s">
        <v>9380</v>
      </c>
      <c r="L221" t="s">
        <v>98</v>
      </c>
      <c r="M221" t="s">
        <v>72</v>
      </c>
    </row>
    <row r="222" spans="1:13" x14ac:dyDescent="0.25">
      <c r="A222" t="s">
        <v>6841</v>
      </c>
      <c r="B222" t="s">
        <v>6842</v>
      </c>
      <c r="C222">
        <v>2023</v>
      </c>
      <c r="D222" t="s">
        <v>56</v>
      </c>
      <c r="E222" t="s">
        <v>67</v>
      </c>
      <c r="F222" t="s">
        <v>8955</v>
      </c>
      <c r="G222" t="s">
        <v>9388</v>
      </c>
      <c r="H222" t="s">
        <v>3217</v>
      </c>
      <c r="I222" t="s">
        <v>9154</v>
      </c>
      <c r="J222" t="s">
        <v>9379</v>
      </c>
      <c r="K222" t="s">
        <v>9380</v>
      </c>
      <c r="L222" t="s">
        <v>98</v>
      </c>
      <c r="M222" t="s">
        <v>72</v>
      </c>
    </row>
    <row r="223" spans="1:13" x14ac:dyDescent="0.25">
      <c r="A223" t="s">
        <v>6855</v>
      </c>
      <c r="B223" t="s">
        <v>6856</v>
      </c>
      <c r="C223">
        <v>2023</v>
      </c>
      <c r="D223" t="s">
        <v>56</v>
      </c>
      <c r="E223" t="s">
        <v>67</v>
      </c>
      <c r="F223" t="s">
        <v>8955</v>
      </c>
      <c r="G223" t="s">
        <v>9388</v>
      </c>
      <c r="H223" t="s">
        <v>3217</v>
      </c>
      <c r="I223" t="s">
        <v>9385</v>
      </c>
      <c r="J223" t="s">
        <v>8535</v>
      </c>
      <c r="K223" t="s">
        <v>9380</v>
      </c>
      <c r="L223" t="s">
        <v>98</v>
      </c>
      <c r="M223" t="s">
        <v>72</v>
      </c>
    </row>
    <row r="224" spans="1:13" x14ac:dyDescent="0.25">
      <c r="A224" t="s">
        <v>6876</v>
      </c>
      <c r="B224" t="s">
        <v>6877</v>
      </c>
      <c r="C224">
        <v>2023</v>
      </c>
      <c r="D224" t="s">
        <v>56</v>
      </c>
      <c r="E224" t="s">
        <v>67</v>
      </c>
      <c r="F224" t="s">
        <v>9381</v>
      </c>
      <c r="G224" t="s">
        <v>9388</v>
      </c>
      <c r="H224" t="s">
        <v>9111</v>
      </c>
      <c r="I224" t="s">
        <v>9385</v>
      </c>
      <c r="J224" t="s">
        <v>8652</v>
      </c>
      <c r="K224" t="s">
        <v>9386</v>
      </c>
      <c r="L224" t="s">
        <v>165</v>
      </c>
      <c r="M224" t="s">
        <v>72</v>
      </c>
    </row>
    <row r="225" spans="1:13" x14ac:dyDescent="0.25">
      <c r="A225" t="s">
        <v>6880</v>
      </c>
      <c r="B225" t="s">
        <v>6881</v>
      </c>
      <c r="C225">
        <v>2023</v>
      </c>
      <c r="D225" t="s">
        <v>56</v>
      </c>
      <c r="E225" t="s">
        <v>57</v>
      </c>
      <c r="F225" t="s">
        <v>9393</v>
      </c>
      <c r="G225" t="s">
        <v>9382</v>
      </c>
      <c r="H225" t="s">
        <v>8565</v>
      </c>
      <c r="I225" t="s">
        <v>9385</v>
      </c>
      <c r="J225" t="s">
        <v>9397</v>
      </c>
      <c r="K225" t="s">
        <v>9386</v>
      </c>
      <c r="L225" t="s">
        <v>165</v>
      </c>
      <c r="M225" t="s">
        <v>72</v>
      </c>
    </row>
    <row r="226" spans="1:13" x14ac:dyDescent="0.25">
      <c r="A226" t="s">
        <v>6899</v>
      </c>
      <c r="B226" t="s">
        <v>6900</v>
      </c>
      <c r="C226">
        <v>2023</v>
      </c>
      <c r="D226" t="s">
        <v>56</v>
      </c>
      <c r="E226" t="s">
        <v>57</v>
      </c>
      <c r="F226" t="s">
        <v>8955</v>
      </c>
      <c r="G226" t="s">
        <v>9375</v>
      </c>
      <c r="H226" t="s">
        <v>9111</v>
      </c>
      <c r="I226" t="s">
        <v>9392</v>
      </c>
      <c r="J226" t="s">
        <v>9397</v>
      </c>
      <c r="K226" t="s">
        <v>9380</v>
      </c>
      <c r="L226" t="s">
        <v>98</v>
      </c>
      <c r="M226" t="s">
        <v>72</v>
      </c>
    </row>
    <row r="227" spans="1:13" x14ac:dyDescent="0.25">
      <c r="A227" t="s">
        <v>6908</v>
      </c>
      <c r="B227" t="s">
        <v>6909</v>
      </c>
      <c r="C227">
        <v>2023</v>
      </c>
      <c r="D227" t="s">
        <v>56</v>
      </c>
      <c r="E227" t="s">
        <v>57</v>
      </c>
      <c r="F227" t="s">
        <v>9393</v>
      </c>
      <c r="G227" t="s">
        <v>9409</v>
      </c>
      <c r="H227" t="s">
        <v>8565</v>
      </c>
      <c r="I227" t="s">
        <v>9385</v>
      </c>
      <c r="J227" t="s">
        <v>8535</v>
      </c>
      <c r="K227" t="s">
        <v>9377</v>
      </c>
      <c r="L227" t="s">
        <v>61</v>
      </c>
      <c r="M227" t="s">
        <v>63</v>
      </c>
    </row>
    <row r="228" spans="1:13" x14ac:dyDescent="0.25">
      <c r="A228" t="s">
        <v>6933</v>
      </c>
      <c r="B228" t="s">
        <v>6934</v>
      </c>
      <c r="C228">
        <v>2023</v>
      </c>
      <c r="D228" t="s">
        <v>56</v>
      </c>
      <c r="E228" t="s">
        <v>67</v>
      </c>
      <c r="F228" t="s">
        <v>9403</v>
      </c>
      <c r="G228" t="s">
        <v>9388</v>
      </c>
      <c r="H228" t="s">
        <v>8739</v>
      </c>
      <c r="I228" t="s">
        <v>9392</v>
      </c>
      <c r="J228" t="s">
        <v>8535</v>
      </c>
      <c r="K228" t="s">
        <v>9400</v>
      </c>
      <c r="L228" t="s">
        <v>61</v>
      </c>
      <c r="M228" t="s">
        <v>63</v>
      </c>
    </row>
    <row r="229" spans="1:13" x14ac:dyDescent="0.25">
      <c r="A229" t="s">
        <v>6953</v>
      </c>
      <c r="B229" t="s">
        <v>6954</v>
      </c>
      <c r="C229">
        <v>2023</v>
      </c>
      <c r="D229" t="s">
        <v>56</v>
      </c>
      <c r="E229" t="s">
        <v>57</v>
      </c>
      <c r="F229" t="s">
        <v>8955</v>
      </c>
      <c r="G229" t="s">
        <v>9375</v>
      </c>
      <c r="H229" t="s">
        <v>8565</v>
      </c>
      <c r="I229" t="s">
        <v>9392</v>
      </c>
      <c r="J229" t="s">
        <v>8535</v>
      </c>
      <c r="K229" t="s">
        <v>9377</v>
      </c>
      <c r="L229" t="s">
        <v>61</v>
      </c>
      <c r="M229" t="s">
        <v>63</v>
      </c>
    </row>
    <row r="230" spans="1:13" x14ac:dyDescent="0.25">
      <c r="A230" t="s">
        <v>6963</v>
      </c>
      <c r="B230" t="s">
        <v>6964</v>
      </c>
      <c r="C230">
        <v>2023</v>
      </c>
      <c r="D230" t="s">
        <v>56</v>
      </c>
      <c r="E230" t="s">
        <v>67</v>
      </c>
      <c r="F230" t="s">
        <v>9387</v>
      </c>
      <c r="G230" t="s">
        <v>9375</v>
      </c>
      <c r="H230" t="s">
        <v>9394</v>
      </c>
      <c r="I230" t="s">
        <v>9154</v>
      </c>
      <c r="J230" t="s">
        <v>8535</v>
      </c>
      <c r="K230" t="s">
        <v>9400</v>
      </c>
      <c r="L230" t="s">
        <v>61</v>
      </c>
      <c r="M230" t="s">
        <v>63</v>
      </c>
    </row>
    <row r="231" spans="1:13" x14ac:dyDescent="0.25">
      <c r="A231" t="s">
        <v>6987</v>
      </c>
      <c r="B231" t="s">
        <v>6988</v>
      </c>
      <c r="C231">
        <v>2023</v>
      </c>
      <c r="D231" t="s">
        <v>56</v>
      </c>
      <c r="E231" t="s">
        <v>67</v>
      </c>
      <c r="F231" t="s">
        <v>8955</v>
      </c>
      <c r="G231" t="s">
        <v>9375</v>
      </c>
      <c r="H231" t="s">
        <v>3217</v>
      </c>
      <c r="I231" t="s">
        <v>9392</v>
      </c>
      <c r="J231" t="s">
        <v>9397</v>
      </c>
      <c r="K231" t="s">
        <v>9377</v>
      </c>
      <c r="L231" t="s">
        <v>61</v>
      </c>
      <c r="M231" t="s">
        <v>63</v>
      </c>
    </row>
    <row r="232" spans="1:13" x14ac:dyDescent="0.25">
      <c r="A232" t="s">
        <v>7045</v>
      </c>
      <c r="B232" t="s">
        <v>7046</v>
      </c>
      <c r="C232">
        <v>2023</v>
      </c>
      <c r="D232" t="s">
        <v>56</v>
      </c>
      <c r="E232" t="s">
        <v>67</v>
      </c>
      <c r="F232" t="s">
        <v>9384</v>
      </c>
      <c r="G232" t="s">
        <v>9388</v>
      </c>
      <c r="H232" t="s">
        <v>9394</v>
      </c>
      <c r="I232" t="s">
        <v>9392</v>
      </c>
      <c r="J232" t="s">
        <v>9397</v>
      </c>
      <c r="K232" t="s">
        <v>9391</v>
      </c>
      <c r="L232" t="s">
        <v>98</v>
      </c>
      <c r="M232" t="s">
        <v>72</v>
      </c>
    </row>
    <row r="233" spans="1:13" x14ac:dyDescent="0.25">
      <c r="A233" t="s">
        <v>7117</v>
      </c>
      <c r="B233" t="s">
        <v>7118</v>
      </c>
      <c r="C233">
        <v>2023</v>
      </c>
      <c r="D233" t="s">
        <v>56</v>
      </c>
      <c r="E233" t="s">
        <v>57</v>
      </c>
      <c r="F233" t="s">
        <v>9393</v>
      </c>
      <c r="G233" t="s">
        <v>9382</v>
      </c>
      <c r="H233" t="s">
        <v>8565</v>
      </c>
      <c r="I233" t="s">
        <v>9385</v>
      </c>
      <c r="J233" t="s">
        <v>8535</v>
      </c>
      <c r="K233" t="s">
        <v>9383</v>
      </c>
      <c r="L233" t="s">
        <v>98</v>
      </c>
      <c r="M233" t="s">
        <v>72</v>
      </c>
    </row>
    <row r="234" spans="1:13" x14ac:dyDescent="0.25">
      <c r="A234" t="s">
        <v>7121</v>
      </c>
      <c r="B234" t="s">
        <v>7122</v>
      </c>
      <c r="C234">
        <v>2023</v>
      </c>
      <c r="D234" t="s">
        <v>56</v>
      </c>
      <c r="E234" t="s">
        <v>57</v>
      </c>
      <c r="F234" t="s">
        <v>9393</v>
      </c>
      <c r="G234" t="s">
        <v>8761</v>
      </c>
      <c r="H234" t="s">
        <v>9111</v>
      </c>
      <c r="I234" t="s">
        <v>9385</v>
      </c>
      <c r="J234" t="s">
        <v>8535</v>
      </c>
      <c r="K234" t="s">
        <v>9386</v>
      </c>
      <c r="L234" t="s">
        <v>165</v>
      </c>
      <c r="M234" t="s">
        <v>72</v>
      </c>
    </row>
    <row r="235" spans="1:13" x14ac:dyDescent="0.25">
      <c r="A235" t="s">
        <v>7127</v>
      </c>
      <c r="B235" t="s">
        <v>7128</v>
      </c>
      <c r="C235">
        <v>2023</v>
      </c>
      <c r="D235" t="s">
        <v>56</v>
      </c>
      <c r="E235" t="s">
        <v>57</v>
      </c>
      <c r="F235" t="s">
        <v>9393</v>
      </c>
      <c r="G235" t="s">
        <v>9382</v>
      </c>
      <c r="H235" t="s">
        <v>8565</v>
      </c>
      <c r="I235" t="s">
        <v>9385</v>
      </c>
      <c r="J235" t="s">
        <v>9397</v>
      </c>
      <c r="K235" t="s">
        <v>9386</v>
      </c>
      <c r="L235" t="s">
        <v>165</v>
      </c>
      <c r="M235" t="s">
        <v>72</v>
      </c>
    </row>
    <row r="236" spans="1:13" x14ac:dyDescent="0.25">
      <c r="A236" t="s">
        <v>7138</v>
      </c>
      <c r="B236" t="s">
        <v>7139</v>
      </c>
      <c r="C236">
        <v>2023</v>
      </c>
      <c r="D236" t="s">
        <v>56</v>
      </c>
      <c r="E236" t="s">
        <v>57</v>
      </c>
      <c r="F236" t="s">
        <v>9381</v>
      </c>
      <c r="G236" t="s">
        <v>9402</v>
      </c>
      <c r="H236" t="s">
        <v>8565</v>
      </c>
      <c r="I236" t="s">
        <v>9392</v>
      </c>
      <c r="J236" t="s">
        <v>8535</v>
      </c>
      <c r="K236" t="s">
        <v>9377</v>
      </c>
      <c r="L236" t="s">
        <v>61</v>
      </c>
      <c r="M236" t="s">
        <v>63</v>
      </c>
    </row>
    <row r="237" spans="1:13" x14ac:dyDescent="0.25">
      <c r="A237" t="s">
        <v>7143</v>
      </c>
      <c r="B237" t="s">
        <v>7144</v>
      </c>
      <c r="C237">
        <v>2023</v>
      </c>
      <c r="D237" t="s">
        <v>56</v>
      </c>
      <c r="E237" t="s">
        <v>57</v>
      </c>
      <c r="F237" t="s">
        <v>9393</v>
      </c>
      <c r="G237" t="s">
        <v>9382</v>
      </c>
      <c r="H237" t="s">
        <v>9408</v>
      </c>
      <c r="I237" t="s">
        <v>9395</v>
      </c>
      <c r="J237" t="s">
        <v>8535</v>
      </c>
      <c r="K237" t="s">
        <v>9386</v>
      </c>
      <c r="L237" t="s">
        <v>165</v>
      </c>
      <c r="M237" t="s">
        <v>72</v>
      </c>
    </row>
    <row r="238" spans="1:13" x14ac:dyDescent="0.25">
      <c r="A238" t="s">
        <v>7152</v>
      </c>
      <c r="B238" t="s">
        <v>7153</v>
      </c>
      <c r="C238">
        <v>2023</v>
      </c>
      <c r="D238" t="s">
        <v>56</v>
      </c>
      <c r="E238" t="s">
        <v>67</v>
      </c>
      <c r="F238" t="s">
        <v>9393</v>
      </c>
      <c r="G238" t="s">
        <v>9388</v>
      </c>
      <c r="H238" t="s">
        <v>8565</v>
      </c>
      <c r="I238" t="s">
        <v>9392</v>
      </c>
      <c r="J238" t="s">
        <v>9397</v>
      </c>
      <c r="K238" t="s">
        <v>9400</v>
      </c>
      <c r="L238" t="s">
        <v>61</v>
      </c>
      <c r="M238" t="s">
        <v>63</v>
      </c>
    </row>
    <row r="239" spans="1:13" x14ac:dyDescent="0.25">
      <c r="A239" t="s">
        <v>7156</v>
      </c>
      <c r="B239" t="s">
        <v>7157</v>
      </c>
      <c r="C239">
        <v>2023</v>
      </c>
      <c r="D239" t="s">
        <v>56</v>
      </c>
      <c r="E239" t="s">
        <v>57</v>
      </c>
      <c r="F239" t="s">
        <v>9393</v>
      </c>
      <c r="G239" t="s">
        <v>9382</v>
      </c>
      <c r="H239" t="s">
        <v>8565</v>
      </c>
      <c r="I239" t="s">
        <v>9392</v>
      </c>
      <c r="J239" t="s">
        <v>9397</v>
      </c>
      <c r="K239" t="s">
        <v>9386</v>
      </c>
      <c r="L239" t="s">
        <v>165</v>
      </c>
      <c r="M239" t="s">
        <v>72</v>
      </c>
    </row>
    <row r="240" spans="1:13" x14ac:dyDescent="0.25">
      <c r="A240" t="s">
        <v>7160</v>
      </c>
      <c r="B240" t="s">
        <v>7161</v>
      </c>
      <c r="C240">
        <v>2023</v>
      </c>
      <c r="D240" t="s">
        <v>56</v>
      </c>
      <c r="E240" t="s">
        <v>67</v>
      </c>
      <c r="F240" t="s">
        <v>9393</v>
      </c>
      <c r="G240" t="s">
        <v>9375</v>
      </c>
      <c r="H240" t="s">
        <v>8565</v>
      </c>
      <c r="I240" t="s">
        <v>9395</v>
      </c>
      <c r="J240" t="s">
        <v>9390</v>
      </c>
      <c r="K240" t="s">
        <v>9380</v>
      </c>
      <c r="L240" t="s">
        <v>98</v>
      </c>
      <c r="M240" t="s">
        <v>72</v>
      </c>
    </row>
    <row r="241" spans="1:13" x14ac:dyDescent="0.25">
      <c r="A241" t="s">
        <v>7193</v>
      </c>
      <c r="B241" t="s">
        <v>7194</v>
      </c>
      <c r="C241">
        <v>2022</v>
      </c>
      <c r="D241" t="s">
        <v>7184</v>
      </c>
      <c r="E241" t="s">
        <v>57</v>
      </c>
      <c r="F241" t="s">
        <v>9393</v>
      </c>
      <c r="G241" t="s">
        <v>9402</v>
      </c>
      <c r="H241" t="s">
        <v>9111</v>
      </c>
      <c r="I241" t="s">
        <v>9385</v>
      </c>
      <c r="J241" t="s">
        <v>8535</v>
      </c>
      <c r="K241" t="s">
        <v>9383</v>
      </c>
      <c r="L241" t="s">
        <v>98</v>
      </c>
      <c r="M241" t="s">
        <v>72</v>
      </c>
    </row>
    <row r="242" spans="1:13" x14ac:dyDescent="0.25">
      <c r="A242" t="s">
        <v>7198</v>
      </c>
      <c r="B242" t="s">
        <v>7199</v>
      </c>
      <c r="C242">
        <v>2022</v>
      </c>
      <c r="D242" t="s">
        <v>7184</v>
      </c>
      <c r="E242" t="s">
        <v>57</v>
      </c>
      <c r="F242" t="s">
        <v>9393</v>
      </c>
      <c r="G242" t="s">
        <v>8761</v>
      </c>
      <c r="H242" t="s">
        <v>8565</v>
      </c>
      <c r="I242" t="s">
        <v>9392</v>
      </c>
      <c r="J242" t="s">
        <v>8535</v>
      </c>
      <c r="K242" t="s">
        <v>9386</v>
      </c>
      <c r="L242" t="s">
        <v>165</v>
      </c>
      <c r="M242" t="s">
        <v>72</v>
      </c>
    </row>
    <row r="243" spans="1:13" x14ac:dyDescent="0.25">
      <c r="A243" t="s">
        <v>7209</v>
      </c>
      <c r="B243" t="s">
        <v>7210</v>
      </c>
      <c r="C243">
        <v>2022</v>
      </c>
      <c r="D243" t="s">
        <v>7184</v>
      </c>
      <c r="E243" t="s">
        <v>57</v>
      </c>
      <c r="F243" t="s">
        <v>9387</v>
      </c>
      <c r="G243" t="s">
        <v>9388</v>
      </c>
      <c r="H243" t="s">
        <v>9405</v>
      </c>
      <c r="I243" t="s">
        <v>9385</v>
      </c>
      <c r="J243" t="s">
        <v>8535</v>
      </c>
      <c r="K243" t="s">
        <v>9386</v>
      </c>
      <c r="L243" t="s">
        <v>165</v>
      </c>
      <c r="M243" t="s">
        <v>72</v>
      </c>
    </row>
    <row r="244" spans="1:13" x14ac:dyDescent="0.25">
      <c r="A244" t="s">
        <v>7215</v>
      </c>
      <c r="B244" t="s">
        <v>7216</v>
      </c>
      <c r="C244">
        <v>2022</v>
      </c>
      <c r="D244" t="s">
        <v>7184</v>
      </c>
      <c r="E244" t="s">
        <v>67</v>
      </c>
      <c r="F244" t="s">
        <v>9387</v>
      </c>
      <c r="G244" t="s">
        <v>9382</v>
      </c>
      <c r="H244" t="s">
        <v>9396</v>
      </c>
      <c r="I244" t="s">
        <v>9389</v>
      </c>
      <c r="J244" t="s">
        <v>8535</v>
      </c>
      <c r="K244" t="s">
        <v>9380</v>
      </c>
      <c r="L244" t="s">
        <v>98</v>
      </c>
      <c r="M244" t="s">
        <v>72</v>
      </c>
    </row>
    <row r="245" spans="1:13" x14ac:dyDescent="0.25">
      <c r="A245" t="s">
        <v>7230</v>
      </c>
      <c r="B245" t="s">
        <v>7231</v>
      </c>
      <c r="C245">
        <v>2022</v>
      </c>
      <c r="D245" t="s">
        <v>7184</v>
      </c>
      <c r="E245" t="s">
        <v>57</v>
      </c>
      <c r="F245" t="s">
        <v>9393</v>
      </c>
      <c r="G245" t="s">
        <v>8761</v>
      </c>
      <c r="H245" t="s">
        <v>8565</v>
      </c>
      <c r="I245" t="s">
        <v>9385</v>
      </c>
      <c r="J245" t="s">
        <v>8535</v>
      </c>
      <c r="K245" t="s">
        <v>9380</v>
      </c>
      <c r="L245" t="s">
        <v>98</v>
      </c>
      <c r="M245" t="s">
        <v>72</v>
      </c>
    </row>
    <row r="246" spans="1:13" x14ac:dyDescent="0.25">
      <c r="A246" t="s">
        <v>7235</v>
      </c>
      <c r="B246" t="s">
        <v>7236</v>
      </c>
      <c r="C246">
        <v>2022</v>
      </c>
      <c r="D246" t="s">
        <v>7184</v>
      </c>
      <c r="E246" t="s">
        <v>57</v>
      </c>
      <c r="F246" t="s">
        <v>9381</v>
      </c>
      <c r="G246" t="s">
        <v>9402</v>
      </c>
      <c r="H246" t="s">
        <v>3217</v>
      </c>
      <c r="I246" t="s">
        <v>9395</v>
      </c>
      <c r="J246" t="s">
        <v>8535</v>
      </c>
      <c r="K246" t="s">
        <v>9386</v>
      </c>
      <c r="L246" t="s">
        <v>165</v>
      </c>
      <c r="M246" t="s">
        <v>72</v>
      </c>
    </row>
    <row r="247" spans="1:13" x14ac:dyDescent="0.25">
      <c r="A247" t="s">
        <v>7251</v>
      </c>
      <c r="B247" t="s">
        <v>7252</v>
      </c>
      <c r="C247">
        <v>2022</v>
      </c>
      <c r="D247" t="s">
        <v>7184</v>
      </c>
      <c r="E247" t="s">
        <v>67</v>
      </c>
      <c r="F247" t="s">
        <v>9387</v>
      </c>
      <c r="G247" t="s">
        <v>9388</v>
      </c>
      <c r="H247" t="s">
        <v>9394</v>
      </c>
      <c r="I247" t="s">
        <v>9395</v>
      </c>
      <c r="J247" t="s">
        <v>9390</v>
      </c>
      <c r="K247" t="s">
        <v>9380</v>
      </c>
      <c r="L247" t="s">
        <v>98</v>
      </c>
      <c r="M247" t="s">
        <v>72</v>
      </c>
    </row>
    <row r="248" spans="1:13" x14ac:dyDescent="0.25">
      <c r="A248" t="s">
        <v>7271</v>
      </c>
      <c r="B248" t="s">
        <v>7272</v>
      </c>
      <c r="C248">
        <v>2022</v>
      </c>
      <c r="D248" t="s">
        <v>7184</v>
      </c>
      <c r="E248" t="s">
        <v>67</v>
      </c>
      <c r="F248" t="s">
        <v>9381</v>
      </c>
      <c r="G248" t="s">
        <v>9388</v>
      </c>
      <c r="H248" t="s">
        <v>9111</v>
      </c>
      <c r="I248" t="s">
        <v>9392</v>
      </c>
      <c r="J248" t="s">
        <v>8535</v>
      </c>
      <c r="K248" t="s">
        <v>9377</v>
      </c>
      <c r="L248" t="s">
        <v>61</v>
      </c>
      <c r="M248" t="s">
        <v>63</v>
      </c>
    </row>
    <row r="249" spans="1:13" x14ac:dyDescent="0.25">
      <c r="A249" t="s">
        <v>7275</v>
      </c>
      <c r="B249" t="s">
        <v>7276</v>
      </c>
      <c r="C249">
        <v>2022</v>
      </c>
      <c r="D249" t="s">
        <v>7184</v>
      </c>
      <c r="E249" t="s">
        <v>57</v>
      </c>
      <c r="F249" t="s">
        <v>9393</v>
      </c>
      <c r="G249" t="s">
        <v>9378</v>
      </c>
      <c r="H249" t="s">
        <v>8565</v>
      </c>
      <c r="I249" t="s">
        <v>9385</v>
      </c>
      <c r="J249" t="s">
        <v>9390</v>
      </c>
      <c r="K249" t="s">
        <v>9377</v>
      </c>
      <c r="L249" t="s">
        <v>61</v>
      </c>
      <c r="M249" t="s">
        <v>63</v>
      </c>
    </row>
    <row r="250" spans="1:13" x14ac:dyDescent="0.25">
      <c r="A250" t="s">
        <v>7280</v>
      </c>
      <c r="B250" t="s">
        <v>7281</v>
      </c>
      <c r="C250">
        <v>2022</v>
      </c>
      <c r="D250" t="s">
        <v>7184</v>
      </c>
      <c r="E250" t="s">
        <v>57</v>
      </c>
      <c r="F250" t="s">
        <v>9393</v>
      </c>
      <c r="G250" t="s">
        <v>9382</v>
      </c>
      <c r="H250" t="s">
        <v>8565</v>
      </c>
      <c r="I250" t="s">
        <v>9385</v>
      </c>
      <c r="J250" t="s">
        <v>9379</v>
      </c>
      <c r="K250" t="s">
        <v>9386</v>
      </c>
      <c r="L250" t="s">
        <v>165</v>
      </c>
      <c r="M250" t="s">
        <v>72</v>
      </c>
    </row>
    <row r="251" spans="1:13" x14ac:dyDescent="0.25">
      <c r="A251" t="s">
        <v>7297</v>
      </c>
      <c r="B251" t="s">
        <v>7298</v>
      </c>
      <c r="C251">
        <v>2022</v>
      </c>
      <c r="D251" t="s">
        <v>7184</v>
      </c>
      <c r="E251" t="s">
        <v>57</v>
      </c>
      <c r="F251" t="s">
        <v>9403</v>
      </c>
      <c r="G251" t="s">
        <v>9388</v>
      </c>
      <c r="H251" t="s">
        <v>8739</v>
      </c>
      <c r="I251" t="s">
        <v>9392</v>
      </c>
      <c r="J251" t="s">
        <v>8535</v>
      </c>
      <c r="K251" t="s">
        <v>9377</v>
      </c>
      <c r="L251" t="s">
        <v>61</v>
      </c>
      <c r="M251" t="s">
        <v>63</v>
      </c>
    </row>
    <row r="252" spans="1:13" x14ac:dyDescent="0.25">
      <c r="A252" t="s">
        <v>7318</v>
      </c>
      <c r="B252" t="s">
        <v>7319</v>
      </c>
      <c r="C252">
        <v>2022</v>
      </c>
      <c r="D252" t="s">
        <v>7184</v>
      </c>
      <c r="E252" t="s">
        <v>57</v>
      </c>
      <c r="F252" t="s">
        <v>9393</v>
      </c>
      <c r="G252" t="s">
        <v>9402</v>
      </c>
      <c r="H252" t="s">
        <v>8565</v>
      </c>
      <c r="I252" t="s">
        <v>9385</v>
      </c>
      <c r="J252" t="s">
        <v>8535</v>
      </c>
      <c r="K252" t="s">
        <v>9377</v>
      </c>
      <c r="L252" t="s">
        <v>61</v>
      </c>
      <c r="M252" t="s">
        <v>63</v>
      </c>
    </row>
    <row r="253" spans="1:13" x14ac:dyDescent="0.25">
      <c r="A253" t="s">
        <v>7328</v>
      </c>
      <c r="B253" t="s">
        <v>7329</v>
      </c>
      <c r="C253">
        <v>2022</v>
      </c>
      <c r="D253" t="s">
        <v>7184</v>
      </c>
      <c r="E253" t="s">
        <v>57</v>
      </c>
      <c r="F253" t="s">
        <v>9403</v>
      </c>
      <c r="G253" t="s">
        <v>9378</v>
      </c>
      <c r="H253" t="s">
        <v>8739</v>
      </c>
      <c r="I253" t="s">
        <v>9392</v>
      </c>
      <c r="J253" t="s">
        <v>9397</v>
      </c>
      <c r="K253" t="s">
        <v>9377</v>
      </c>
      <c r="L253" t="s">
        <v>61</v>
      </c>
      <c r="M253" t="s">
        <v>63</v>
      </c>
    </row>
    <row r="254" spans="1:13" x14ac:dyDescent="0.25">
      <c r="A254" t="s">
        <v>7334</v>
      </c>
      <c r="B254" t="s">
        <v>7335</v>
      </c>
      <c r="C254">
        <v>2022</v>
      </c>
      <c r="D254" t="s">
        <v>7184</v>
      </c>
      <c r="E254" t="s">
        <v>67</v>
      </c>
      <c r="F254" t="s">
        <v>9384</v>
      </c>
      <c r="G254" t="s">
        <v>8761</v>
      </c>
      <c r="H254" t="s">
        <v>8565</v>
      </c>
      <c r="I254" t="s">
        <v>9154</v>
      </c>
      <c r="J254" t="s">
        <v>8652</v>
      </c>
      <c r="K254" t="s">
        <v>9380</v>
      </c>
      <c r="L254" t="s">
        <v>98</v>
      </c>
      <c r="M254" t="s">
        <v>72</v>
      </c>
    </row>
    <row r="255" spans="1:13" x14ac:dyDescent="0.25">
      <c r="A255" t="s">
        <v>7339</v>
      </c>
      <c r="B255" t="s">
        <v>7340</v>
      </c>
      <c r="C255">
        <v>2022</v>
      </c>
      <c r="D255" t="s">
        <v>7184</v>
      </c>
      <c r="E255" t="s">
        <v>57</v>
      </c>
      <c r="F255" t="s">
        <v>9393</v>
      </c>
      <c r="G255" t="s">
        <v>9388</v>
      </c>
      <c r="H255" t="s">
        <v>9111</v>
      </c>
      <c r="I255" t="s">
        <v>9392</v>
      </c>
      <c r="J255" t="s">
        <v>8535</v>
      </c>
      <c r="K255" t="s">
        <v>9386</v>
      </c>
      <c r="L255" t="s">
        <v>165</v>
      </c>
      <c r="M255" t="s">
        <v>72</v>
      </c>
    </row>
    <row r="256" spans="1:13" x14ac:dyDescent="0.25">
      <c r="A256" t="s">
        <v>7381</v>
      </c>
      <c r="B256" t="s">
        <v>7382</v>
      </c>
      <c r="C256">
        <v>2022</v>
      </c>
      <c r="D256" t="s">
        <v>7184</v>
      </c>
      <c r="E256" t="s">
        <v>57</v>
      </c>
      <c r="F256" t="s">
        <v>9410</v>
      </c>
      <c r="G256" t="s">
        <v>8761</v>
      </c>
      <c r="H256" t="s">
        <v>8739</v>
      </c>
      <c r="I256" t="s">
        <v>9392</v>
      </c>
      <c r="J256" t="s">
        <v>8535</v>
      </c>
      <c r="K256" t="s">
        <v>9380</v>
      </c>
      <c r="L256" t="s">
        <v>98</v>
      </c>
      <c r="M256" t="s">
        <v>72</v>
      </c>
    </row>
    <row r="257" spans="1:13" x14ac:dyDescent="0.25">
      <c r="A257" t="s">
        <v>7396</v>
      </c>
      <c r="B257" t="s">
        <v>7397</v>
      </c>
      <c r="C257">
        <v>2022</v>
      </c>
      <c r="D257" t="s">
        <v>7184</v>
      </c>
      <c r="E257" t="s">
        <v>57</v>
      </c>
      <c r="F257" t="s">
        <v>9406</v>
      </c>
      <c r="G257" t="s">
        <v>9388</v>
      </c>
      <c r="H257" t="s">
        <v>8565</v>
      </c>
      <c r="I257" t="s">
        <v>9392</v>
      </c>
      <c r="J257" t="s">
        <v>9397</v>
      </c>
      <c r="K257" t="s">
        <v>9377</v>
      </c>
      <c r="L257" t="s">
        <v>61</v>
      </c>
      <c r="M257" t="s">
        <v>63</v>
      </c>
    </row>
    <row r="258" spans="1:13" x14ac:dyDescent="0.25">
      <c r="A258" t="s">
        <v>7407</v>
      </c>
      <c r="B258" t="s">
        <v>7408</v>
      </c>
      <c r="C258">
        <v>2022</v>
      </c>
      <c r="D258" t="s">
        <v>7184</v>
      </c>
      <c r="E258" t="s">
        <v>67</v>
      </c>
      <c r="F258" t="s">
        <v>9381</v>
      </c>
      <c r="G258" t="s">
        <v>9388</v>
      </c>
      <c r="H258" t="s">
        <v>8565</v>
      </c>
      <c r="I258" t="s">
        <v>9385</v>
      </c>
      <c r="J258" t="s">
        <v>8535</v>
      </c>
      <c r="K258" t="s">
        <v>9377</v>
      </c>
      <c r="L258" t="s">
        <v>61</v>
      </c>
      <c r="M258" t="s">
        <v>63</v>
      </c>
    </row>
    <row r="259" spans="1:13" x14ac:dyDescent="0.25">
      <c r="A259" t="s">
        <v>7411</v>
      </c>
      <c r="B259" t="s">
        <v>7412</v>
      </c>
      <c r="C259">
        <v>2022</v>
      </c>
      <c r="D259" t="s">
        <v>7184</v>
      </c>
      <c r="E259" t="s">
        <v>57</v>
      </c>
      <c r="F259" t="s">
        <v>9393</v>
      </c>
      <c r="G259" t="s">
        <v>9382</v>
      </c>
      <c r="H259" t="s">
        <v>9111</v>
      </c>
      <c r="I259" t="s">
        <v>9385</v>
      </c>
      <c r="J259" t="s">
        <v>8535</v>
      </c>
      <c r="K259" t="s">
        <v>9380</v>
      </c>
      <c r="L259" t="s">
        <v>98</v>
      </c>
      <c r="M259" t="s">
        <v>72</v>
      </c>
    </row>
    <row r="260" spans="1:13" x14ac:dyDescent="0.25">
      <c r="A260" t="s">
        <v>7426</v>
      </c>
      <c r="B260" t="s">
        <v>7427</v>
      </c>
      <c r="C260">
        <v>2022</v>
      </c>
      <c r="D260" t="s">
        <v>7184</v>
      </c>
      <c r="E260" t="s">
        <v>67</v>
      </c>
      <c r="F260" t="s">
        <v>9411</v>
      </c>
      <c r="G260" t="s">
        <v>9382</v>
      </c>
      <c r="H260" t="s">
        <v>8565</v>
      </c>
      <c r="I260" t="s">
        <v>9395</v>
      </c>
      <c r="J260" t="s">
        <v>8535</v>
      </c>
      <c r="K260" t="s">
        <v>9391</v>
      </c>
      <c r="L260" t="s">
        <v>98</v>
      </c>
      <c r="M260" t="s">
        <v>72</v>
      </c>
    </row>
    <row r="261" spans="1:13" x14ac:dyDescent="0.25">
      <c r="A261" t="s">
        <v>7435</v>
      </c>
      <c r="B261" t="s">
        <v>7436</v>
      </c>
      <c r="C261">
        <v>2022</v>
      </c>
      <c r="D261" t="s">
        <v>7184</v>
      </c>
      <c r="E261" t="s">
        <v>57</v>
      </c>
      <c r="F261" t="s">
        <v>9381</v>
      </c>
      <c r="G261" t="s">
        <v>9388</v>
      </c>
      <c r="H261" t="s">
        <v>916</v>
      </c>
      <c r="I261" t="s">
        <v>9385</v>
      </c>
      <c r="J261" t="s">
        <v>9397</v>
      </c>
      <c r="K261" t="s">
        <v>9386</v>
      </c>
      <c r="L261" t="s">
        <v>165</v>
      </c>
      <c r="M261" t="s">
        <v>72</v>
      </c>
    </row>
    <row r="262" spans="1:13" x14ac:dyDescent="0.25">
      <c r="A262" t="s">
        <v>7440</v>
      </c>
      <c r="B262" t="s">
        <v>7441</v>
      </c>
      <c r="C262">
        <v>2022</v>
      </c>
      <c r="D262" t="s">
        <v>7184</v>
      </c>
      <c r="E262" t="s">
        <v>67</v>
      </c>
      <c r="F262" t="s">
        <v>9393</v>
      </c>
      <c r="G262" t="s">
        <v>8761</v>
      </c>
      <c r="H262" t="s">
        <v>8565</v>
      </c>
      <c r="I262" t="s">
        <v>9395</v>
      </c>
      <c r="J262" t="s">
        <v>9390</v>
      </c>
      <c r="K262" t="s">
        <v>9391</v>
      </c>
      <c r="L262" t="s">
        <v>98</v>
      </c>
      <c r="M262" t="s">
        <v>72</v>
      </c>
    </row>
    <row r="263" spans="1:13" x14ac:dyDescent="0.25">
      <c r="A263" t="s">
        <v>7453</v>
      </c>
      <c r="B263" t="s">
        <v>7454</v>
      </c>
      <c r="C263">
        <v>2022</v>
      </c>
      <c r="D263" t="s">
        <v>7184</v>
      </c>
      <c r="E263" t="s">
        <v>57</v>
      </c>
      <c r="F263" t="s">
        <v>9393</v>
      </c>
      <c r="G263" t="s">
        <v>9388</v>
      </c>
      <c r="H263" t="s">
        <v>8565</v>
      </c>
      <c r="I263" t="s">
        <v>9385</v>
      </c>
      <c r="J263" t="s">
        <v>8535</v>
      </c>
      <c r="K263" t="s">
        <v>9377</v>
      </c>
      <c r="L263" t="s">
        <v>61</v>
      </c>
      <c r="M263" t="s">
        <v>63</v>
      </c>
    </row>
    <row r="264" spans="1:13" x14ac:dyDescent="0.25">
      <c r="A264" t="s">
        <v>7492</v>
      </c>
      <c r="B264" t="s">
        <v>7493</v>
      </c>
      <c r="C264">
        <v>2022</v>
      </c>
      <c r="D264" t="s">
        <v>7184</v>
      </c>
      <c r="E264" t="s">
        <v>57</v>
      </c>
      <c r="F264" t="s">
        <v>9410</v>
      </c>
      <c r="G264" t="s">
        <v>9388</v>
      </c>
      <c r="H264" t="s">
        <v>8565</v>
      </c>
      <c r="I264" t="s">
        <v>9385</v>
      </c>
      <c r="J264" t="s">
        <v>8535</v>
      </c>
      <c r="K264" t="s">
        <v>9380</v>
      </c>
      <c r="L264" t="s">
        <v>98</v>
      </c>
      <c r="M264" t="s">
        <v>72</v>
      </c>
    </row>
    <row r="265" spans="1:13" x14ac:dyDescent="0.25">
      <c r="A265" t="s">
        <v>7515</v>
      </c>
      <c r="B265" t="s">
        <v>7516</v>
      </c>
      <c r="C265">
        <v>2022</v>
      </c>
      <c r="D265" t="s">
        <v>7184</v>
      </c>
      <c r="E265" t="s">
        <v>57</v>
      </c>
      <c r="F265" t="s">
        <v>9393</v>
      </c>
      <c r="G265" t="s">
        <v>8761</v>
      </c>
      <c r="H265" t="s">
        <v>8565</v>
      </c>
      <c r="I265" t="s">
        <v>9385</v>
      </c>
      <c r="J265" t="s">
        <v>8535</v>
      </c>
      <c r="K265" t="s">
        <v>9386</v>
      </c>
      <c r="L265" t="s">
        <v>165</v>
      </c>
      <c r="M265" t="s">
        <v>72</v>
      </c>
    </row>
    <row r="266" spans="1:13" x14ac:dyDescent="0.25">
      <c r="A266" t="s">
        <v>7520</v>
      </c>
      <c r="B266" t="s">
        <v>7521</v>
      </c>
      <c r="C266">
        <v>2022</v>
      </c>
      <c r="D266" t="s">
        <v>7184</v>
      </c>
      <c r="E266" t="s">
        <v>67</v>
      </c>
      <c r="F266" t="s">
        <v>9381</v>
      </c>
      <c r="G266" t="s">
        <v>9375</v>
      </c>
      <c r="H266" t="s">
        <v>9111</v>
      </c>
      <c r="I266" t="s">
        <v>9385</v>
      </c>
      <c r="J266" t="s">
        <v>8535</v>
      </c>
      <c r="K266" t="s">
        <v>9380</v>
      </c>
      <c r="L266" t="s">
        <v>98</v>
      </c>
      <c r="M266" t="s">
        <v>72</v>
      </c>
    </row>
    <row r="267" spans="1:13" x14ac:dyDescent="0.25">
      <c r="A267" t="s">
        <v>7525</v>
      </c>
      <c r="B267" t="s">
        <v>7526</v>
      </c>
      <c r="C267">
        <v>2022</v>
      </c>
      <c r="D267" t="s">
        <v>7184</v>
      </c>
      <c r="E267" t="s">
        <v>67</v>
      </c>
      <c r="F267" t="s">
        <v>9381</v>
      </c>
      <c r="G267" t="s">
        <v>9375</v>
      </c>
      <c r="H267" t="s">
        <v>3217</v>
      </c>
      <c r="I267" t="s">
        <v>9392</v>
      </c>
      <c r="J267" t="s">
        <v>8535</v>
      </c>
      <c r="K267" t="s">
        <v>9391</v>
      </c>
      <c r="L267" t="s">
        <v>98</v>
      </c>
      <c r="M267" t="s">
        <v>72</v>
      </c>
    </row>
    <row r="268" spans="1:13" x14ac:dyDescent="0.25">
      <c r="A268" t="s">
        <v>7530</v>
      </c>
      <c r="B268" t="s">
        <v>7531</v>
      </c>
      <c r="C268">
        <v>2022</v>
      </c>
      <c r="D268" t="s">
        <v>7184</v>
      </c>
      <c r="E268" t="s">
        <v>57</v>
      </c>
      <c r="F268" t="s">
        <v>9393</v>
      </c>
      <c r="G268" t="s">
        <v>9382</v>
      </c>
      <c r="H268" t="s">
        <v>8565</v>
      </c>
      <c r="I268" t="s">
        <v>9385</v>
      </c>
      <c r="J268" t="s">
        <v>8535</v>
      </c>
      <c r="K268" t="s">
        <v>9391</v>
      </c>
      <c r="L268" t="s">
        <v>98</v>
      </c>
      <c r="M268" t="s">
        <v>72</v>
      </c>
    </row>
    <row r="269" spans="1:13" x14ac:dyDescent="0.25">
      <c r="A269" t="s">
        <v>7535</v>
      </c>
      <c r="B269" t="s">
        <v>7536</v>
      </c>
      <c r="C269">
        <v>2022</v>
      </c>
      <c r="D269" t="s">
        <v>7184</v>
      </c>
      <c r="E269" t="s">
        <v>57</v>
      </c>
      <c r="F269" t="s">
        <v>9393</v>
      </c>
      <c r="G269" t="s">
        <v>9375</v>
      </c>
      <c r="H269" t="s">
        <v>8565</v>
      </c>
      <c r="I269" t="s">
        <v>9385</v>
      </c>
      <c r="J269" t="s">
        <v>8535</v>
      </c>
      <c r="K269" t="s">
        <v>9377</v>
      </c>
      <c r="L269" t="s">
        <v>61</v>
      </c>
      <c r="M269" t="s">
        <v>63</v>
      </c>
    </row>
    <row r="270" spans="1:13" x14ac:dyDescent="0.25">
      <c r="A270" t="s">
        <v>7545</v>
      </c>
      <c r="B270" t="s">
        <v>7546</v>
      </c>
      <c r="C270">
        <v>2022</v>
      </c>
      <c r="D270" t="s">
        <v>7184</v>
      </c>
      <c r="E270" t="s">
        <v>67</v>
      </c>
      <c r="F270" t="s">
        <v>9393</v>
      </c>
      <c r="G270" t="s">
        <v>9375</v>
      </c>
      <c r="H270" t="s">
        <v>8565</v>
      </c>
      <c r="I270" t="s">
        <v>9392</v>
      </c>
      <c r="J270" t="s">
        <v>9390</v>
      </c>
      <c r="K270" t="s">
        <v>9391</v>
      </c>
      <c r="L270" t="s">
        <v>98</v>
      </c>
      <c r="M270" t="s">
        <v>72</v>
      </c>
    </row>
    <row r="271" spans="1:13" x14ac:dyDescent="0.25">
      <c r="A271" t="s">
        <v>7554</v>
      </c>
      <c r="B271" t="s">
        <v>7555</v>
      </c>
      <c r="C271">
        <v>2021</v>
      </c>
      <c r="D271" t="s">
        <v>7184</v>
      </c>
      <c r="E271" t="s">
        <v>57</v>
      </c>
      <c r="F271" t="s">
        <v>9393</v>
      </c>
      <c r="G271" t="s">
        <v>9375</v>
      </c>
      <c r="H271" t="s">
        <v>3217</v>
      </c>
      <c r="I271" t="s">
        <v>9392</v>
      </c>
      <c r="J271" t="s">
        <v>8535</v>
      </c>
      <c r="K271" t="s">
        <v>9386</v>
      </c>
      <c r="L271" t="s">
        <v>165</v>
      </c>
      <c r="M271" t="s">
        <v>72</v>
      </c>
    </row>
    <row r="272" spans="1:13" x14ac:dyDescent="0.25">
      <c r="A272" t="s">
        <v>7581</v>
      </c>
      <c r="B272" t="s">
        <v>7582</v>
      </c>
      <c r="C272">
        <v>2021</v>
      </c>
      <c r="D272" t="s">
        <v>7184</v>
      </c>
      <c r="E272" t="s">
        <v>57</v>
      </c>
      <c r="F272" t="s">
        <v>9393</v>
      </c>
      <c r="G272" t="s">
        <v>9382</v>
      </c>
      <c r="H272" t="s">
        <v>8565</v>
      </c>
      <c r="I272" t="s">
        <v>9392</v>
      </c>
      <c r="J272" t="s">
        <v>8535</v>
      </c>
      <c r="K272" t="s">
        <v>9391</v>
      </c>
      <c r="L272" t="s">
        <v>98</v>
      </c>
      <c r="M272" t="s">
        <v>72</v>
      </c>
    </row>
    <row r="273" spans="1:13" x14ac:dyDescent="0.25">
      <c r="A273" t="s">
        <v>7585</v>
      </c>
      <c r="B273" t="s">
        <v>7586</v>
      </c>
      <c r="C273">
        <v>2021</v>
      </c>
      <c r="D273" t="s">
        <v>7184</v>
      </c>
      <c r="E273" t="s">
        <v>57</v>
      </c>
      <c r="F273" t="s">
        <v>8955</v>
      </c>
      <c r="G273" t="s">
        <v>9388</v>
      </c>
      <c r="H273" t="s">
        <v>8565</v>
      </c>
      <c r="I273" t="s">
        <v>9392</v>
      </c>
      <c r="J273" t="s">
        <v>9397</v>
      </c>
      <c r="K273" t="s">
        <v>9377</v>
      </c>
      <c r="L273" t="s">
        <v>61</v>
      </c>
      <c r="M273" t="s">
        <v>63</v>
      </c>
    </row>
    <row r="274" spans="1:13" x14ac:dyDescent="0.25">
      <c r="A274" t="s">
        <v>7593</v>
      </c>
      <c r="B274" t="s">
        <v>7594</v>
      </c>
      <c r="C274">
        <v>2021</v>
      </c>
      <c r="D274" t="s">
        <v>7184</v>
      </c>
      <c r="E274" t="s">
        <v>57</v>
      </c>
      <c r="F274" t="s">
        <v>9411</v>
      </c>
      <c r="G274" t="s">
        <v>9388</v>
      </c>
      <c r="H274" t="s">
        <v>3217</v>
      </c>
      <c r="I274" t="s">
        <v>9385</v>
      </c>
      <c r="J274" t="s">
        <v>8535</v>
      </c>
      <c r="K274" t="s">
        <v>9380</v>
      </c>
      <c r="L274" t="s">
        <v>98</v>
      </c>
      <c r="M274" t="s">
        <v>72</v>
      </c>
    </row>
    <row r="275" spans="1:13" x14ac:dyDescent="0.25">
      <c r="A275" t="s">
        <v>7605</v>
      </c>
      <c r="B275" t="s">
        <v>7606</v>
      </c>
      <c r="C275">
        <v>2021</v>
      </c>
      <c r="D275" t="s">
        <v>7184</v>
      </c>
      <c r="E275" t="s">
        <v>57</v>
      </c>
      <c r="F275" t="s">
        <v>9403</v>
      </c>
      <c r="G275" t="s">
        <v>9388</v>
      </c>
      <c r="H275" t="s">
        <v>8565</v>
      </c>
      <c r="I275" t="s">
        <v>9385</v>
      </c>
      <c r="J275" t="s">
        <v>8535</v>
      </c>
      <c r="K275" t="s">
        <v>9377</v>
      </c>
      <c r="L275" t="s">
        <v>61</v>
      </c>
      <c r="M275" t="s">
        <v>63</v>
      </c>
    </row>
    <row r="276" spans="1:13" x14ac:dyDescent="0.25">
      <c r="A276" t="s">
        <v>7610</v>
      </c>
      <c r="B276" t="s">
        <v>7611</v>
      </c>
      <c r="C276">
        <v>2021</v>
      </c>
      <c r="D276" t="s">
        <v>7184</v>
      </c>
      <c r="E276" t="s">
        <v>57</v>
      </c>
      <c r="F276" t="s">
        <v>9393</v>
      </c>
      <c r="G276" t="s">
        <v>9388</v>
      </c>
      <c r="H276" t="s">
        <v>8565</v>
      </c>
      <c r="I276" t="s">
        <v>9392</v>
      </c>
      <c r="J276" t="s">
        <v>8652</v>
      </c>
      <c r="K276" t="s">
        <v>9400</v>
      </c>
      <c r="L276" t="s">
        <v>61</v>
      </c>
      <c r="M276" t="s">
        <v>63</v>
      </c>
    </row>
    <row r="277" spans="1:13" x14ac:dyDescent="0.25">
      <c r="A277" t="s">
        <v>7616</v>
      </c>
      <c r="B277" t="s">
        <v>7617</v>
      </c>
      <c r="C277">
        <v>2021</v>
      </c>
      <c r="D277" t="s">
        <v>7184</v>
      </c>
      <c r="E277" t="s">
        <v>57</v>
      </c>
      <c r="F277" t="s">
        <v>8955</v>
      </c>
      <c r="G277" t="s">
        <v>9388</v>
      </c>
      <c r="H277" t="s">
        <v>8565</v>
      </c>
      <c r="I277" t="s">
        <v>9392</v>
      </c>
      <c r="J277" t="s">
        <v>8535</v>
      </c>
      <c r="K277" t="s">
        <v>9377</v>
      </c>
      <c r="L277" t="s">
        <v>61</v>
      </c>
      <c r="M277" t="s">
        <v>63</v>
      </c>
    </row>
    <row r="278" spans="1:13" x14ac:dyDescent="0.25">
      <c r="A278" t="s">
        <v>7631</v>
      </c>
      <c r="B278" t="s">
        <v>7632</v>
      </c>
      <c r="C278">
        <v>2021</v>
      </c>
      <c r="D278" t="s">
        <v>7184</v>
      </c>
      <c r="E278" t="s">
        <v>57</v>
      </c>
      <c r="F278" t="s">
        <v>9393</v>
      </c>
      <c r="G278" t="s">
        <v>8761</v>
      </c>
      <c r="H278" t="s">
        <v>8739</v>
      </c>
      <c r="I278" t="s">
        <v>9385</v>
      </c>
      <c r="J278" t="s">
        <v>9397</v>
      </c>
      <c r="K278" t="s">
        <v>9386</v>
      </c>
      <c r="L278" t="s">
        <v>165</v>
      </c>
      <c r="M278" t="s">
        <v>72</v>
      </c>
    </row>
    <row r="279" spans="1:13" x14ac:dyDescent="0.25">
      <c r="A279" t="s">
        <v>7635</v>
      </c>
      <c r="B279" t="s">
        <v>7636</v>
      </c>
      <c r="C279">
        <v>2021</v>
      </c>
      <c r="D279" t="s">
        <v>7184</v>
      </c>
      <c r="E279" t="s">
        <v>67</v>
      </c>
      <c r="F279" t="s">
        <v>9387</v>
      </c>
      <c r="G279" t="s">
        <v>9382</v>
      </c>
      <c r="H279" t="s">
        <v>916</v>
      </c>
      <c r="I279" t="s">
        <v>9385</v>
      </c>
      <c r="J279" t="s">
        <v>9379</v>
      </c>
      <c r="K279" t="s">
        <v>9380</v>
      </c>
      <c r="L279" t="s">
        <v>98</v>
      </c>
      <c r="M279" t="s">
        <v>72</v>
      </c>
    </row>
    <row r="280" spans="1:13" x14ac:dyDescent="0.25">
      <c r="A280" t="s">
        <v>7641</v>
      </c>
      <c r="B280" t="s">
        <v>7642</v>
      </c>
      <c r="C280">
        <v>2021</v>
      </c>
      <c r="D280" t="s">
        <v>7184</v>
      </c>
      <c r="E280" t="s">
        <v>67</v>
      </c>
      <c r="F280" t="s">
        <v>9393</v>
      </c>
      <c r="G280" t="s">
        <v>9375</v>
      </c>
      <c r="H280" t="s">
        <v>8565</v>
      </c>
      <c r="I280" t="s">
        <v>9392</v>
      </c>
      <c r="J280" t="s">
        <v>8535</v>
      </c>
      <c r="K280" t="s">
        <v>9386</v>
      </c>
      <c r="L280" t="s">
        <v>165</v>
      </c>
      <c r="M280" t="s">
        <v>72</v>
      </c>
    </row>
    <row r="281" spans="1:13" x14ac:dyDescent="0.25">
      <c r="A281" t="s">
        <v>7646</v>
      </c>
      <c r="B281" t="s">
        <v>7647</v>
      </c>
      <c r="C281">
        <v>2021</v>
      </c>
      <c r="D281" t="s">
        <v>7184</v>
      </c>
      <c r="E281" t="s">
        <v>57</v>
      </c>
      <c r="F281" t="s">
        <v>9393</v>
      </c>
      <c r="G281" t="s">
        <v>9375</v>
      </c>
      <c r="H281" t="s">
        <v>8565</v>
      </c>
      <c r="I281" t="s">
        <v>9385</v>
      </c>
      <c r="J281" t="s">
        <v>8535</v>
      </c>
      <c r="K281" t="s">
        <v>9377</v>
      </c>
      <c r="L281" t="s">
        <v>61</v>
      </c>
      <c r="M281" t="s">
        <v>63</v>
      </c>
    </row>
    <row r="282" spans="1:13" x14ac:dyDescent="0.25">
      <c r="A282" t="s">
        <v>7657</v>
      </c>
      <c r="B282" t="s">
        <v>7658</v>
      </c>
      <c r="C282">
        <v>2021</v>
      </c>
      <c r="D282" t="s">
        <v>7184</v>
      </c>
      <c r="E282" t="s">
        <v>57</v>
      </c>
      <c r="F282" t="s">
        <v>9381</v>
      </c>
      <c r="G282" t="s">
        <v>8761</v>
      </c>
      <c r="H282" t="s">
        <v>9396</v>
      </c>
      <c r="I282" t="s">
        <v>9395</v>
      </c>
      <c r="J282" t="s">
        <v>8535</v>
      </c>
      <c r="K282" t="s">
        <v>9380</v>
      </c>
      <c r="L282" t="s">
        <v>98</v>
      </c>
      <c r="M282" t="s">
        <v>72</v>
      </c>
    </row>
    <row r="283" spans="1:13" x14ac:dyDescent="0.25">
      <c r="A283" t="s">
        <v>7701</v>
      </c>
      <c r="B283" t="s">
        <v>7702</v>
      </c>
      <c r="C283">
        <v>2021</v>
      </c>
      <c r="D283" t="s">
        <v>7184</v>
      </c>
      <c r="E283" t="s">
        <v>57</v>
      </c>
      <c r="F283" t="s">
        <v>9393</v>
      </c>
      <c r="G283" t="s">
        <v>9402</v>
      </c>
      <c r="H283" t="s">
        <v>9111</v>
      </c>
      <c r="I283" t="s">
        <v>9392</v>
      </c>
      <c r="J283" t="s">
        <v>8535</v>
      </c>
      <c r="K283" t="s">
        <v>9380</v>
      </c>
      <c r="L283" t="s">
        <v>98</v>
      </c>
      <c r="M283" t="s">
        <v>72</v>
      </c>
    </row>
    <row r="284" spans="1:13" x14ac:dyDescent="0.25">
      <c r="A284" t="s">
        <v>7706</v>
      </c>
      <c r="B284" t="s">
        <v>7707</v>
      </c>
      <c r="C284">
        <v>2021</v>
      </c>
      <c r="D284" t="s">
        <v>7184</v>
      </c>
      <c r="E284" t="s">
        <v>57</v>
      </c>
      <c r="F284" t="s">
        <v>8955</v>
      </c>
      <c r="G284" t="s">
        <v>9378</v>
      </c>
      <c r="H284" t="s">
        <v>8565</v>
      </c>
      <c r="I284" t="s">
        <v>9392</v>
      </c>
      <c r="J284" t="s">
        <v>9379</v>
      </c>
      <c r="K284" t="s">
        <v>9400</v>
      </c>
      <c r="L284" t="s">
        <v>61</v>
      </c>
      <c r="M284" t="s">
        <v>63</v>
      </c>
    </row>
    <row r="285" spans="1:13" x14ac:dyDescent="0.25">
      <c r="A285" t="s">
        <v>7737</v>
      </c>
      <c r="B285" t="s">
        <v>7738</v>
      </c>
      <c r="C285">
        <v>2021</v>
      </c>
      <c r="D285" t="s">
        <v>7184</v>
      </c>
      <c r="E285" t="s">
        <v>57</v>
      </c>
      <c r="F285" t="s">
        <v>9410</v>
      </c>
      <c r="G285" t="s">
        <v>9402</v>
      </c>
      <c r="H285" t="s">
        <v>9408</v>
      </c>
      <c r="I285" t="s">
        <v>9392</v>
      </c>
      <c r="J285" t="s">
        <v>8535</v>
      </c>
      <c r="K285" t="s">
        <v>9380</v>
      </c>
      <c r="L285" t="s">
        <v>98</v>
      </c>
      <c r="M285" t="s">
        <v>72</v>
      </c>
    </row>
    <row r="286" spans="1:13" x14ac:dyDescent="0.25">
      <c r="A286" t="s">
        <v>7748</v>
      </c>
      <c r="B286" t="s">
        <v>7749</v>
      </c>
      <c r="C286">
        <v>2021</v>
      </c>
      <c r="D286" t="s">
        <v>7184</v>
      </c>
      <c r="E286" t="s">
        <v>57</v>
      </c>
      <c r="F286" t="s">
        <v>9403</v>
      </c>
      <c r="G286" t="s">
        <v>9388</v>
      </c>
      <c r="H286" t="s">
        <v>8739</v>
      </c>
      <c r="I286" t="s">
        <v>9392</v>
      </c>
      <c r="J286" t="s">
        <v>9397</v>
      </c>
      <c r="K286" t="s">
        <v>9380</v>
      </c>
      <c r="L286" t="s">
        <v>98</v>
      </c>
      <c r="M286" t="s">
        <v>72</v>
      </c>
    </row>
    <row r="287" spans="1:13" x14ac:dyDescent="0.25">
      <c r="A287" t="s">
        <v>7784</v>
      </c>
      <c r="B287" t="s">
        <v>7785</v>
      </c>
      <c r="C287">
        <v>2021</v>
      </c>
      <c r="D287" t="s">
        <v>7184</v>
      </c>
      <c r="E287" t="s">
        <v>57</v>
      </c>
      <c r="F287" t="s">
        <v>9393</v>
      </c>
      <c r="G287" t="s">
        <v>9375</v>
      </c>
      <c r="H287" t="s">
        <v>3217</v>
      </c>
      <c r="I287" t="s">
        <v>9395</v>
      </c>
      <c r="J287" t="s">
        <v>9390</v>
      </c>
      <c r="K287" t="s">
        <v>9386</v>
      </c>
      <c r="L287" t="s">
        <v>165</v>
      </c>
      <c r="M287" t="s">
        <v>72</v>
      </c>
    </row>
    <row r="288" spans="1:13" x14ac:dyDescent="0.25">
      <c r="A288" t="s">
        <v>7793</v>
      </c>
      <c r="B288" t="s">
        <v>7794</v>
      </c>
      <c r="C288">
        <v>2021</v>
      </c>
      <c r="D288" t="s">
        <v>7184</v>
      </c>
      <c r="E288" t="s">
        <v>57</v>
      </c>
      <c r="F288" t="s">
        <v>9393</v>
      </c>
      <c r="G288" t="s">
        <v>9382</v>
      </c>
      <c r="H288" t="s">
        <v>8565</v>
      </c>
      <c r="I288" t="s">
        <v>9385</v>
      </c>
      <c r="J288" t="s">
        <v>8535</v>
      </c>
      <c r="K288" t="s">
        <v>9383</v>
      </c>
      <c r="L288" t="s">
        <v>98</v>
      </c>
      <c r="M288" t="s">
        <v>72</v>
      </c>
    </row>
    <row r="289" spans="1:13" x14ac:dyDescent="0.25">
      <c r="A289" t="s">
        <v>7804</v>
      </c>
      <c r="B289" t="s">
        <v>7805</v>
      </c>
      <c r="C289">
        <v>2021</v>
      </c>
      <c r="D289" t="s">
        <v>7184</v>
      </c>
      <c r="E289" t="s">
        <v>57</v>
      </c>
      <c r="F289" t="s">
        <v>9393</v>
      </c>
      <c r="G289" t="s">
        <v>9382</v>
      </c>
      <c r="H289" t="s">
        <v>8834</v>
      </c>
      <c r="I289" t="s">
        <v>9385</v>
      </c>
      <c r="J289" t="s">
        <v>8535</v>
      </c>
      <c r="K289" t="s">
        <v>9386</v>
      </c>
      <c r="L289" t="s">
        <v>165</v>
      </c>
      <c r="M289" t="s">
        <v>72</v>
      </c>
    </row>
    <row r="290" spans="1:13" x14ac:dyDescent="0.25">
      <c r="A290" t="s">
        <v>7809</v>
      </c>
      <c r="B290" t="s">
        <v>7810</v>
      </c>
      <c r="C290">
        <v>2021</v>
      </c>
      <c r="D290" t="s">
        <v>7184</v>
      </c>
      <c r="E290" t="s">
        <v>67</v>
      </c>
      <c r="F290" t="s">
        <v>9381</v>
      </c>
      <c r="G290" t="s">
        <v>9388</v>
      </c>
      <c r="H290" t="s">
        <v>9396</v>
      </c>
      <c r="I290" t="s">
        <v>9385</v>
      </c>
      <c r="J290" t="s">
        <v>8535</v>
      </c>
      <c r="K290" t="s">
        <v>9380</v>
      </c>
      <c r="L290" t="s">
        <v>98</v>
      </c>
      <c r="M290" t="s">
        <v>72</v>
      </c>
    </row>
    <row r="291" spans="1:13" x14ac:dyDescent="0.25">
      <c r="A291" t="s">
        <v>7814</v>
      </c>
      <c r="B291" t="s">
        <v>7815</v>
      </c>
      <c r="C291">
        <v>2021</v>
      </c>
      <c r="D291" t="s">
        <v>7184</v>
      </c>
      <c r="E291" t="s">
        <v>67</v>
      </c>
      <c r="F291" t="s">
        <v>9381</v>
      </c>
      <c r="G291" t="s">
        <v>9378</v>
      </c>
      <c r="H291" t="s">
        <v>9111</v>
      </c>
      <c r="I291" t="s">
        <v>9385</v>
      </c>
      <c r="J291" t="s">
        <v>8535</v>
      </c>
      <c r="K291" t="s">
        <v>9383</v>
      </c>
      <c r="L291" t="s">
        <v>98</v>
      </c>
      <c r="M291" t="s">
        <v>72</v>
      </c>
    </row>
    <row r="292" spans="1:13" x14ac:dyDescent="0.25">
      <c r="A292" t="s">
        <v>7844</v>
      </c>
      <c r="B292" t="s">
        <v>7845</v>
      </c>
      <c r="C292">
        <v>2021</v>
      </c>
      <c r="D292" t="s">
        <v>7184</v>
      </c>
      <c r="E292" t="s">
        <v>57</v>
      </c>
      <c r="F292" t="s">
        <v>9387</v>
      </c>
      <c r="G292" t="s">
        <v>9388</v>
      </c>
      <c r="H292" t="s">
        <v>8565</v>
      </c>
      <c r="I292" t="s">
        <v>9392</v>
      </c>
      <c r="J292" t="s">
        <v>8535</v>
      </c>
      <c r="K292" t="s">
        <v>9377</v>
      </c>
      <c r="L292" t="s">
        <v>61</v>
      </c>
      <c r="M292" t="s">
        <v>63</v>
      </c>
    </row>
    <row r="293" spans="1:13" x14ac:dyDescent="0.25">
      <c r="A293" t="s">
        <v>7865</v>
      </c>
      <c r="B293" t="s">
        <v>7866</v>
      </c>
      <c r="C293">
        <v>2021</v>
      </c>
      <c r="D293" t="s">
        <v>7184</v>
      </c>
      <c r="E293" t="s">
        <v>67</v>
      </c>
      <c r="F293" t="s">
        <v>9393</v>
      </c>
      <c r="G293" t="s">
        <v>9375</v>
      </c>
      <c r="H293" t="s">
        <v>8565</v>
      </c>
      <c r="I293" t="s">
        <v>9395</v>
      </c>
      <c r="J293" t="s">
        <v>9397</v>
      </c>
      <c r="K293" t="s">
        <v>9386</v>
      </c>
      <c r="L293" t="s">
        <v>165</v>
      </c>
      <c r="M293" t="s">
        <v>72</v>
      </c>
    </row>
    <row r="294" spans="1:13" x14ac:dyDescent="0.25">
      <c r="A294" t="s">
        <v>7916</v>
      </c>
      <c r="B294" t="s">
        <v>7917</v>
      </c>
      <c r="C294">
        <v>2021</v>
      </c>
      <c r="D294" t="s">
        <v>7184</v>
      </c>
      <c r="E294" t="s">
        <v>67</v>
      </c>
      <c r="F294" t="s">
        <v>9381</v>
      </c>
      <c r="G294" t="s">
        <v>9402</v>
      </c>
      <c r="H294" t="s">
        <v>8565</v>
      </c>
      <c r="I294" t="s">
        <v>9392</v>
      </c>
      <c r="J294" t="s">
        <v>8652</v>
      </c>
      <c r="K294" t="s">
        <v>9380</v>
      </c>
      <c r="L294" t="s">
        <v>98</v>
      </c>
      <c r="M294" t="s">
        <v>72</v>
      </c>
    </row>
    <row r="295" spans="1:13" x14ac:dyDescent="0.25">
      <c r="A295" t="s">
        <v>7953</v>
      </c>
      <c r="B295" t="s">
        <v>7954</v>
      </c>
      <c r="C295">
        <v>2020</v>
      </c>
      <c r="D295" t="s">
        <v>7184</v>
      </c>
      <c r="E295" t="s">
        <v>57</v>
      </c>
      <c r="F295" t="s">
        <v>9387</v>
      </c>
      <c r="G295" t="s">
        <v>9402</v>
      </c>
      <c r="H295" t="s">
        <v>9394</v>
      </c>
      <c r="I295" t="s">
        <v>9395</v>
      </c>
      <c r="J295" t="s">
        <v>9397</v>
      </c>
      <c r="K295" t="s">
        <v>9380</v>
      </c>
      <c r="L295" t="s">
        <v>98</v>
      </c>
      <c r="M295" t="s">
        <v>72</v>
      </c>
    </row>
    <row r="296" spans="1:13" x14ac:dyDescent="0.25">
      <c r="A296" t="s">
        <v>7964</v>
      </c>
      <c r="B296" t="s">
        <v>7965</v>
      </c>
      <c r="C296">
        <v>2020</v>
      </c>
      <c r="D296" t="s">
        <v>7184</v>
      </c>
      <c r="E296" t="s">
        <v>67</v>
      </c>
      <c r="F296" t="s">
        <v>9393</v>
      </c>
      <c r="G296" t="s">
        <v>9375</v>
      </c>
      <c r="H296" t="s">
        <v>8565</v>
      </c>
      <c r="I296" t="s">
        <v>9395</v>
      </c>
      <c r="J296" t="s">
        <v>9397</v>
      </c>
      <c r="K296" t="s">
        <v>9386</v>
      </c>
      <c r="L296" t="s">
        <v>165</v>
      </c>
      <c r="M296" t="s">
        <v>72</v>
      </c>
    </row>
    <row r="297" spans="1:13" x14ac:dyDescent="0.25">
      <c r="A297" t="s">
        <v>7969</v>
      </c>
      <c r="B297" t="s">
        <v>7970</v>
      </c>
      <c r="C297">
        <v>2020</v>
      </c>
      <c r="D297" t="s">
        <v>7184</v>
      </c>
      <c r="E297" t="s">
        <v>57</v>
      </c>
      <c r="F297" t="s">
        <v>9393</v>
      </c>
      <c r="G297" t="s">
        <v>8761</v>
      </c>
      <c r="H297" t="s">
        <v>9396</v>
      </c>
      <c r="I297" t="s">
        <v>9385</v>
      </c>
      <c r="J297" t="s">
        <v>8535</v>
      </c>
      <c r="K297" t="s">
        <v>9380</v>
      </c>
      <c r="L297" t="s">
        <v>98</v>
      </c>
      <c r="M297" t="s">
        <v>72</v>
      </c>
    </row>
    <row r="298" spans="1:13" x14ac:dyDescent="0.25">
      <c r="A298" t="s">
        <v>8019</v>
      </c>
      <c r="B298" t="s">
        <v>8020</v>
      </c>
      <c r="C298">
        <v>2020</v>
      </c>
      <c r="D298" t="s">
        <v>7184</v>
      </c>
      <c r="E298" t="s">
        <v>57</v>
      </c>
      <c r="F298" t="s">
        <v>9393</v>
      </c>
      <c r="G298" t="s">
        <v>9382</v>
      </c>
      <c r="H298" t="s">
        <v>8565</v>
      </c>
      <c r="I298" t="s">
        <v>9392</v>
      </c>
      <c r="J298" t="s">
        <v>8535</v>
      </c>
      <c r="K298" t="s">
        <v>9377</v>
      </c>
      <c r="L298" t="s">
        <v>61</v>
      </c>
      <c r="M298" t="s">
        <v>63</v>
      </c>
    </row>
    <row r="299" spans="1:13" x14ac:dyDescent="0.25">
      <c r="A299" t="s">
        <v>8023</v>
      </c>
      <c r="B299" t="s">
        <v>8024</v>
      </c>
      <c r="C299">
        <v>2020</v>
      </c>
      <c r="D299" t="s">
        <v>7184</v>
      </c>
      <c r="E299" t="s">
        <v>57</v>
      </c>
      <c r="F299" t="s">
        <v>9403</v>
      </c>
      <c r="G299" t="s">
        <v>8761</v>
      </c>
      <c r="H299" t="s">
        <v>8739</v>
      </c>
      <c r="I299" t="s">
        <v>9385</v>
      </c>
      <c r="J299" t="s">
        <v>8535</v>
      </c>
      <c r="K299" t="s">
        <v>9380</v>
      </c>
      <c r="L299" t="s">
        <v>98</v>
      </c>
      <c r="M299" t="s">
        <v>72</v>
      </c>
    </row>
    <row r="300" spans="1:13" x14ac:dyDescent="0.25">
      <c r="A300" t="s">
        <v>8028</v>
      </c>
      <c r="B300" t="s">
        <v>8029</v>
      </c>
      <c r="C300">
        <v>2020</v>
      </c>
      <c r="D300" t="s">
        <v>7184</v>
      </c>
      <c r="E300" t="s">
        <v>67</v>
      </c>
      <c r="F300" t="s">
        <v>9387</v>
      </c>
      <c r="G300" t="s">
        <v>9388</v>
      </c>
      <c r="H300" t="s">
        <v>9401</v>
      </c>
      <c r="I300" t="s">
        <v>9392</v>
      </c>
      <c r="J300" t="s">
        <v>9379</v>
      </c>
      <c r="K300" t="s">
        <v>9400</v>
      </c>
      <c r="L300" t="s">
        <v>61</v>
      </c>
      <c r="M300" t="s">
        <v>63</v>
      </c>
    </row>
    <row r="301" spans="1:13" x14ac:dyDescent="0.25">
      <c r="A301" t="s">
        <v>8033</v>
      </c>
      <c r="B301" t="s">
        <v>8034</v>
      </c>
      <c r="C301">
        <v>2020</v>
      </c>
      <c r="D301" t="s">
        <v>7184</v>
      </c>
      <c r="E301" t="s">
        <v>67</v>
      </c>
      <c r="F301" t="s">
        <v>9412</v>
      </c>
      <c r="G301" t="s">
        <v>9388</v>
      </c>
      <c r="H301" t="s">
        <v>8739</v>
      </c>
      <c r="I301" t="s">
        <v>9395</v>
      </c>
      <c r="J301" t="s">
        <v>8535</v>
      </c>
      <c r="K301" t="s">
        <v>9380</v>
      </c>
      <c r="L301" t="s">
        <v>98</v>
      </c>
      <c r="M301" t="s">
        <v>72</v>
      </c>
    </row>
    <row r="302" spans="1:13" x14ac:dyDescent="0.25">
      <c r="A302" t="s">
        <v>8051</v>
      </c>
      <c r="B302" t="s">
        <v>8052</v>
      </c>
      <c r="C302">
        <v>2020</v>
      </c>
      <c r="D302" t="s">
        <v>7184</v>
      </c>
      <c r="E302" t="s">
        <v>67</v>
      </c>
      <c r="F302" t="s">
        <v>8955</v>
      </c>
      <c r="G302" t="s">
        <v>9375</v>
      </c>
      <c r="H302" t="s">
        <v>8565</v>
      </c>
      <c r="I302" t="s">
        <v>9385</v>
      </c>
      <c r="J302" t="s">
        <v>8535</v>
      </c>
      <c r="K302" t="s">
        <v>9380</v>
      </c>
      <c r="L302" t="s">
        <v>98</v>
      </c>
      <c r="M302" t="s">
        <v>72</v>
      </c>
    </row>
    <row r="303" spans="1:13" x14ac:dyDescent="0.25">
      <c r="A303" t="s">
        <v>8066</v>
      </c>
      <c r="B303" t="s">
        <v>8067</v>
      </c>
      <c r="C303">
        <v>2020</v>
      </c>
      <c r="D303" t="s">
        <v>7184</v>
      </c>
      <c r="E303" t="s">
        <v>57</v>
      </c>
      <c r="F303" t="s">
        <v>9393</v>
      </c>
      <c r="G303" t="s">
        <v>9388</v>
      </c>
      <c r="H303" t="s">
        <v>8565</v>
      </c>
      <c r="I303" t="s">
        <v>9385</v>
      </c>
      <c r="J303" t="s">
        <v>8535</v>
      </c>
      <c r="K303" t="s">
        <v>9386</v>
      </c>
      <c r="L303" t="s">
        <v>165</v>
      </c>
      <c r="M303" t="s">
        <v>72</v>
      </c>
    </row>
    <row r="304" spans="1:13" x14ac:dyDescent="0.25">
      <c r="A304" t="s">
        <v>8071</v>
      </c>
      <c r="B304" t="s">
        <v>8072</v>
      </c>
      <c r="C304">
        <v>2020</v>
      </c>
      <c r="D304" t="s">
        <v>7184</v>
      </c>
      <c r="E304" t="s">
        <v>67</v>
      </c>
      <c r="F304" t="s">
        <v>9381</v>
      </c>
      <c r="G304" t="s">
        <v>9388</v>
      </c>
      <c r="H304" t="s">
        <v>9111</v>
      </c>
      <c r="I304" t="s">
        <v>9392</v>
      </c>
      <c r="J304" t="s">
        <v>8535</v>
      </c>
      <c r="K304" t="s">
        <v>9400</v>
      </c>
      <c r="L304" t="s">
        <v>61</v>
      </c>
      <c r="M304" t="s">
        <v>63</v>
      </c>
    </row>
    <row r="305" spans="1:13" x14ac:dyDescent="0.25">
      <c r="A305" t="s">
        <v>8076</v>
      </c>
      <c r="B305" t="s">
        <v>8077</v>
      </c>
      <c r="C305">
        <v>2020</v>
      </c>
      <c r="D305" t="s">
        <v>7184</v>
      </c>
      <c r="E305" t="s">
        <v>67</v>
      </c>
      <c r="F305" t="s">
        <v>8955</v>
      </c>
      <c r="G305" t="s">
        <v>9378</v>
      </c>
      <c r="H305" t="s">
        <v>8565</v>
      </c>
      <c r="I305" t="s">
        <v>9392</v>
      </c>
      <c r="J305" t="s">
        <v>8535</v>
      </c>
      <c r="K305" t="s">
        <v>9377</v>
      </c>
      <c r="L305" t="s">
        <v>61</v>
      </c>
      <c r="M305" t="s">
        <v>63</v>
      </c>
    </row>
    <row r="306" spans="1:13" x14ac:dyDescent="0.25">
      <c r="A306" t="s">
        <v>8117</v>
      </c>
      <c r="B306" t="s">
        <v>8118</v>
      </c>
      <c r="C306">
        <v>2020</v>
      </c>
      <c r="D306" t="s">
        <v>7184</v>
      </c>
      <c r="E306" t="s">
        <v>67</v>
      </c>
      <c r="F306" t="s">
        <v>9403</v>
      </c>
      <c r="G306" t="s">
        <v>9382</v>
      </c>
      <c r="H306" t="s">
        <v>8739</v>
      </c>
      <c r="I306" t="s">
        <v>9385</v>
      </c>
      <c r="J306" t="s">
        <v>9397</v>
      </c>
      <c r="K306" t="s">
        <v>9380</v>
      </c>
      <c r="L306" t="s">
        <v>98</v>
      </c>
      <c r="M306" t="s">
        <v>72</v>
      </c>
    </row>
    <row r="307" spans="1:13" x14ac:dyDescent="0.25">
      <c r="A307" t="s">
        <v>8127</v>
      </c>
      <c r="B307" t="s">
        <v>8128</v>
      </c>
      <c r="C307">
        <v>2020</v>
      </c>
      <c r="D307" t="s">
        <v>7184</v>
      </c>
      <c r="E307" t="s">
        <v>57</v>
      </c>
      <c r="F307" t="s">
        <v>9403</v>
      </c>
      <c r="G307" t="s">
        <v>9388</v>
      </c>
      <c r="H307" t="s">
        <v>8565</v>
      </c>
      <c r="I307" t="s">
        <v>9392</v>
      </c>
      <c r="J307" t="s">
        <v>8535</v>
      </c>
      <c r="K307" t="s">
        <v>9377</v>
      </c>
      <c r="L307" t="s">
        <v>61</v>
      </c>
      <c r="M307" t="s">
        <v>63</v>
      </c>
    </row>
    <row r="308" spans="1:13" x14ac:dyDescent="0.25">
      <c r="A308" t="s">
        <v>8132</v>
      </c>
      <c r="B308" t="s">
        <v>8133</v>
      </c>
      <c r="C308">
        <v>2020</v>
      </c>
      <c r="D308" t="s">
        <v>7184</v>
      </c>
      <c r="E308" t="s">
        <v>57</v>
      </c>
      <c r="F308" t="s">
        <v>9387</v>
      </c>
      <c r="G308" t="s">
        <v>8761</v>
      </c>
      <c r="H308" t="s">
        <v>8565</v>
      </c>
      <c r="I308" t="s">
        <v>9392</v>
      </c>
      <c r="J308" t="s">
        <v>8535</v>
      </c>
      <c r="K308" t="s">
        <v>9377</v>
      </c>
      <c r="L308" t="s">
        <v>61</v>
      </c>
      <c r="M308" t="s">
        <v>63</v>
      </c>
    </row>
    <row r="309" spans="1:13" x14ac:dyDescent="0.25">
      <c r="A309" t="s">
        <v>8142</v>
      </c>
      <c r="B309" t="s">
        <v>8143</v>
      </c>
      <c r="C309">
        <v>2019</v>
      </c>
      <c r="D309" t="s">
        <v>8144</v>
      </c>
      <c r="E309" t="s">
        <v>57</v>
      </c>
      <c r="F309" t="s">
        <v>8955</v>
      </c>
      <c r="G309" t="s">
        <v>9378</v>
      </c>
      <c r="H309" t="s">
        <v>8565</v>
      </c>
      <c r="I309" t="s">
        <v>9392</v>
      </c>
      <c r="J309" t="s">
        <v>9379</v>
      </c>
      <c r="K309" t="s">
        <v>9386</v>
      </c>
      <c r="L309" t="s">
        <v>165</v>
      </c>
      <c r="M309" t="s">
        <v>72</v>
      </c>
    </row>
    <row r="310" spans="1:13" x14ac:dyDescent="0.25">
      <c r="A310" t="s">
        <v>8157</v>
      </c>
      <c r="B310" t="s">
        <v>8158</v>
      </c>
      <c r="C310">
        <v>2019</v>
      </c>
      <c r="D310" t="s">
        <v>8144</v>
      </c>
      <c r="E310" t="s">
        <v>57</v>
      </c>
      <c r="F310" t="s">
        <v>9393</v>
      </c>
      <c r="G310" t="s">
        <v>9388</v>
      </c>
      <c r="H310" t="s">
        <v>8565</v>
      </c>
      <c r="I310" t="s">
        <v>9385</v>
      </c>
      <c r="J310" t="s">
        <v>9397</v>
      </c>
      <c r="K310" t="s">
        <v>9391</v>
      </c>
      <c r="L310" t="s">
        <v>98</v>
      </c>
      <c r="M310" t="s">
        <v>72</v>
      </c>
    </row>
    <row r="311" spans="1:13" x14ac:dyDescent="0.25">
      <c r="A311" t="s">
        <v>8162</v>
      </c>
      <c r="B311" t="s">
        <v>8163</v>
      </c>
      <c r="C311">
        <v>2019</v>
      </c>
      <c r="D311" t="s">
        <v>8144</v>
      </c>
      <c r="E311" t="s">
        <v>67</v>
      </c>
      <c r="F311" t="s">
        <v>9412</v>
      </c>
      <c r="G311" t="s">
        <v>9388</v>
      </c>
      <c r="H311" t="s">
        <v>9394</v>
      </c>
      <c r="I311" t="s">
        <v>9392</v>
      </c>
      <c r="J311" t="s">
        <v>9390</v>
      </c>
      <c r="K311" t="s">
        <v>9380</v>
      </c>
      <c r="L311" t="s">
        <v>98</v>
      </c>
      <c r="M311" t="s">
        <v>72</v>
      </c>
    </row>
    <row r="312" spans="1:13" x14ac:dyDescent="0.25">
      <c r="A312" t="s">
        <v>8167</v>
      </c>
      <c r="B312" t="s">
        <v>8168</v>
      </c>
      <c r="C312">
        <v>2019</v>
      </c>
      <c r="D312" t="s">
        <v>8144</v>
      </c>
      <c r="E312" t="s">
        <v>67</v>
      </c>
      <c r="F312" t="s">
        <v>9381</v>
      </c>
      <c r="G312" t="s">
        <v>9388</v>
      </c>
      <c r="H312" t="s">
        <v>9319</v>
      </c>
      <c r="I312" t="s">
        <v>9392</v>
      </c>
      <c r="J312" t="s">
        <v>8535</v>
      </c>
      <c r="K312" t="s">
        <v>9400</v>
      </c>
      <c r="L312" t="s">
        <v>61</v>
      </c>
      <c r="M312" t="s">
        <v>63</v>
      </c>
    </row>
    <row r="313" spans="1:13" x14ac:dyDescent="0.25">
      <c r="A313" t="s">
        <v>8176</v>
      </c>
      <c r="B313" t="s">
        <v>8177</v>
      </c>
      <c r="C313">
        <v>2019</v>
      </c>
      <c r="D313" t="s">
        <v>8144</v>
      </c>
      <c r="E313" t="s">
        <v>67</v>
      </c>
      <c r="F313" t="s">
        <v>9393</v>
      </c>
      <c r="G313" t="s">
        <v>8761</v>
      </c>
      <c r="H313" t="s">
        <v>8565</v>
      </c>
      <c r="I313" t="s">
        <v>9395</v>
      </c>
      <c r="J313" t="s">
        <v>8652</v>
      </c>
      <c r="K313" t="s">
        <v>9386</v>
      </c>
      <c r="L313" t="s">
        <v>165</v>
      </c>
      <c r="M313" t="s">
        <v>72</v>
      </c>
    </row>
    <row r="314" spans="1:13" x14ac:dyDescent="0.25">
      <c r="A314" t="s">
        <v>8187</v>
      </c>
      <c r="B314" t="s">
        <v>8188</v>
      </c>
      <c r="C314">
        <v>2019</v>
      </c>
      <c r="D314" t="s">
        <v>8144</v>
      </c>
      <c r="E314" t="s">
        <v>57</v>
      </c>
      <c r="F314" t="s">
        <v>8955</v>
      </c>
      <c r="G314" t="s">
        <v>9375</v>
      </c>
      <c r="H314" t="s">
        <v>8739</v>
      </c>
      <c r="I314" t="s">
        <v>9392</v>
      </c>
      <c r="J314" t="s">
        <v>8535</v>
      </c>
      <c r="K314" t="s">
        <v>9380</v>
      </c>
      <c r="L314" t="s">
        <v>98</v>
      </c>
      <c r="M314" t="s">
        <v>72</v>
      </c>
    </row>
    <row r="315" spans="1:13" x14ac:dyDescent="0.25">
      <c r="A315" t="s">
        <v>8191</v>
      </c>
      <c r="B315" t="s">
        <v>8192</v>
      </c>
      <c r="C315">
        <v>2019</v>
      </c>
      <c r="D315" t="s">
        <v>8144</v>
      </c>
      <c r="E315" t="s">
        <v>67</v>
      </c>
      <c r="F315" t="s">
        <v>9393</v>
      </c>
      <c r="G315" t="s">
        <v>9388</v>
      </c>
      <c r="H315" t="s">
        <v>8565</v>
      </c>
      <c r="I315" t="s">
        <v>9385</v>
      </c>
      <c r="J315" t="s">
        <v>9397</v>
      </c>
      <c r="K315" t="s">
        <v>9391</v>
      </c>
      <c r="L315" t="s">
        <v>98</v>
      </c>
      <c r="M315" t="s">
        <v>72</v>
      </c>
    </row>
    <row r="316" spans="1:13" x14ac:dyDescent="0.25">
      <c r="A316" t="s">
        <v>8197</v>
      </c>
      <c r="B316" t="s">
        <v>8198</v>
      </c>
      <c r="C316">
        <v>2019</v>
      </c>
      <c r="D316" t="s">
        <v>8144</v>
      </c>
      <c r="E316" t="s">
        <v>67</v>
      </c>
      <c r="F316" t="s">
        <v>9399</v>
      </c>
      <c r="G316" t="s">
        <v>9375</v>
      </c>
      <c r="H316" t="s">
        <v>9394</v>
      </c>
      <c r="I316" t="s">
        <v>9395</v>
      </c>
      <c r="J316" t="s">
        <v>9397</v>
      </c>
      <c r="K316" t="s">
        <v>9391</v>
      </c>
      <c r="L316" t="s">
        <v>98</v>
      </c>
      <c r="M316" t="s">
        <v>72</v>
      </c>
    </row>
    <row r="317" spans="1:13" x14ac:dyDescent="0.25">
      <c r="A317" t="s">
        <v>8209</v>
      </c>
      <c r="B317" t="s">
        <v>8210</v>
      </c>
      <c r="C317">
        <v>2019</v>
      </c>
      <c r="D317" t="s">
        <v>8144</v>
      </c>
      <c r="E317" t="s">
        <v>67</v>
      </c>
      <c r="F317" t="s">
        <v>9387</v>
      </c>
      <c r="G317" t="s">
        <v>9382</v>
      </c>
      <c r="H317" t="s">
        <v>8565</v>
      </c>
      <c r="I317" t="s">
        <v>9154</v>
      </c>
      <c r="J317" t="s">
        <v>8535</v>
      </c>
      <c r="K317" t="s">
        <v>9380</v>
      </c>
      <c r="L317" t="s">
        <v>98</v>
      </c>
      <c r="M317" t="s">
        <v>72</v>
      </c>
    </row>
    <row r="318" spans="1:13" x14ac:dyDescent="0.25">
      <c r="A318" t="s">
        <v>8233</v>
      </c>
      <c r="B318" t="s">
        <v>8234</v>
      </c>
      <c r="C318">
        <v>2019</v>
      </c>
      <c r="D318" t="s">
        <v>8144</v>
      </c>
      <c r="E318" t="s">
        <v>57</v>
      </c>
      <c r="F318" t="s">
        <v>9381</v>
      </c>
      <c r="G318" t="s">
        <v>9388</v>
      </c>
      <c r="H318" t="s">
        <v>9111</v>
      </c>
      <c r="I318" t="s">
        <v>9392</v>
      </c>
      <c r="J318" t="s">
        <v>8535</v>
      </c>
      <c r="K318" t="s">
        <v>9377</v>
      </c>
      <c r="L318" t="s">
        <v>61</v>
      </c>
      <c r="M318" t="s">
        <v>63</v>
      </c>
    </row>
    <row r="319" spans="1:13" x14ac:dyDescent="0.25">
      <c r="A319" t="s">
        <v>8238</v>
      </c>
      <c r="B319" t="s">
        <v>8239</v>
      </c>
      <c r="C319">
        <v>2019</v>
      </c>
      <c r="D319" t="s">
        <v>8144</v>
      </c>
      <c r="E319" t="s">
        <v>57</v>
      </c>
      <c r="F319" t="s">
        <v>8955</v>
      </c>
      <c r="G319" t="s">
        <v>9375</v>
      </c>
      <c r="H319" t="s">
        <v>9394</v>
      </c>
      <c r="I319" t="s">
        <v>9385</v>
      </c>
      <c r="J319" t="s">
        <v>9397</v>
      </c>
      <c r="K319" t="s">
        <v>9391</v>
      </c>
      <c r="L319" t="s">
        <v>98</v>
      </c>
      <c r="M319" t="s">
        <v>72</v>
      </c>
    </row>
    <row r="320" spans="1:13" x14ac:dyDescent="0.25">
      <c r="A320" t="s">
        <v>8244</v>
      </c>
      <c r="B320" t="s">
        <v>8245</v>
      </c>
      <c r="C320">
        <v>2019</v>
      </c>
      <c r="D320" t="s">
        <v>8144</v>
      </c>
      <c r="E320" t="s">
        <v>67</v>
      </c>
      <c r="F320" t="s">
        <v>9393</v>
      </c>
      <c r="G320" t="s">
        <v>9388</v>
      </c>
      <c r="H320" t="s">
        <v>8565</v>
      </c>
      <c r="I320" t="s">
        <v>9392</v>
      </c>
      <c r="J320" t="s">
        <v>9397</v>
      </c>
      <c r="K320" t="s">
        <v>9400</v>
      </c>
      <c r="L320" t="s">
        <v>61</v>
      </c>
      <c r="M320" t="s">
        <v>63</v>
      </c>
    </row>
    <row r="321" spans="1:13" x14ac:dyDescent="0.25">
      <c r="A321" t="s">
        <v>8261</v>
      </c>
      <c r="B321" t="s">
        <v>8262</v>
      </c>
      <c r="C321">
        <v>2018</v>
      </c>
      <c r="D321" t="s">
        <v>8144</v>
      </c>
      <c r="E321" t="s">
        <v>57</v>
      </c>
      <c r="F321" t="s">
        <v>9387</v>
      </c>
      <c r="G321" t="s">
        <v>9388</v>
      </c>
      <c r="H321" t="s">
        <v>8565</v>
      </c>
      <c r="I321" t="s">
        <v>9392</v>
      </c>
      <c r="J321" t="s">
        <v>9397</v>
      </c>
      <c r="K321" t="s">
        <v>9400</v>
      </c>
      <c r="L321" t="s">
        <v>61</v>
      </c>
      <c r="M321" t="s">
        <v>63</v>
      </c>
    </row>
    <row r="322" spans="1:13" x14ac:dyDescent="0.25">
      <c r="A322" t="s">
        <v>8266</v>
      </c>
      <c r="B322" t="s">
        <v>8267</v>
      </c>
      <c r="C322">
        <v>2018</v>
      </c>
      <c r="D322" t="s">
        <v>8144</v>
      </c>
      <c r="E322" t="s">
        <v>57</v>
      </c>
      <c r="F322" t="s">
        <v>9393</v>
      </c>
      <c r="G322" t="s">
        <v>8761</v>
      </c>
      <c r="H322" t="s">
        <v>3217</v>
      </c>
      <c r="I322" t="s">
        <v>9385</v>
      </c>
      <c r="J322" t="s">
        <v>8535</v>
      </c>
      <c r="K322" t="s">
        <v>9386</v>
      </c>
      <c r="L322" t="s">
        <v>165</v>
      </c>
      <c r="M322" t="s">
        <v>72</v>
      </c>
    </row>
    <row r="323" spans="1:13" x14ac:dyDescent="0.25">
      <c r="A323" t="s">
        <v>8311</v>
      </c>
      <c r="B323" t="s">
        <v>8312</v>
      </c>
      <c r="C323">
        <v>2018</v>
      </c>
      <c r="D323" t="s">
        <v>8144</v>
      </c>
      <c r="E323" t="s">
        <v>67</v>
      </c>
      <c r="F323" t="s">
        <v>9393</v>
      </c>
      <c r="G323" t="s">
        <v>9388</v>
      </c>
      <c r="H323" t="s">
        <v>9413</v>
      </c>
      <c r="I323" t="s">
        <v>9385</v>
      </c>
      <c r="J323" t="s">
        <v>8535</v>
      </c>
      <c r="K323" t="s">
        <v>9386</v>
      </c>
      <c r="L323" t="s">
        <v>165</v>
      </c>
      <c r="M323" t="s">
        <v>72</v>
      </c>
    </row>
    <row r="324" spans="1:13" x14ac:dyDescent="0.25">
      <c r="A324" t="s">
        <v>8341</v>
      </c>
      <c r="B324" t="s">
        <v>8342</v>
      </c>
      <c r="C324">
        <v>2018</v>
      </c>
      <c r="D324" t="s">
        <v>8144</v>
      </c>
      <c r="E324" t="s">
        <v>57</v>
      </c>
      <c r="F324" t="s">
        <v>9393</v>
      </c>
      <c r="G324" t="s">
        <v>9375</v>
      </c>
      <c r="H324" t="s">
        <v>8565</v>
      </c>
      <c r="I324" t="s">
        <v>9385</v>
      </c>
      <c r="J324" t="s">
        <v>8535</v>
      </c>
      <c r="K324" t="s">
        <v>9377</v>
      </c>
      <c r="L324" t="s">
        <v>61</v>
      </c>
      <c r="M324" t="s">
        <v>63</v>
      </c>
    </row>
    <row r="325" spans="1:13" x14ac:dyDescent="0.25">
      <c r="A325" t="s">
        <v>8346</v>
      </c>
      <c r="B325" t="s">
        <v>8347</v>
      </c>
      <c r="C325">
        <v>2018</v>
      </c>
      <c r="D325" t="s">
        <v>8144</v>
      </c>
      <c r="E325" t="s">
        <v>67</v>
      </c>
      <c r="F325" t="s">
        <v>9384</v>
      </c>
      <c r="G325" t="s">
        <v>8761</v>
      </c>
      <c r="H325" t="s">
        <v>9394</v>
      </c>
      <c r="I325" t="s">
        <v>9385</v>
      </c>
      <c r="J325" t="s">
        <v>9397</v>
      </c>
      <c r="K325" t="s">
        <v>9380</v>
      </c>
      <c r="L325" t="s">
        <v>98</v>
      </c>
      <c r="M325" t="s">
        <v>72</v>
      </c>
    </row>
    <row r="326" spans="1:13" x14ac:dyDescent="0.25">
      <c r="A326" t="s">
        <v>8362</v>
      </c>
      <c r="B326" t="s">
        <v>8363</v>
      </c>
      <c r="C326">
        <v>2017</v>
      </c>
      <c r="D326" t="s">
        <v>8144</v>
      </c>
      <c r="E326" t="s">
        <v>57</v>
      </c>
      <c r="F326" t="s">
        <v>9381</v>
      </c>
      <c r="G326" t="s">
        <v>9382</v>
      </c>
      <c r="H326" t="s">
        <v>9111</v>
      </c>
      <c r="I326" t="s">
        <v>9392</v>
      </c>
      <c r="J326" t="s">
        <v>8535</v>
      </c>
      <c r="K326" t="s">
        <v>9377</v>
      </c>
      <c r="L326" t="s">
        <v>61</v>
      </c>
      <c r="M326" t="s">
        <v>63</v>
      </c>
    </row>
    <row r="327" spans="1:13" x14ac:dyDescent="0.25">
      <c r="A327" t="s">
        <v>8367</v>
      </c>
      <c r="B327" t="s">
        <v>8368</v>
      </c>
      <c r="C327">
        <v>2017</v>
      </c>
      <c r="D327" t="s">
        <v>8144</v>
      </c>
      <c r="E327" t="s">
        <v>57</v>
      </c>
      <c r="F327" t="s">
        <v>8955</v>
      </c>
      <c r="G327" t="s">
        <v>9382</v>
      </c>
      <c r="H327" t="s">
        <v>9401</v>
      </c>
      <c r="I327" t="s">
        <v>9392</v>
      </c>
      <c r="J327" t="s">
        <v>9379</v>
      </c>
      <c r="K327" t="s">
        <v>9380</v>
      </c>
      <c r="L327" t="s">
        <v>98</v>
      </c>
      <c r="M327" t="s">
        <v>72</v>
      </c>
    </row>
    <row r="328" spans="1:13" x14ac:dyDescent="0.25">
      <c r="A328" t="s">
        <v>8380</v>
      </c>
      <c r="B328" t="s">
        <v>8381</v>
      </c>
      <c r="C328">
        <v>2017</v>
      </c>
      <c r="D328" t="s">
        <v>8144</v>
      </c>
      <c r="E328" t="s">
        <v>57</v>
      </c>
      <c r="F328" t="s">
        <v>9393</v>
      </c>
      <c r="G328" t="s">
        <v>9375</v>
      </c>
      <c r="H328" t="s">
        <v>8565</v>
      </c>
      <c r="I328" t="s">
        <v>9385</v>
      </c>
      <c r="J328" t="s">
        <v>8535</v>
      </c>
      <c r="K328" t="s">
        <v>9377</v>
      </c>
      <c r="L328" t="s">
        <v>61</v>
      </c>
      <c r="M328" t="s">
        <v>63</v>
      </c>
    </row>
    <row r="329" spans="1:13" x14ac:dyDescent="0.25">
      <c r="A329" t="s">
        <v>8385</v>
      </c>
      <c r="B329" t="s">
        <v>8386</v>
      </c>
      <c r="C329">
        <v>2017</v>
      </c>
      <c r="D329" t="s">
        <v>8144</v>
      </c>
      <c r="E329" t="s">
        <v>57</v>
      </c>
      <c r="F329" t="s">
        <v>9387</v>
      </c>
      <c r="G329" t="s">
        <v>9382</v>
      </c>
      <c r="H329" t="s">
        <v>9408</v>
      </c>
      <c r="I329" t="s">
        <v>9395</v>
      </c>
      <c r="J329" t="s">
        <v>9397</v>
      </c>
      <c r="K329" t="s">
        <v>9391</v>
      </c>
      <c r="L329" t="s">
        <v>98</v>
      </c>
      <c r="M329" t="s">
        <v>72</v>
      </c>
    </row>
    <row r="330" spans="1:13" x14ac:dyDescent="0.25">
      <c r="A330" t="s">
        <v>8409</v>
      </c>
      <c r="B330" t="s">
        <v>8410</v>
      </c>
      <c r="C330">
        <v>2017</v>
      </c>
      <c r="D330" t="s">
        <v>8144</v>
      </c>
      <c r="E330" t="s">
        <v>57</v>
      </c>
      <c r="F330" t="s">
        <v>9411</v>
      </c>
      <c r="G330" t="s">
        <v>9402</v>
      </c>
      <c r="H330" t="s">
        <v>8565</v>
      </c>
      <c r="I330" t="s">
        <v>9395</v>
      </c>
      <c r="J330" t="s">
        <v>9397</v>
      </c>
      <c r="K330" t="s">
        <v>9386</v>
      </c>
      <c r="L330" t="s">
        <v>165</v>
      </c>
      <c r="M330" t="s">
        <v>72</v>
      </c>
    </row>
    <row r="331" spans="1:13" x14ac:dyDescent="0.25">
      <c r="A331" t="s">
        <v>8415</v>
      </c>
      <c r="B331" t="s">
        <v>8416</v>
      </c>
      <c r="C331">
        <v>2016</v>
      </c>
      <c r="D331" t="s">
        <v>8418</v>
      </c>
      <c r="E331" t="s">
        <v>67</v>
      </c>
      <c r="F331" t="s">
        <v>9403</v>
      </c>
      <c r="G331" t="s">
        <v>9388</v>
      </c>
      <c r="H331" t="s">
        <v>9396</v>
      </c>
      <c r="I331" t="s">
        <v>9395</v>
      </c>
      <c r="J331" t="s">
        <v>8535</v>
      </c>
      <c r="K331" t="s">
        <v>9380</v>
      </c>
      <c r="L331" t="s">
        <v>98</v>
      </c>
      <c r="M331" t="s">
        <v>72</v>
      </c>
    </row>
    <row r="332" spans="1:13" x14ac:dyDescent="0.25">
      <c r="A332" t="s">
        <v>8421</v>
      </c>
      <c r="B332" t="s">
        <v>8422</v>
      </c>
      <c r="C332">
        <v>2016</v>
      </c>
      <c r="D332" t="s">
        <v>8418</v>
      </c>
      <c r="E332" t="s">
        <v>67</v>
      </c>
      <c r="F332" t="s">
        <v>9387</v>
      </c>
      <c r="G332" t="s">
        <v>9388</v>
      </c>
      <c r="H332" t="s">
        <v>9396</v>
      </c>
      <c r="I332" t="s">
        <v>9392</v>
      </c>
      <c r="J332" t="s">
        <v>9397</v>
      </c>
      <c r="K332" t="s">
        <v>9400</v>
      </c>
      <c r="L332" t="s">
        <v>61</v>
      </c>
      <c r="M332" t="s">
        <v>63</v>
      </c>
    </row>
    <row r="333" spans="1:13" x14ac:dyDescent="0.25">
      <c r="A333" t="s">
        <v>8431</v>
      </c>
      <c r="B333" t="s">
        <v>8432</v>
      </c>
      <c r="C333">
        <v>2016</v>
      </c>
      <c r="D333" t="s">
        <v>8418</v>
      </c>
      <c r="E333" t="s">
        <v>57</v>
      </c>
      <c r="F333" t="s">
        <v>9393</v>
      </c>
      <c r="G333" t="s">
        <v>9382</v>
      </c>
      <c r="H333" t="s">
        <v>8565</v>
      </c>
      <c r="I333" t="s">
        <v>9392</v>
      </c>
      <c r="J333" t="s">
        <v>9397</v>
      </c>
      <c r="K333" t="s">
        <v>9377</v>
      </c>
      <c r="L333" t="s">
        <v>61</v>
      </c>
      <c r="M333" t="s">
        <v>63</v>
      </c>
    </row>
    <row r="334" spans="1:13" x14ac:dyDescent="0.25">
      <c r="A334" t="s">
        <v>8437</v>
      </c>
      <c r="B334" t="s">
        <v>8438</v>
      </c>
      <c r="C334">
        <v>2016</v>
      </c>
      <c r="D334" t="s">
        <v>8418</v>
      </c>
      <c r="E334" t="s">
        <v>57</v>
      </c>
      <c r="F334" t="s">
        <v>9393</v>
      </c>
      <c r="G334" t="s">
        <v>9375</v>
      </c>
      <c r="H334" t="s">
        <v>8565</v>
      </c>
      <c r="I334" t="s">
        <v>9392</v>
      </c>
      <c r="J334" t="s">
        <v>9397</v>
      </c>
      <c r="K334" t="s">
        <v>9380</v>
      </c>
      <c r="L334" t="s">
        <v>98</v>
      </c>
      <c r="M334" t="s">
        <v>72</v>
      </c>
    </row>
    <row r="335" spans="1:13" x14ac:dyDescent="0.25">
      <c r="A335" t="s">
        <v>8443</v>
      </c>
      <c r="B335" t="s">
        <v>8444</v>
      </c>
      <c r="C335">
        <v>2015</v>
      </c>
      <c r="D335" t="s">
        <v>8418</v>
      </c>
      <c r="E335" t="s">
        <v>67</v>
      </c>
      <c r="F335" t="s">
        <v>8955</v>
      </c>
      <c r="G335" t="s">
        <v>9382</v>
      </c>
      <c r="H335" t="s">
        <v>916</v>
      </c>
      <c r="I335" t="s">
        <v>9154</v>
      </c>
      <c r="J335" t="s">
        <v>9397</v>
      </c>
      <c r="K335" t="s">
        <v>9391</v>
      </c>
      <c r="L335" t="s">
        <v>98</v>
      </c>
      <c r="M335" t="s">
        <v>72</v>
      </c>
    </row>
    <row r="336" spans="1:13" x14ac:dyDescent="0.25">
      <c r="A336" t="s">
        <v>8447</v>
      </c>
      <c r="B336" t="s">
        <v>8448</v>
      </c>
      <c r="C336">
        <v>2015</v>
      </c>
      <c r="D336" t="s">
        <v>8418</v>
      </c>
      <c r="E336" t="s">
        <v>67</v>
      </c>
      <c r="F336" t="s">
        <v>9387</v>
      </c>
      <c r="G336" t="s">
        <v>8761</v>
      </c>
      <c r="H336" t="s">
        <v>9394</v>
      </c>
      <c r="I336" t="s">
        <v>9395</v>
      </c>
      <c r="J336" t="s">
        <v>9397</v>
      </c>
      <c r="K336" t="s">
        <v>9391</v>
      </c>
      <c r="L336" t="s">
        <v>98</v>
      </c>
      <c r="M336" t="s">
        <v>72</v>
      </c>
    </row>
  </sheetData>
  <autoFilter ref="A1:M33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0" customWidth="1"/>
    <col min="3" max="3" width="30" customWidth="1"/>
    <col min="4" max="4" width="28" customWidth="1"/>
  </cols>
  <sheetData>
    <row r="1" spans="1:4" ht="30" x14ac:dyDescent="0.25">
      <c r="A1" s="4" t="s">
        <v>41</v>
      </c>
      <c r="B1" s="4" t="s">
        <v>9414</v>
      </c>
      <c r="C1" s="4" t="s">
        <v>9415</v>
      </c>
      <c r="D1" s="4" t="s">
        <v>9416</v>
      </c>
    </row>
    <row r="2" spans="1:4" x14ac:dyDescent="0.25">
      <c r="A2">
        <v>2012</v>
      </c>
      <c r="B2">
        <f>COUNTIF(Eligibility_core!D:D,A2)</f>
        <v>5</v>
      </c>
      <c r="C2">
        <f>COUNTIFS(Eligibility_core!D:D,A2,Eligibility_core!L:L,"Yes")</f>
        <v>0</v>
      </c>
      <c r="D2">
        <f>COUNTIFS(Eligibility_core!D:D,A2,Eligibility_core!M:M,"Yes")</f>
        <v>0</v>
      </c>
    </row>
    <row r="3" spans="1:4" x14ac:dyDescent="0.25">
      <c r="A3">
        <v>2013</v>
      </c>
      <c r="B3">
        <f>COUNTIF(Eligibility_core!D:D,A3)</f>
        <v>5</v>
      </c>
      <c r="C3">
        <f>COUNTIFS(Eligibility_core!D:D,A3,Eligibility_core!L:L,"Yes")</f>
        <v>0</v>
      </c>
      <c r="D3">
        <f>COUNTIFS(Eligibility_core!D:D,A3,Eligibility_core!M:M,"Yes")</f>
        <v>0</v>
      </c>
    </row>
    <row r="4" spans="1:4" x14ac:dyDescent="0.25">
      <c r="A4">
        <v>2014</v>
      </c>
      <c r="B4">
        <f>COUNTIF(Eligibility_core!D:D,A4)</f>
        <v>2</v>
      </c>
      <c r="C4">
        <f>COUNTIFS(Eligibility_core!D:D,A4,Eligibility_core!L:L,"Yes")</f>
        <v>0</v>
      </c>
      <c r="D4">
        <f>COUNTIFS(Eligibility_core!D:D,A4,Eligibility_core!M:M,"Yes")</f>
        <v>0</v>
      </c>
    </row>
    <row r="5" spans="1:4" x14ac:dyDescent="0.25">
      <c r="A5">
        <v>2015</v>
      </c>
      <c r="B5">
        <f>COUNTIF(Eligibility_core!D:D,A5)</f>
        <v>2</v>
      </c>
      <c r="C5">
        <f>COUNTIFS(Eligibility_core!D:D,A5,Eligibility_core!L:L,"Yes")</f>
        <v>2</v>
      </c>
      <c r="D5">
        <f>COUNTIFS(Eligibility_core!D:D,A5,Eligibility_core!M:M,"Yes")</f>
        <v>0</v>
      </c>
    </row>
    <row r="6" spans="1:4" x14ac:dyDescent="0.25">
      <c r="A6">
        <v>2016</v>
      </c>
      <c r="B6">
        <f>COUNTIF(Eligibility_core!D:D,A6)</f>
        <v>5</v>
      </c>
      <c r="C6">
        <f>COUNTIFS(Eligibility_core!D:D,A6,Eligibility_core!L:L,"Yes")</f>
        <v>4</v>
      </c>
      <c r="D6">
        <f>COUNTIFS(Eligibility_core!D:D,A6,Eligibility_core!M:M,"Yes")</f>
        <v>2</v>
      </c>
    </row>
    <row r="7" spans="1:4" x14ac:dyDescent="0.25">
      <c r="A7">
        <v>2017</v>
      </c>
      <c r="B7">
        <f>COUNTIF(Eligibility_core!D:D,A7)</f>
        <v>12</v>
      </c>
      <c r="C7">
        <f>COUNTIFS(Eligibility_core!D:D,A7,Eligibility_core!L:L,"Yes")</f>
        <v>5</v>
      </c>
      <c r="D7">
        <f>COUNTIFS(Eligibility_core!D:D,A7,Eligibility_core!M:M,"Yes")</f>
        <v>2</v>
      </c>
    </row>
    <row r="8" spans="1:4" x14ac:dyDescent="0.25">
      <c r="A8">
        <v>2018</v>
      </c>
      <c r="B8">
        <f>COUNTIF(Eligibility_core!D:D,A8)</f>
        <v>21</v>
      </c>
      <c r="C8">
        <f>COUNTIFS(Eligibility_core!D:D,A8,Eligibility_core!L:L,"Yes")</f>
        <v>5</v>
      </c>
      <c r="D8">
        <f>COUNTIFS(Eligibility_core!D:D,A8,Eligibility_core!M:M,"Yes")</f>
        <v>2</v>
      </c>
    </row>
    <row r="9" spans="1:4" x14ac:dyDescent="0.25">
      <c r="A9">
        <v>2019</v>
      </c>
      <c r="B9">
        <f>COUNTIF(Eligibility_core!D:D,A9)</f>
        <v>21</v>
      </c>
      <c r="C9">
        <f>COUNTIFS(Eligibility_core!D:D,A9,Eligibility_core!L:L,"Yes")</f>
        <v>12</v>
      </c>
      <c r="D9">
        <f>COUNTIFS(Eligibility_core!D:D,A9,Eligibility_core!M:M,"Yes")</f>
        <v>3</v>
      </c>
    </row>
    <row r="10" spans="1:4" x14ac:dyDescent="0.25">
      <c r="A10">
        <v>2020</v>
      </c>
      <c r="B10">
        <f>COUNTIF(Eligibility_core!D:D,A10)</f>
        <v>43</v>
      </c>
      <c r="C10">
        <f>COUNTIFS(Eligibility_core!D:D,A10,Eligibility_core!L:L,"Yes")</f>
        <v>14</v>
      </c>
      <c r="D10">
        <f>COUNTIFS(Eligibility_core!D:D,A10,Eligibility_core!M:M,"Yes")</f>
        <v>6</v>
      </c>
    </row>
    <row r="11" spans="1:4" x14ac:dyDescent="0.25">
      <c r="A11">
        <v>2021</v>
      </c>
      <c r="B11">
        <f>COUNTIF(Eligibility_core!D:D,A11)</f>
        <v>73</v>
      </c>
      <c r="C11">
        <f>COUNTIFS(Eligibility_core!D:D,A11,Eligibility_core!L:L,"Yes")</f>
        <v>24</v>
      </c>
      <c r="D11">
        <f>COUNTIFS(Eligibility_core!D:D,A11,Eligibility_core!M:M,"Yes")</f>
        <v>7</v>
      </c>
    </row>
    <row r="12" spans="1:4" x14ac:dyDescent="0.25">
      <c r="A12">
        <v>2022</v>
      </c>
      <c r="B12">
        <f>COUNTIF(Eligibility_core!D:D,A12)</f>
        <v>74</v>
      </c>
      <c r="C12">
        <f>COUNTIFS(Eligibility_core!D:D,A12,Eligibility_core!L:L,"Yes")</f>
        <v>30</v>
      </c>
      <c r="D12">
        <f>COUNTIFS(Eligibility_core!D:D,A12,Eligibility_core!M:M,"Yes")</f>
        <v>9</v>
      </c>
    </row>
    <row r="13" spans="1:4" x14ac:dyDescent="0.25">
      <c r="A13">
        <v>2023</v>
      </c>
      <c r="B13">
        <f>COUNTIF(Eligibility_core!D:D,A13)</f>
        <v>109</v>
      </c>
      <c r="C13">
        <f>COUNTIFS(Eligibility_core!D:D,A13,Eligibility_core!L:L,"Yes")</f>
        <v>32</v>
      </c>
      <c r="D13">
        <f>COUNTIFS(Eligibility_core!D:D,A13,Eligibility_core!M:M,"Yes")</f>
        <v>12</v>
      </c>
    </row>
    <row r="14" spans="1:4" x14ac:dyDescent="0.25">
      <c r="A14">
        <v>2024</v>
      </c>
      <c r="B14">
        <f>COUNTIF(Eligibility_core!D:D,A14)</f>
        <v>264</v>
      </c>
      <c r="C14">
        <f>COUNTIFS(Eligibility_core!D:D,A14,Eligibility_core!L:L,"Yes")</f>
        <v>43</v>
      </c>
      <c r="D14">
        <f>COUNTIFS(Eligibility_core!D:D,A14,Eligibility_core!M:M,"Yes")</f>
        <v>15</v>
      </c>
    </row>
    <row r="15" spans="1:4" x14ac:dyDescent="0.25">
      <c r="A15">
        <v>2025</v>
      </c>
      <c r="B15">
        <f>COUNTIF(Eligibility_core!D:D,A15)</f>
        <v>479</v>
      </c>
      <c r="C15">
        <f>COUNTIFS(Eligibility_core!D:D,A15,Eligibility_core!L:L,"Yes")</f>
        <v>72</v>
      </c>
      <c r="D15">
        <f>COUNTIFS(Eligibility_core!D:D,A15,Eligibility_core!M:M,"Yes")</f>
        <v>26</v>
      </c>
    </row>
    <row r="16" spans="1:4" x14ac:dyDescent="0.25">
      <c r="A16">
        <v>2026</v>
      </c>
      <c r="B16">
        <f>COUNTIF(Eligibility_core!D:D,A16)</f>
        <v>526</v>
      </c>
      <c r="C16">
        <f>COUNTIFS(Eligibility_core!D:D,A16,Eligibility_core!L:L,"Yes")</f>
        <v>91</v>
      </c>
      <c r="D16">
        <f>COUNTIFS(Eligibility_core!D:D,A16,Eligibility_core!M:M,"Yes")</f>
        <v>30</v>
      </c>
    </row>
    <row r="17" spans="1:4" x14ac:dyDescent="0.25">
      <c r="A17">
        <v>2027</v>
      </c>
      <c r="B17">
        <f>COUNTIF(Eligibility_core!D:D,A17)</f>
        <v>1</v>
      </c>
      <c r="C17">
        <f>COUNTIFS(Eligibility_core!D:D,A17,Eligibility_core!L:L,"Yes")</f>
        <v>1</v>
      </c>
      <c r="D17">
        <f>COUNTIFS(Eligibility_core!D:D,A17,Eligibility_core!M:M,"Yes")</f>
        <v>1</v>
      </c>
    </row>
    <row r="18" spans="1:4" x14ac:dyDescent="0.25">
      <c r="A18" s="2" t="s">
        <v>9417</v>
      </c>
      <c r="B18" s="2">
        <f>SUM(B2:B17)</f>
        <v>1642</v>
      </c>
      <c r="C18" s="2">
        <f>SUM(C2:C17)</f>
        <v>335</v>
      </c>
      <c r="D18" s="2">
        <f>SUM(D2:D17)</f>
        <v>115</v>
      </c>
    </row>
    <row r="20" spans="1:4" x14ac:dyDescent="0.25">
      <c r="A20" t="s">
        <v>9418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32" customWidth="1"/>
    <col min="3" max="3" width="18" customWidth="1"/>
    <col min="4" max="4" width="10" customWidth="1"/>
    <col min="5" max="5" width="16" customWidth="1"/>
    <col min="6" max="6" width="10" customWidth="1"/>
  </cols>
  <sheetData>
    <row r="1" spans="1:6" x14ac:dyDescent="0.25">
      <c r="A1" s="4" t="s">
        <v>9419</v>
      </c>
      <c r="B1" s="4" t="s">
        <v>9420</v>
      </c>
      <c r="C1" s="4" t="s">
        <v>9421</v>
      </c>
      <c r="D1" s="4" t="s">
        <v>9422</v>
      </c>
      <c r="E1" s="4" t="s">
        <v>9423</v>
      </c>
      <c r="F1" s="4" t="s">
        <v>9424</v>
      </c>
    </row>
    <row r="2" spans="1:6" x14ac:dyDescent="0.25">
      <c r="A2" t="s">
        <v>8519</v>
      </c>
      <c r="B2" t="s">
        <v>8565</v>
      </c>
      <c r="C2">
        <f>COUNTIF(Level1_map!H:H,B2)</f>
        <v>148</v>
      </c>
      <c r="D2" s="6">
        <f>C2/(COUNTA(Level1_map!A:A)-1)</f>
        <v>0.44179104477611941</v>
      </c>
      <c r="E2">
        <f>COUNTIFS(Level1_map!H:H,B2,Level1_map!M:M,"Yes")</f>
        <v>70</v>
      </c>
      <c r="F2" s="6">
        <f>E2/COUNTIF(Level1_map!M:M,"Yes")</f>
        <v>0.60869565217391308</v>
      </c>
    </row>
    <row r="3" spans="1:6" x14ac:dyDescent="0.25">
      <c r="A3" t="s">
        <v>8519</v>
      </c>
      <c r="B3" t="s">
        <v>8739</v>
      </c>
      <c r="C3">
        <f>COUNTIF(Level1_map!H:H,B3)</f>
        <v>37</v>
      </c>
      <c r="D3" s="6">
        <f>C3/(COUNTA(Level1_map!A:A)-1)</f>
        <v>0.11044776119402985</v>
      </c>
      <c r="E3">
        <f>COUNTIFS(Level1_map!H:H,B3,Level1_map!M:M,"Yes")</f>
        <v>10</v>
      </c>
      <c r="F3" s="6">
        <f>E3/COUNTIF(Level1_map!M:M,"Yes")</f>
        <v>8.6956521739130432E-2</v>
      </c>
    </row>
    <row r="4" spans="1:6" x14ac:dyDescent="0.25">
      <c r="A4" t="s">
        <v>8519</v>
      </c>
      <c r="B4" t="s">
        <v>9396</v>
      </c>
      <c r="C4">
        <f>COUNTIF(Level1_map!H:H,B4)</f>
        <v>26</v>
      </c>
      <c r="D4" s="6">
        <f>C4/(COUNTA(Level1_map!A:A)-1)</f>
        <v>7.7611940298507459E-2</v>
      </c>
      <c r="E4">
        <f>COUNTIFS(Level1_map!H:H,B4,Level1_map!M:M,"Yes")</f>
        <v>4</v>
      </c>
      <c r="F4" s="6">
        <f>E4/COUNTIF(Level1_map!M:M,"Yes")</f>
        <v>3.4782608695652174E-2</v>
      </c>
    </row>
    <row r="5" spans="1:6" x14ac:dyDescent="0.25">
      <c r="A5" t="s">
        <v>8519</v>
      </c>
      <c r="B5" t="s">
        <v>9111</v>
      </c>
      <c r="C5">
        <f>COUNTIF(Level1_map!H:H,B5)</f>
        <v>26</v>
      </c>
      <c r="D5" s="6">
        <f>C5/(COUNTA(Level1_map!A:A)-1)</f>
        <v>7.7611940298507459E-2</v>
      </c>
      <c r="E5">
        <f>COUNTIFS(Level1_map!H:H,B5,Level1_map!M:M,"Yes")</f>
        <v>7</v>
      </c>
      <c r="F5" s="6">
        <f>E5/COUNTIF(Level1_map!M:M,"Yes")</f>
        <v>6.0869565217391307E-2</v>
      </c>
    </row>
    <row r="6" spans="1:6" x14ac:dyDescent="0.25">
      <c r="A6" t="s">
        <v>8519</v>
      </c>
      <c r="B6" t="s">
        <v>9394</v>
      </c>
      <c r="C6">
        <f>COUNTIF(Level1_map!H:H,B6)</f>
        <v>24</v>
      </c>
      <c r="D6" s="6">
        <f>C6/(COUNTA(Level1_map!A:A)-1)</f>
        <v>7.1641791044776124E-2</v>
      </c>
      <c r="E6">
        <f>COUNTIFS(Level1_map!H:H,B6,Level1_map!M:M,"Yes")</f>
        <v>7</v>
      </c>
      <c r="F6" s="6">
        <f>E6/COUNTIF(Level1_map!M:M,"Yes")</f>
        <v>6.0869565217391307E-2</v>
      </c>
    </row>
    <row r="7" spans="1:6" x14ac:dyDescent="0.25">
      <c r="A7" t="s">
        <v>8519</v>
      </c>
      <c r="B7" t="s">
        <v>3217</v>
      </c>
      <c r="C7">
        <f>COUNTIF(Level1_map!H:H,B7)</f>
        <v>21</v>
      </c>
      <c r="D7" s="6">
        <f>C7/(COUNTA(Level1_map!A:A)-1)</f>
        <v>6.2686567164179099E-2</v>
      </c>
      <c r="E7">
        <f>COUNTIFS(Level1_map!H:H,B7,Level1_map!M:M,"Yes")</f>
        <v>4</v>
      </c>
      <c r="F7" s="6">
        <f>E7/COUNTIF(Level1_map!M:M,"Yes")</f>
        <v>3.4782608695652174E-2</v>
      </c>
    </row>
    <row r="8" spans="1:6" x14ac:dyDescent="0.25">
      <c r="A8" t="s">
        <v>8519</v>
      </c>
      <c r="B8" t="s">
        <v>916</v>
      </c>
      <c r="C8">
        <f>COUNTIF(Level1_map!H:H,B8)</f>
        <v>17</v>
      </c>
      <c r="D8" s="6">
        <f>C8/(COUNTA(Level1_map!A:A)-1)</f>
        <v>5.0746268656716415E-2</v>
      </c>
      <c r="E8">
        <f>COUNTIFS(Level1_map!H:H,B8,Level1_map!M:M,"Yes")</f>
        <v>3</v>
      </c>
      <c r="F8" s="6">
        <f>E8/COUNTIF(Level1_map!M:M,"Yes")</f>
        <v>2.6086956521739129E-2</v>
      </c>
    </row>
    <row r="9" spans="1:6" x14ac:dyDescent="0.25">
      <c r="A9" t="s">
        <v>8519</v>
      </c>
      <c r="B9" t="s">
        <v>9401</v>
      </c>
      <c r="C9">
        <f>COUNTIF(Level1_map!H:H,B9)</f>
        <v>11</v>
      </c>
      <c r="D9" s="6">
        <f>C9/(COUNTA(Level1_map!A:A)-1)</f>
        <v>3.2835820895522387E-2</v>
      </c>
      <c r="E9">
        <f>COUNTIFS(Level1_map!H:H,B9,Level1_map!M:M,"Yes")</f>
        <v>1</v>
      </c>
      <c r="F9" s="6">
        <f>E9/COUNTIF(Level1_map!M:M,"Yes")</f>
        <v>8.6956521739130436E-3</v>
      </c>
    </row>
    <row r="10" spans="1:6" x14ac:dyDescent="0.25">
      <c r="A10" t="s">
        <v>8519</v>
      </c>
      <c r="B10" t="s">
        <v>8834</v>
      </c>
      <c r="C10">
        <f>COUNTIF(Level1_map!H:H,B10)</f>
        <v>5</v>
      </c>
      <c r="D10" s="6">
        <f>C10/(COUNTA(Level1_map!A:A)-1)</f>
        <v>1.4925373134328358E-2</v>
      </c>
      <c r="E10">
        <f>COUNTIFS(Level1_map!H:H,B10,Level1_map!M:M,"Yes")</f>
        <v>3</v>
      </c>
      <c r="F10" s="6">
        <f>E10/COUNTIF(Level1_map!M:M,"Yes")</f>
        <v>2.6086956521739129E-2</v>
      </c>
    </row>
    <row r="11" spans="1:6" x14ac:dyDescent="0.25">
      <c r="A11" t="s">
        <v>8519</v>
      </c>
      <c r="B11" t="s">
        <v>9405</v>
      </c>
      <c r="C11">
        <f>COUNTIF(Level1_map!H:H,B11)</f>
        <v>5</v>
      </c>
      <c r="D11" s="6">
        <f>C11/(COUNTA(Level1_map!A:A)-1)</f>
        <v>1.4925373134328358E-2</v>
      </c>
      <c r="E11">
        <f>COUNTIFS(Level1_map!H:H,B11,Level1_map!M:M,"Yes")</f>
        <v>0</v>
      </c>
      <c r="F11" s="6">
        <f>E11/COUNTIF(Level1_map!M:M,"Yes")</f>
        <v>0</v>
      </c>
    </row>
    <row r="12" spans="1:6" x14ac:dyDescent="0.25">
      <c r="A12" t="s">
        <v>8519</v>
      </c>
      <c r="B12" t="s">
        <v>9408</v>
      </c>
      <c r="C12">
        <f>COUNTIF(Level1_map!H:H,B12)</f>
        <v>5</v>
      </c>
      <c r="D12" s="6">
        <f>C12/(COUNTA(Level1_map!A:A)-1)</f>
        <v>1.4925373134328358E-2</v>
      </c>
      <c r="E12">
        <f>COUNTIFS(Level1_map!H:H,B12,Level1_map!M:M,"Yes")</f>
        <v>0</v>
      </c>
      <c r="F12" s="6">
        <f>E12/COUNTIF(Level1_map!M:M,"Yes")</f>
        <v>0</v>
      </c>
    </row>
    <row r="13" spans="1:6" x14ac:dyDescent="0.25">
      <c r="A13" t="s">
        <v>8519</v>
      </c>
      <c r="B13" t="s">
        <v>9319</v>
      </c>
      <c r="C13">
        <f>COUNTIF(Level1_map!H:H,B13)</f>
        <v>4</v>
      </c>
      <c r="D13" s="6">
        <f>C13/(COUNTA(Level1_map!A:A)-1)</f>
        <v>1.1940298507462687E-2</v>
      </c>
      <c r="E13">
        <f>COUNTIFS(Level1_map!H:H,B13,Level1_map!M:M,"Yes")</f>
        <v>2</v>
      </c>
      <c r="F13" s="6">
        <f>E13/COUNTIF(Level1_map!M:M,"Yes")</f>
        <v>1.7391304347826087E-2</v>
      </c>
    </row>
    <row r="14" spans="1:6" x14ac:dyDescent="0.25">
      <c r="A14" t="s">
        <v>8519</v>
      </c>
      <c r="B14" t="s">
        <v>9404</v>
      </c>
      <c r="C14">
        <f>COUNTIF(Level1_map!H:H,B14)</f>
        <v>4</v>
      </c>
      <c r="D14" s="6">
        <f>C14/(COUNTA(Level1_map!A:A)-1)</f>
        <v>1.1940298507462687E-2</v>
      </c>
      <c r="E14">
        <f>COUNTIFS(Level1_map!H:H,B14,Level1_map!M:M,"Yes")</f>
        <v>3</v>
      </c>
      <c r="F14" s="6">
        <f>E14/COUNTIF(Level1_map!M:M,"Yes")</f>
        <v>2.6086956521739129E-2</v>
      </c>
    </row>
    <row r="15" spans="1:6" x14ac:dyDescent="0.25">
      <c r="A15" t="s">
        <v>8519</v>
      </c>
      <c r="B15" t="s">
        <v>8949</v>
      </c>
      <c r="C15">
        <f>COUNTIF(Level1_map!H:H,B15)</f>
        <v>1</v>
      </c>
      <c r="D15" s="6">
        <f>C15/(COUNTA(Level1_map!A:A)-1)</f>
        <v>2.9850746268656717E-3</v>
      </c>
      <c r="E15">
        <f>COUNTIFS(Level1_map!H:H,B15,Level1_map!M:M,"Yes")</f>
        <v>1</v>
      </c>
      <c r="F15" s="6">
        <f>E15/COUNTIF(Level1_map!M:M,"Yes")</f>
        <v>8.6956521739130436E-3</v>
      </c>
    </row>
    <row r="16" spans="1:6" x14ac:dyDescent="0.25">
      <c r="A16" t="s">
        <v>8519</v>
      </c>
      <c r="B16" t="s">
        <v>9413</v>
      </c>
      <c r="C16">
        <f>COUNTIF(Level1_map!H:H,B16)</f>
        <v>1</v>
      </c>
      <c r="D16" s="6">
        <f>C16/(COUNTA(Level1_map!A:A)-1)</f>
        <v>2.9850746268656717E-3</v>
      </c>
      <c r="E16">
        <f>COUNTIFS(Level1_map!H:H,B16,Level1_map!M:M,"Yes")</f>
        <v>0</v>
      </c>
      <c r="F16" s="6">
        <f>E16/COUNTIF(Level1_map!M:M,"Yes")</f>
        <v>0</v>
      </c>
    </row>
    <row r="17" spans="1:6" x14ac:dyDescent="0.25">
      <c r="A17" t="s">
        <v>8520</v>
      </c>
      <c r="B17" t="s">
        <v>9392</v>
      </c>
      <c r="C17">
        <f>COUNTIF(Level1_map!I:I,B17)</f>
        <v>105</v>
      </c>
      <c r="D17" s="6">
        <f>C17/(COUNTA(Level1_map!A:A)-1)</f>
        <v>0.31343283582089554</v>
      </c>
      <c r="E17">
        <f>COUNTIFS(Level1_map!I:I,B17,Level1_map!M:M,"Yes")</f>
        <v>58</v>
      </c>
      <c r="F17" s="6">
        <f>E17/COUNTIF(Level1_map!M:M,"Yes")</f>
        <v>0.5043478260869565</v>
      </c>
    </row>
    <row r="18" spans="1:6" x14ac:dyDescent="0.25">
      <c r="A18" t="s">
        <v>8520</v>
      </c>
      <c r="B18" t="s">
        <v>9385</v>
      </c>
      <c r="C18">
        <f>COUNTIF(Level1_map!I:I,B18)</f>
        <v>74</v>
      </c>
      <c r="D18" s="6">
        <f>C18/(COUNTA(Level1_map!A:A)-1)</f>
        <v>0.22089552238805971</v>
      </c>
      <c r="E18">
        <f>COUNTIFS(Level1_map!I:I,B18,Level1_map!M:M,"Yes")</f>
        <v>18</v>
      </c>
      <c r="F18" s="6">
        <f>E18/COUNTIF(Level1_map!M:M,"Yes")</f>
        <v>0.15652173913043479</v>
      </c>
    </row>
    <row r="19" spans="1:6" x14ac:dyDescent="0.25">
      <c r="A19" t="s">
        <v>8520</v>
      </c>
      <c r="B19" t="s">
        <v>9376</v>
      </c>
      <c r="C19">
        <f>COUNTIF(Level1_map!I:I,B19)</f>
        <v>67</v>
      </c>
      <c r="D19" s="6">
        <f>C19/(COUNTA(Level1_map!A:A)-1)</f>
        <v>0.2</v>
      </c>
      <c r="E19">
        <f>COUNTIFS(Level1_map!I:I,B19,Level1_map!M:M,"Yes")</f>
        <v>31</v>
      </c>
      <c r="F19" s="6">
        <f>E19/COUNTIF(Level1_map!M:M,"Yes")</f>
        <v>0.26956521739130435</v>
      </c>
    </row>
    <row r="20" spans="1:6" x14ac:dyDescent="0.25">
      <c r="A20" t="s">
        <v>8520</v>
      </c>
      <c r="B20" t="s">
        <v>9389</v>
      </c>
      <c r="C20">
        <f>COUNTIF(Level1_map!I:I,B20)</f>
        <v>46</v>
      </c>
      <c r="D20" s="6">
        <f>C20/(COUNTA(Level1_map!A:A)-1)</f>
        <v>0.1373134328358209</v>
      </c>
      <c r="E20">
        <f>COUNTIFS(Level1_map!I:I,B20,Level1_map!M:M,"Yes")</f>
        <v>6</v>
      </c>
      <c r="F20" s="6">
        <f>E20/COUNTIF(Level1_map!M:M,"Yes")</f>
        <v>5.2173913043478258E-2</v>
      </c>
    </row>
    <row r="21" spans="1:6" x14ac:dyDescent="0.25">
      <c r="A21" t="s">
        <v>8520</v>
      </c>
      <c r="B21" t="s">
        <v>9395</v>
      </c>
      <c r="C21">
        <f>COUNTIF(Level1_map!I:I,B21)</f>
        <v>34</v>
      </c>
      <c r="D21" s="6">
        <f>C21/(COUNTA(Level1_map!A:A)-1)</f>
        <v>0.10149253731343283</v>
      </c>
      <c r="E21">
        <f>COUNTIFS(Level1_map!I:I,B21,Level1_map!M:M,"Yes")</f>
        <v>0</v>
      </c>
      <c r="F21" s="6">
        <f>E21/COUNTIF(Level1_map!M:M,"Yes")</f>
        <v>0</v>
      </c>
    </row>
    <row r="22" spans="1:6" x14ac:dyDescent="0.25">
      <c r="A22" t="s">
        <v>8520</v>
      </c>
      <c r="B22" t="s">
        <v>9154</v>
      </c>
      <c r="C22">
        <f>COUNTIF(Level1_map!I:I,B22)</f>
        <v>9</v>
      </c>
      <c r="D22" s="6">
        <f>C22/(COUNTA(Level1_map!A:A)-1)</f>
        <v>2.6865671641791045E-2</v>
      </c>
      <c r="E22">
        <f>COUNTIFS(Level1_map!I:I,B22,Level1_map!M:M,"Yes")</f>
        <v>2</v>
      </c>
      <c r="F22" s="6">
        <f>E22/COUNTIF(Level1_map!M:M,"Yes")</f>
        <v>1.7391304347826087E-2</v>
      </c>
    </row>
    <row r="23" spans="1:6" x14ac:dyDescent="0.25">
      <c r="A23" t="s">
        <v>8521</v>
      </c>
      <c r="B23" t="s">
        <v>8535</v>
      </c>
      <c r="C23">
        <f>COUNTIF(Level1_map!J:J,B23)</f>
        <v>211</v>
      </c>
      <c r="D23" s="6">
        <f>C23/(COUNTA(Level1_map!A:A)-1)</f>
        <v>0.62985074626865667</v>
      </c>
      <c r="E23">
        <f>COUNTIFS(Level1_map!J:J,B23,Level1_map!M:M,"Yes")</f>
        <v>81</v>
      </c>
      <c r="F23" s="6">
        <f>E23/COUNTIF(Level1_map!M:M,"Yes")</f>
        <v>0.70434782608695656</v>
      </c>
    </row>
    <row r="24" spans="1:6" x14ac:dyDescent="0.25">
      <c r="A24" t="s">
        <v>8521</v>
      </c>
      <c r="B24" t="s">
        <v>9397</v>
      </c>
      <c r="C24">
        <f>COUNTIF(Level1_map!J:J,B24)</f>
        <v>55</v>
      </c>
      <c r="D24" s="6">
        <f>C24/(COUNTA(Level1_map!A:A)-1)</f>
        <v>0.16417910447761194</v>
      </c>
      <c r="E24">
        <f>COUNTIFS(Level1_map!J:J,B24,Level1_map!M:M,"Yes")</f>
        <v>17</v>
      </c>
      <c r="F24" s="6">
        <f>E24/COUNTIF(Level1_map!M:M,"Yes")</f>
        <v>0.14782608695652175</v>
      </c>
    </row>
    <row r="25" spans="1:6" x14ac:dyDescent="0.25">
      <c r="A25" t="s">
        <v>8521</v>
      </c>
      <c r="B25" t="s">
        <v>8652</v>
      </c>
      <c r="C25">
        <f>COUNTIF(Level1_map!J:J,B25)</f>
        <v>27</v>
      </c>
      <c r="D25" s="6">
        <f>C25/(COUNTA(Level1_map!A:A)-1)</f>
        <v>8.0597014925373134E-2</v>
      </c>
      <c r="E25">
        <f>COUNTIFS(Level1_map!J:J,B25,Level1_map!M:M,"Yes")</f>
        <v>6</v>
      </c>
      <c r="F25" s="6">
        <f>E25/COUNTIF(Level1_map!M:M,"Yes")</f>
        <v>5.2173913043478258E-2</v>
      </c>
    </row>
    <row r="26" spans="1:6" x14ac:dyDescent="0.25">
      <c r="A26" t="s">
        <v>8521</v>
      </c>
      <c r="B26" t="s">
        <v>9379</v>
      </c>
      <c r="C26">
        <f>COUNTIF(Level1_map!J:J,B26)</f>
        <v>22</v>
      </c>
      <c r="D26" s="6">
        <f>C26/(COUNTA(Level1_map!A:A)-1)</f>
        <v>6.5671641791044774E-2</v>
      </c>
      <c r="E26">
        <f>COUNTIFS(Level1_map!J:J,B26,Level1_map!M:M,"Yes")</f>
        <v>5</v>
      </c>
      <c r="F26" s="6">
        <f>E26/COUNTIF(Level1_map!M:M,"Yes")</f>
        <v>4.3478260869565216E-2</v>
      </c>
    </row>
    <row r="27" spans="1:6" x14ac:dyDescent="0.25">
      <c r="A27" t="s">
        <v>8521</v>
      </c>
      <c r="B27" t="s">
        <v>9390</v>
      </c>
      <c r="C27">
        <f>COUNTIF(Level1_map!J:J,B27)</f>
        <v>18</v>
      </c>
      <c r="D27" s="6">
        <f>C27/(COUNTA(Level1_map!A:A)-1)</f>
        <v>5.3731343283582089E-2</v>
      </c>
      <c r="E27">
        <f>COUNTIFS(Level1_map!J:J,B27,Level1_map!M:M,"Yes")</f>
        <v>4</v>
      </c>
      <c r="F27" s="6">
        <f>E27/COUNTIF(Level1_map!M:M,"Yes")</f>
        <v>3.4782608695652174E-2</v>
      </c>
    </row>
    <row r="28" spans="1:6" x14ac:dyDescent="0.25">
      <c r="A28" t="s">
        <v>8521</v>
      </c>
      <c r="B28" t="s">
        <v>9407</v>
      </c>
      <c r="C28">
        <f>COUNTIF(Level1_map!J:J,B28)</f>
        <v>2</v>
      </c>
      <c r="D28" s="6">
        <f>C28/(COUNTA(Level1_map!A:A)-1)</f>
        <v>5.9701492537313433E-3</v>
      </c>
      <c r="E28">
        <f>COUNTIFS(Level1_map!J:J,B28,Level1_map!M:M,"Yes")</f>
        <v>2</v>
      </c>
      <c r="F28" s="6">
        <f>E28/COUNTIF(Level1_map!M:M,"Yes")</f>
        <v>1.7391304347826087E-2</v>
      </c>
    </row>
    <row r="29" spans="1:6" x14ac:dyDescent="0.25">
      <c r="A29" t="s">
        <v>9425</v>
      </c>
      <c r="B29" t="s">
        <v>9393</v>
      </c>
      <c r="C29">
        <f>COUNTIF(Level1_map!F:F,B29)</f>
        <v>128</v>
      </c>
      <c r="D29" s="6">
        <f>C29/(COUNTA(Level1_map!A:A)-1)</f>
        <v>0.38208955223880597</v>
      </c>
      <c r="E29">
        <f>COUNTIFS(Level1_map!F:F,B29,Level1_map!M:M,"Yes")</f>
        <v>37</v>
      </c>
      <c r="F29" s="6">
        <f>E29/COUNTIF(Level1_map!M:M,"Yes")</f>
        <v>0.32173913043478258</v>
      </c>
    </row>
    <row r="30" spans="1:6" x14ac:dyDescent="0.25">
      <c r="A30" t="s">
        <v>9425</v>
      </c>
      <c r="B30" t="s">
        <v>9387</v>
      </c>
      <c r="C30">
        <f>COUNTIF(Level1_map!F:F,B30)</f>
        <v>66</v>
      </c>
      <c r="D30" s="6">
        <f>C30/(COUNTA(Level1_map!A:A)-1)</f>
        <v>0.19701492537313434</v>
      </c>
      <c r="E30">
        <f>COUNTIFS(Level1_map!F:F,B30,Level1_map!M:M,"Yes")</f>
        <v>24</v>
      </c>
      <c r="F30" s="6">
        <f>E30/COUNTIF(Level1_map!M:M,"Yes")</f>
        <v>0.20869565217391303</v>
      </c>
    </row>
    <row r="31" spans="1:6" x14ac:dyDescent="0.25">
      <c r="A31" t="s">
        <v>9425</v>
      </c>
      <c r="B31" t="s">
        <v>9381</v>
      </c>
      <c r="C31">
        <f>COUNTIF(Level1_map!F:F,B31)</f>
        <v>39</v>
      </c>
      <c r="D31" s="6">
        <f>C31/(COUNTA(Level1_map!A:A)-1)</f>
        <v>0.11641791044776119</v>
      </c>
      <c r="E31">
        <f>COUNTIFS(Level1_map!F:F,B31,Level1_map!M:M,"Yes")</f>
        <v>13</v>
      </c>
      <c r="F31" s="6">
        <f>E31/COUNTIF(Level1_map!M:M,"Yes")</f>
        <v>0.11304347826086956</v>
      </c>
    </row>
    <row r="32" spans="1:6" x14ac:dyDescent="0.25">
      <c r="A32" t="s">
        <v>9425</v>
      </c>
      <c r="B32" t="s">
        <v>8955</v>
      </c>
      <c r="C32">
        <f>COUNTIF(Level1_map!F:F,B32)</f>
        <v>34</v>
      </c>
      <c r="D32" s="6">
        <f>C32/(COUNTA(Level1_map!A:A)-1)</f>
        <v>0.10149253731343283</v>
      </c>
      <c r="E32">
        <f>COUNTIFS(Level1_map!F:F,B32,Level1_map!M:M,"Yes")</f>
        <v>15</v>
      </c>
      <c r="F32" s="6">
        <f>E32/COUNTIF(Level1_map!M:M,"Yes")</f>
        <v>0.13043478260869565</v>
      </c>
    </row>
    <row r="33" spans="1:6" x14ac:dyDescent="0.25">
      <c r="A33" t="s">
        <v>9425</v>
      </c>
      <c r="B33" t="s">
        <v>9403</v>
      </c>
      <c r="C33">
        <f>COUNTIF(Level1_map!F:F,B33)</f>
        <v>23</v>
      </c>
      <c r="D33" s="6">
        <f>C33/(COUNTA(Level1_map!A:A)-1)</f>
        <v>6.8656716417910449E-2</v>
      </c>
      <c r="E33">
        <f>COUNTIFS(Level1_map!F:F,B33,Level1_map!M:M,"Yes")</f>
        <v>11</v>
      </c>
      <c r="F33" s="6">
        <f>E33/COUNTIF(Level1_map!M:M,"Yes")</f>
        <v>9.5652173913043481E-2</v>
      </c>
    </row>
    <row r="34" spans="1:6" x14ac:dyDescent="0.25">
      <c r="A34" t="s">
        <v>9425</v>
      </c>
      <c r="B34" t="s">
        <v>9384</v>
      </c>
      <c r="C34">
        <f>COUNTIF(Level1_map!F:F,B34)</f>
        <v>12</v>
      </c>
      <c r="D34" s="6">
        <f>C34/(COUNTA(Level1_map!A:A)-1)</f>
        <v>3.5820895522388062E-2</v>
      </c>
      <c r="E34">
        <f>COUNTIFS(Level1_map!F:F,B34,Level1_map!M:M,"Yes")</f>
        <v>2</v>
      </c>
      <c r="F34" s="6">
        <f>E34/COUNTIF(Level1_map!M:M,"Yes")</f>
        <v>1.7391304347826087E-2</v>
      </c>
    </row>
    <row r="35" spans="1:6" x14ac:dyDescent="0.25">
      <c r="A35" t="s">
        <v>9425</v>
      </c>
      <c r="B35" t="s">
        <v>9398</v>
      </c>
      <c r="C35">
        <f>COUNTIF(Level1_map!F:F,B35)</f>
        <v>8</v>
      </c>
      <c r="D35" s="6">
        <f>C35/(COUNTA(Level1_map!A:A)-1)</f>
        <v>2.3880597014925373E-2</v>
      </c>
      <c r="E35">
        <f>COUNTIFS(Level1_map!F:F,B35,Level1_map!M:M,"Yes")</f>
        <v>7</v>
      </c>
      <c r="F35" s="6">
        <f>E35/COUNTIF(Level1_map!M:M,"Yes")</f>
        <v>6.0869565217391307E-2</v>
      </c>
    </row>
    <row r="36" spans="1:6" x14ac:dyDescent="0.25">
      <c r="A36" t="s">
        <v>9425</v>
      </c>
      <c r="B36" t="s">
        <v>9399</v>
      </c>
      <c r="C36">
        <f>COUNTIF(Level1_map!F:F,B36)</f>
        <v>6</v>
      </c>
      <c r="D36" s="6">
        <f>C36/(COUNTA(Level1_map!A:A)-1)</f>
        <v>1.7910447761194031E-2</v>
      </c>
      <c r="E36">
        <f>COUNTIFS(Level1_map!F:F,B36,Level1_map!M:M,"Yes")</f>
        <v>3</v>
      </c>
      <c r="F36" s="6">
        <f>E36/COUNTIF(Level1_map!M:M,"Yes")</f>
        <v>2.6086956521739129E-2</v>
      </c>
    </row>
    <row r="37" spans="1:6" x14ac:dyDescent="0.25">
      <c r="A37" t="s">
        <v>9425</v>
      </c>
      <c r="B37" t="s">
        <v>9410</v>
      </c>
      <c r="C37">
        <f>COUNTIF(Level1_map!F:F,B37)</f>
        <v>6</v>
      </c>
      <c r="D37" s="6">
        <f>C37/(COUNTA(Level1_map!A:A)-1)</f>
        <v>1.7910447761194031E-2</v>
      </c>
      <c r="E37">
        <f>COUNTIFS(Level1_map!F:F,B37,Level1_map!M:M,"Yes")</f>
        <v>1</v>
      </c>
      <c r="F37" s="6">
        <f>E37/COUNTIF(Level1_map!M:M,"Yes")</f>
        <v>8.6956521739130436E-3</v>
      </c>
    </row>
    <row r="38" spans="1:6" x14ac:dyDescent="0.25">
      <c r="A38" t="s">
        <v>9425</v>
      </c>
      <c r="B38" t="s">
        <v>9411</v>
      </c>
      <c r="C38">
        <f>COUNTIF(Level1_map!F:F,B38)</f>
        <v>5</v>
      </c>
      <c r="D38" s="6">
        <f>C38/(COUNTA(Level1_map!A:A)-1)</f>
        <v>1.4925373134328358E-2</v>
      </c>
      <c r="E38">
        <f>COUNTIFS(Level1_map!F:F,B38,Level1_map!M:M,"Yes")</f>
        <v>0</v>
      </c>
      <c r="F38" s="6">
        <f>E38/COUNTIF(Level1_map!M:M,"Yes")</f>
        <v>0</v>
      </c>
    </row>
    <row r="39" spans="1:6" x14ac:dyDescent="0.25">
      <c r="A39" t="s">
        <v>9425</v>
      </c>
      <c r="B39" t="s">
        <v>9406</v>
      </c>
      <c r="C39">
        <f>COUNTIF(Level1_map!F:F,B39)</f>
        <v>4</v>
      </c>
      <c r="D39" s="6">
        <f>C39/(COUNTA(Level1_map!A:A)-1)</f>
        <v>1.1940298507462687E-2</v>
      </c>
      <c r="E39">
        <f>COUNTIFS(Level1_map!F:F,B39,Level1_map!M:M,"Yes")</f>
        <v>1</v>
      </c>
      <c r="F39" s="6">
        <f>E39/COUNTIF(Level1_map!M:M,"Yes")</f>
        <v>8.6956521739130436E-3</v>
      </c>
    </row>
    <row r="40" spans="1:6" x14ac:dyDescent="0.25">
      <c r="A40" t="s">
        <v>9425</v>
      </c>
      <c r="B40" t="s">
        <v>9412</v>
      </c>
      <c r="C40">
        <f>COUNTIF(Level1_map!F:F,B40)</f>
        <v>4</v>
      </c>
      <c r="D40" s="6">
        <f>C40/(COUNTA(Level1_map!A:A)-1)</f>
        <v>1.1940298507462687E-2</v>
      </c>
      <c r="E40">
        <f>COUNTIFS(Level1_map!F:F,B40,Level1_map!M:M,"Yes")</f>
        <v>1</v>
      </c>
      <c r="F40" s="6">
        <f>E40/COUNTIF(Level1_map!M:M,"Yes")</f>
        <v>8.6956521739130436E-3</v>
      </c>
    </row>
    <row r="41" spans="1:6" x14ac:dyDescent="0.25">
      <c r="A41" t="s">
        <v>8518</v>
      </c>
      <c r="B41" t="s">
        <v>9388</v>
      </c>
      <c r="C41">
        <f>COUNTIF(Level1_map!G:G,B41)</f>
        <v>127</v>
      </c>
      <c r="D41" s="6">
        <f>C41/(COUNTA(Level1_map!A:A)-1)</f>
        <v>0.37910447761194027</v>
      </c>
      <c r="E41">
        <f>COUNTIFS(Level1_map!G:G,B41,Level1_map!M:M,"Yes")</f>
        <v>64</v>
      </c>
      <c r="F41" s="6">
        <f>E41/COUNTIF(Level1_map!M:M,"Yes")</f>
        <v>0.55652173913043479</v>
      </c>
    </row>
    <row r="42" spans="1:6" x14ac:dyDescent="0.25">
      <c r="A42" t="s">
        <v>8518</v>
      </c>
      <c r="B42" t="s">
        <v>9375</v>
      </c>
      <c r="C42">
        <f>COUNTIF(Level1_map!G:G,B42)</f>
        <v>68</v>
      </c>
      <c r="D42" s="6">
        <f>C42/(COUNTA(Level1_map!A:A)-1)</f>
        <v>0.20298507462686566</v>
      </c>
      <c r="E42">
        <f>COUNTIFS(Level1_map!G:G,B42,Level1_map!M:M,"Yes")</f>
        <v>26</v>
      </c>
      <c r="F42" s="6">
        <f>E42/COUNTIF(Level1_map!M:M,"Yes")</f>
        <v>0.22608695652173913</v>
      </c>
    </row>
    <row r="43" spans="1:6" x14ac:dyDescent="0.25">
      <c r="A43" t="s">
        <v>8518</v>
      </c>
      <c r="B43" t="s">
        <v>9382</v>
      </c>
      <c r="C43">
        <f>COUNTIF(Level1_map!G:G,B43)</f>
        <v>51</v>
      </c>
      <c r="D43" s="6">
        <f>C43/(COUNTA(Level1_map!A:A)-1)</f>
        <v>0.15223880597014924</v>
      </c>
      <c r="E43">
        <f>COUNTIFS(Level1_map!G:G,B43,Level1_map!M:M,"Yes")</f>
        <v>7</v>
      </c>
      <c r="F43" s="6">
        <f>E43/COUNTIF(Level1_map!M:M,"Yes")</f>
        <v>6.0869565217391307E-2</v>
      </c>
    </row>
    <row r="44" spans="1:6" x14ac:dyDescent="0.25">
      <c r="A44" t="s">
        <v>8518</v>
      </c>
      <c r="B44" t="s">
        <v>8761</v>
      </c>
      <c r="C44">
        <f>COUNTIF(Level1_map!G:G,B44)</f>
        <v>42</v>
      </c>
      <c r="D44" s="6">
        <f>C44/(COUNTA(Level1_map!A:A)-1)</f>
        <v>0.1253731343283582</v>
      </c>
      <c r="E44">
        <f>COUNTIFS(Level1_map!G:G,B44,Level1_map!M:M,"Yes")</f>
        <v>4</v>
      </c>
      <c r="F44" s="6">
        <f>E44/COUNTIF(Level1_map!M:M,"Yes")</f>
        <v>3.4782608695652174E-2</v>
      </c>
    </row>
    <row r="45" spans="1:6" x14ac:dyDescent="0.25">
      <c r="A45" t="s">
        <v>8518</v>
      </c>
      <c r="B45" t="s">
        <v>9402</v>
      </c>
      <c r="C45">
        <f>COUNTIF(Level1_map!G:G,B45)</f>
        <v>28</v>
      </c>
      <c r="D45" s="6">
        <f>C45/(COUNTA(Level1_map!A:A)-1)</f>
        <v>8.3582089552238809E-2</v>
      </c>
      <c r="E45">
        <f>COUNTIFS(Level1_map!G:G,B45,Level1_map!M:M,"Yes")</f>
        <v>5</v>
      </c>
      <c r="F45" s="6">
        <f>E45/COUNTIF(Level1_map!M:M,"Yes")</f>
        <v>4.3478260869565216E-2</v>
      </c>
    </row>
    <row r="46" spans="1:6" x14ac:dyDescent="0.25">
      <c r="A46" t="s">
        <v>8518</v>
      </c>
      <c r="B46" t="s">
        <v>9378</v>
      </c>
      <c r="C46">
        <f>COUNTIF(Level1_map!G:G,B46)</f>
        <v>15</v>
      </c>
      <c r="D46" s="6">
        <f>C46/(COUNTA(Level1_map!A:A)-1)</f>
        <v>4.4776119402985072E-2</v>
      </c>
      <c r="E46">
        <f>COUNTIFS(Level1_map!G:G,B46,Level1_map!M:M,"Yes")</f>
        <v>7</v>
      </c>
      <c r="F46" s="6">
        <f>E46/COUNTIF(Level1_map!M:M,"Yes")</f>
        <v>6.0869565217391307E-2</v>
      </c>
    </row>
    <row r="47" spans="1:6" x14ac:dyDescent="0.25">
      <c r="A47" t="s">
        <v>8518</v>
      </c>
      <c r="B47" t="s">
        <v>9409</v>
      </c>
      <c r="C47">
        <f>COUNTIF(Level1_map!G:G,B47)</f>
        <v>4</v>
      </c>
      <c r="D47" s="6">
        <f>C47/(COUNTA(Level1_map!A:A)-1)</f>
        <v>1.1940298507462687E-2</v>
      </c>
      <c r="E47">
        <f>COUNTIFS(Level1_map!G:G,B47,Level1_map!M:M,"Yes")</f>
        <v>2</v>
      </c>
      <c r="F47" s="6">
        <f>E47/COUNTIF(Level1_map!M:M,"Yes")</f>
        <v>1.7391304347826087E-2</v>
      </c>
    </row>
    <row r="48" spans="1:6" x14ac:dyDescent="0.25">
      <c r="A48" t="s">
        <v>9426</v>
      </c>
      <c r="B48" t="s">
        <v>9377</v>
      </c>
      <c r="C48">
        <f>COUNTIF(Level1_map!K:K,B48)</f>
        <v>86</v>
      </c>
      <c r="D48" s="6">
        <f>C48/(COUNTA(Level1_map!A:A)-1)</f>
        <v>0.25671641791044775</v>
      </c>
      <c r="E48">
        <f>COUNTIFS(Level1_map!K:K,B48,Level1_map!M:M,"Yes")</f>
        <v>86</v>
      </c>
      <c r="F48" s="6">
        <f>E48/COUNTIF(Level1_map!M:M,"Yes")</f>
        <v>0.74782608695652175</v>
      </c>
    </row>
    <row r="49" spans="1:6" x14ac:dyDescent="0.25">
      <c r="A49" t="s">
        <v>9426</v>
      </c>
      <c r="B49" t="s">
        <v>9380</v>
      </c>
      <c r="C49">
        <f>COUNTIF(Level1_map!K:K,B49)</f>
        <v>83</v>
      </c>
      <c r="D49" s="6">
        <f>C49/(COUNTA(Level1_map!A:A)-1)</f>
        <v>0.24776119402985075</v>
      </c>
      <c r="E49">
        <f>COUNTIFS(Level1_map!K:K,B49,Level1_map!M:M,"Yes")</f>
        <v>0</v>
      </c>
      <c r="F49" s="6">
        <f>E49/COUNTIF(Level1_map!M:M,"Yes")</f>
        <v>0</v>
      </c>
    </row>
    <row r="50" spans="1:6" x14ac:dyDescent="0.25">
      <c r="A50" t="s">
        <v>9426</v>
      </c>
      <c r="B50" t="s">
        <v>9386</v>
      </c>
      <c r="C50">
        <f>COUNTIF(Level1_map!K:K,B50)</f>
        <v>76</v>
      </c>
      <c r="D50" s="6">
        <f>C50/(COUNTA(Level1_map!A:A)-1)</f>
        <v>0.22686567164179106</v>
      </c>
      <c r="E50">
        <f>COUNTIFS(Level1_map!K:K,B50,Level1_map!M:M,"Yes")</f>
        <v>0</v>
      </c>
      <c r="F50" s="6">
        <f>E50/COUNTIF(Level1_map!M:M,"Yes")</f>
        <v>0</v>
      </c>
    </row>
    <row r="51" spans="1:6" x14ac:dyDescent="0.25">
      <c r="A51" t="s">
        <v>9426</v>
      </c>
      <c r="B51" t="s">
        <v>9391</v>
      </c>
      <c r="C51">
        <f>COUNTIF(Level1_map!K:K,B51)</f>
        <v>42</v>
      </c>
      <c r="D51" s="6">
        <f>C51/(COUNTA(Level1_map!A:A)-1)</f>
        <v>0.1253731343283582</v>
      </c>
      <c r="E51">
        <f>COUNTIFS(Level1_map!K:K,B51,Level1_map!M:M,"Yes")</f>
        <v>0</v>
      </c>
      <c r="F51" s="6">
        <f>E51/COUNTIF(Level1_map!M:M,"Yes")</f>
        <v>0</v>
      </c>
    </row>
    <row r="52" spans="1:6" x14ac:dyDescent="0.25">
      <c r="A52" t="s">
        <v>9426</v>
      </c>
      <c r="B52" t="s">
        <v>9400</v>
      </c>
      <c r="C52">
        <f>COUNTIF(Level1_map!K:K,B52)</f>
        <v>29</v>
      </c>
      <c r="D52" s="6">
        <f>C52/(COUNTA(Level1_map!A:A)-1)</f>
        <v>8.6567164179104483E-2</v>
      </c>
      <c r="E52">
        <f>COUNTIFS(Level1_map!K:K,B52,Level1_map!M:M,"Yes")</f>
        <v>29</v>
      </c>
      <c r="F52" s="6">
        <f>E52/COUNTIF(Level1_map!M:M,"Yes")</f>
        <v>0.25217391304347825</v>
      </c>
    </row>
    <row r="53" spans="1:6" x14ac:dyDescent="0.25">
      <c r="A53" t="s">
        <v>9426</v>
      </c>
      <c r="B53" t="s">
        <v>9383</v>
      </c>
      <c r="C53">
        <f>COUNTIF(Level1_map!K:K,B53)</f>
        <v>19</v>
      </c>
      <c r="D53" s="6">
        <f>C53/(COUNTA(Level1_map!A:A)-1)</f>
        <v>5.6716417910447764E-2</v>
      </c>
      <c r="E53">
        <f>COUNTIFS(Level1_map!K:K,B53,Level1_map!M:M,"Yes")</f>
        <v>0</v>
      </c>
      <c r="F53" s="6">
        <f>E53/COUNTIF(Level1_map!M:M,"Yes")</f>
        <v>0</v>
      </c>
    </row>
    <row r="54" spans="1:6" x14ac:dyDescent="0.25">
      <c r="A54" t="s">
        <v>42</v>
      </c>
      <c r="B54" t="s">
        <v>8418</v>
      </c>
      <c r="C54">
        <f>COUNTIF(Level1_map!D:D,B54)</f>
        <v>6</v>
      </c>
      <c r="D54" s="6">
        <f>C54/(COUNTA(Level1_map!A:A)-1)</f>
        <v>1.7910447761194031E-2</v>
      </c>
      <c r="E54">
        <f>COUNTIFS(Level1_map!D:D,B54,Level1_map!M:M,"Yes")</f>
        <v>2</v>
      </c>
      <c r="F54" s="6">
        <f>E54/COUNTIF(Level1_map!M:M,"Yes")</f>
        <v>1.7391304347826087E-2</v>
      </c>
    </row>
    <row r="55" spans="1:6" x14ac:dyDescent="0.25">
      <c r="A55" t="s">
        <v>42</v>
      </c>
      <c r="B55" t="s">
        <v>8144</v>
      </c>
      <c r="C55">
        <f>COUNTIF(Level1_map!D:D,B55)</f>
        <v>22</v>
      </c>
      <c r="D55" s="6">
        <f>C55/(COUNTA(Level1_map!A:A)-1)</f>
        <v>6.5671641791044774E-2</v>
      </c>
      <c r="E55">
        <f>COUNTIFS(Level1_map!D:D,B55,Level1_map!M:M,"Yes")</f>
        <v>7</v>
      </c>
      <c r="F55" s="6">
        <f>E55/COUNTIF(Level1_map!M:M,"Yes")</f>
        <v>6.0869565217391307E-2</v>
      </c>
    </row>
    <row r="56" spans="1:6" x14ac:dyDescent="0.25">
      <c r="A56" t="s">
        <v>42</v>
      </c>
      <c r="B56" t="s">
        <v>7184</v>
      </c>
      <c r="C56">
        <f>COUNTIF(Level1_map!D:D,B56)</f>
        <v>68</v>
      </c>
      <c r="D56" s="6">
        <f>C56/(COUNTA(Level1_map!A:A)-1)</f>
        <v>0.20298507462686566</v>
      </c>
      <c r="E56">
        <f>COUNTIFS(Level1_map!D:D,B56,Level1_map!M:M,"Yes")</f>
        <v>22</v>
      </c>
      <c r="F56" s="6">
        <f>E56/COUNTIF(Level1_map!M:M,"Yes")</f>
        <v>0.19130434782608696</v>
      </c>
    </row>
    <row r="57" spans="1:6" x14ac:dyDescent="0.25">
      <c r="A57" t="s">
        <v>42</v>
      </c>
      <c r="B57" t="s">
        <v>56</v>
      </c>
      <c r="C57">
        <f>COUNTIF(Level1_map!D:D,B57)</f>
        <v>239</v>
      </c>
      <c r="D57" s="6">
        <f>C57/(COUNTA(Level1_map!A:A)-1)</f>
        <v>0.71343283582089556</v>
      </c>
      <c r="E57">
        <f>COUNTIFS(Level1_map!D:D,B57,Level1_map!M:M,"Yes")</f>
        <v>84</v>
      </c>
      <c r="F57" s="6">
        <f>E57/COUNTIF(Level1_map!M:M,"Yes")</f>
        <v>0.73043478260869565</v>
      </c>
    </row>
    <row r="59" spans="1:6" x14ac:dyDescent="0.25">
      <c r="A59" s="2" t="s">
        <v>9427</v>
      </c>
      <c r="B59" s="2" t="s">
        <v>8527</v>
      </c>
      <c r="C59" s="2" t="s">
        <v>9428</v>
      </c>
    </row>
    <row r="60" spans="1:6" x14ac:dyDescent="0.25">
      <c r="B60" t="s">
        <v>8550</v>
      </c>
      <c r="C60">
        <f>COUNTIF(Final_set_extraction!S:S,B60)</f>
        <v>68</v>
      </c>
    </row>
    <row r="61" spans="1:6" x14ac:dyDescent="0.25">
      <c r="B61" t="s">
        <v>8540</v>
      </c>
      <c r="C61">
        <f>COUNTIF(Final_set_extraction!S:S,B61)</f>
        <v>27</v>
      </c>
    </row>
    <row r="62" spans="1:6" x14ac:dyDescent="0.25">
      <c r="B62" t="s">
        <v>8569</v>
      </c>
      <c r="C62">
        <f>COUNTIF(Final_set_extraction!S:S,B62)</f>
        <v>13</v>
      </c>
    </row>
    <row r="63" spans="1:6" x14ac:dyDescent="0.25">
      <c r="B63" t="s">
        <v>8841</v>
      </c>
      <c r="C63">
        <f>COUNTIF(Final_set_extraction!S:S,B63)</f>
        <v>7</v>
      </c>
    </row>
    <row r="64" spans="1:6" x14ac:dyDescent="0.25">
      <c r="B64" t="s">
        <v>9429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00" customWidth="1"/>
  </cols>
  <sheetData>
    <row r="1" spans="1:2" x14ac:dyDescent="0.25">
      <c r="A1" s="4" t="s">
        <v>9430</v>
      </c>
      <c r="B1" s="4" t="s">
        <v>9431</v>
      </c>
    </row>
    <row r="2" spans="1:2" x14ac:dyDescent="0.25">
      <c r="A2" t="s">
        <v>61</v>
      </c>
      <c r="B2" t="s">
        <v>62</v>
      </c>
    </row>
    <row r="3" spans="1:2" x14ac:dyDescent="0.25">
      <c r="A3" t="s">
        <v>79</v>
      </c>
      <c r="B3" t="s">
        <v>80</v>
      </c>
    </row>
    <row r="4" spans="1:2" x14ac:dyDescent="0.25">
      <c r="A4" t="s">
        <v>71</v>
      </c>
      <c r="B4" t="s">
        <v>18</v>
      </c>
    </row>
    <row r="5" spans="1:2" x14ac:dyDescent="0.25">
      <c r="A5" t="s">
        <v>87</v>
      </c>
      <c r="B5" t="s">
        <v>19</v>
      </c>
    </row>
    <row r="6" spans="1:2" x14ac:dyDescent="0.25">
      <c r="A6" t="s">
        <v>98</v>
      </c>
      <c r="B6" t="s">
        <v>99</v>
      </c>
    </row>
    <row r="7" spans="1:2" x14ac:dyDescent="0.25">
      <c r="A7" t="s">
        <v>165</v>
      </c>
      <c r="B7" t="s">
        <v>166</v>
      </c>
    </row>
    <row r="8" spans="1:2" x14ac:dyDescent="0.25">
      <c r="A8" t="s">
        <v>9432</v>
      </c>
      <c r="B8" t="s">
        <v>9433</v>
      </c>
    </row>
    <row r="9" spans="1:2" x14ac:dyDescent="0.25">
      <c r="A9" t="s">
        <v>9434</v>
      </c>
      <c r="B9" t="s">
        <v>9435</v>
      </c>
    </row>
    <row r="10" spans="1:2" x14ac:dyDescent="0.25">
      <c r="A10" t="s">
        <v>9436</v>
      </c>
      <c r="B10" t="s">
        <v>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PRISMA</vt:lpstr>
      <vt:lpstr>Eligibility_core</vt:lpstr>
      <vt:lpstr>Final_set_extraction</vt:lpstr>
      <vt:lpstr>Level1_map</vt:lpstr>
      <vt:lpstr>Trends_RQ1</vt:lpstr>
      <vt:lpstr>Map_summary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Cendra Devayana Putra</cp:lastModifiedBy>
  <dcterms:created xsi:type="dcterms:W3CDTF">2026-10-20T01:08:02Z</dcterms:created>
  <dcterms:modified xsi:type="dcterms:W3CDTF">2026-10-20T01:08:11Z</dcterms:modified>
</cp:coreProperties>
</file>